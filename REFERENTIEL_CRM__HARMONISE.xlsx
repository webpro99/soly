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commentsmeta11"/>
  <Override ContentType="application/binary" PartName="/xl/commentsmeta12"/>
  <Override ContentType="application/binary" PartName="/xl/commentsmeta10"/>
  <Override ContentType="application/binary" PartName="/xl/commentsmeta4"/>
  <Override ContentType="application/binary" PartName="/xl/commentsmeta5"/>
  <Override ContentType="application/binary" PartName="/xl/commentsmeta2"/>
  <Override ContentType="application/binary" PartName="/xl/commentsmeta3"/>
  <Override ContentType="application/binary" PartName="/xl/commentsmeta0"/>
  <Override ContentType="application/binary" PartName="/xl/commentsmeta1"/>
  <Override ContentType="application/binary" PartName="/xl/commentsmeta8"/>
  <Override ContentType="application/binary" PartName="/xl/commentsmeta9"/>
  <Override ContentType="application/binary" PartName="/xl/commentsmeta6"/>
  <Override ContentType="application/binary" PartName="/xl/commentsmeta7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🌐 PAGE WEB · PARCOURS" sheetId="1" r:id="rId4"/>
    <sheet state="visible" name="🔖 CODES DE RÉFÉRENCE" sheetId="2" r:id="rId5"/>
    <sheet state="visible" name="REF_CODES" sheetId="3" r:id="rId6"/>
    <sheet state="visible" name="MASTER_TAGS" sheetId="4" r:id="rId7"/>
    <sheet state="visible" name="MATCHING" sheetId="5" r:id="rId8"/>
    <sheet state="visible" name="MOTEUR" sheetId="6" r:id="rId9"/>
    <sheet state="visible" name="SCORING_RULES" sheetId="7" r:id="rId10"/>
    <sheet state="visible" name="SOLY_RULES" sheetId="8" r:id="rId11"/>
    <sheet state="visible" name="HONORAIRES_SOLY" sheetId="9" r:id="rId12"/>
    <sheet state="visible" name="HEBERGEMENT" sheetId="10" r:id="rId13"/>
    <sheet state="visible" name="RESTAURANT" sheetId="11" r:id="rId14"/>
    <sheet state="visible" name="ACTIVITES" sheetId="12" r:id="rId15"/>
    <sheet state="visible" name="SOIREE NIGHTLIFE" sheetId="13" r:id="rId16"/>
    <sheet state="visible" name="EVENEMENTIEL" sheetId="14" r:id="rId17"/>
    <sheet state="visible" name="ESPACES PRIVAT" sheetId="15" r:id="rId18"/>
    <sheet state="visible" name="TRANSPORT" sheetId="16" r:id="rId19"/>
    <sheet state="visible" name="ZONES" sheetId="17" r:id="rId20"/>
    <sheet state="visible" name="SECURITE" sheetId="18" r:id="rId21"/>
    <sheet state="visible" name="POI" sheetId="19" r:id="rId22"/>
    <sheet state="visible" name="🧭 SIMULATEUR PARCOURS" sheetId="20" r:id="rId23"/>
  </sheets>
  <definedNames>
    <definedName name="EVT_HAI">#REF!</definedName>
    <definedName name="RA_NRO">#REF!</definedName>
    <definedName name="AK_SER">#REF!</definedName>
    <definedName name="NL_LOU">#REF!</definedName>
    <definedName name="EP_ROO">#REF!</definedName>
    <definedName name="EVT_VAL">#REF!</definedName>
    <definedName name="ACC_TAGS">REF_CODES!$J$187:$J$189</definedName>
    <definedName name="RA_DNA">#REF!</definedName>
    <definedName name="EVT_ANE">#REF!</definedName>
    <definedName name="AU_ELI">#REF!</definedName>
    <definedName name="TR_BEL">#REF!</definedName>
    <definedName name="SE_SUR">#REF!</definedName>
    <definedName name="NL_LIV">#REF!</definedName>
    <definedName name="EVT_BRB">#REF!</definedName>
    <definedName name="KD_ACT">#REF!</definedName>
    <definedName name="EP_GAL">#REF!</definedName>
    <definedName name="EVT_PHO">#REF!</definedName>
    <definedName name="EP_BIV">#REF!</definedName>
    <definedName name="LAB_TBL">#REF!</definedName>
    <definedName name="NPS_PASSI">#REF!</definedName>
    <definedName name="KD_KFR">#REF!</definedName>
    <definedName name="SECURITE">REF_CODES!$J$62:$J$66</definedName>
    <definedName name="EVT_CHE">#REF!</definedName>
    <definedName name="EVT_MIX">#REF!</definedName>
    <definedName name="LAB_LHW">#REF!</definedName>
    <definedName name="LIEU_LIB">REF_CODES!$C$142:$C$157</definedName>
    <definedName name="EVT_SOU">#REF!</definedName>
    <definedName name="ACTIVITE">REF_CODES!$J$27:$J$33</definedName>
    <definedName name="EVT_FXS">#REF!</definedName>
    <definedName name="EVT_MAS">#REF!</definedName>
    <definedName name="EP_POL">#REF!</definedName>
    <definedName name="AU_EXC">#REF!</definedName>
    <definedName name="EVT_PYR">#REF!</definedName>
    <definedName name="EVT_ARC">#REF!</definedName>
    <definedName name="EVT_HAM">#REF!</definedName>
    <definedName name="EP_BEA">#REF!</definedName>
    <definedName name="SE_ETU">#REF!</definedName>
    <definedName name="EP_PAL">#REF!</definedName>
    <definedName name="TRANSPORT_LIB">REF_CODES!$C$250:$C$261</definedName>
    <definedName name="LAB_RC">#REF!</definedName>
    <definedName name="TRANSPORT">REF_CODES!$J$58:$J$61</definedName>
    <definedName name="LAB_SLH">#REF!</definedName>
    <definedName name="AK_NAT">#REF!</definedName>
    <definedName name="EVT_NAI">#REF!</definedName>
    <definedName name="SE_FEM">#REF!</definedName>
    <definedName name="LAB_CN">#REF!</definedName>
    <definedName name="NL_IMM">#REF!</definedName>
    <definedName name="EP_RES">#REF!</definedName>
    <definedName name="TR_SUV">#REF!</definedName>
    <definedName name="EVT_FLO">#REF!</definedName>
    <definedName name="FID_HOT">#REF!</definedName>
    <definedName name="FID_AMB">#REF!</definedName>
    <definedName name="EVENEMENTIEL">REF_CODES!$J$87:$J$132</definedName>
    <definedName name="AMB_ROM">#REF!</definedName>
    <definedName name="NL_SHO">#REF!</definedName>
    <definedName name="ST_ULT">#REF!</definedName>
    <definedName name="RA_NFE">#REF!</definedName>
    <definedName name="EVT_DJ">#REF!</definedName>
    <definedName name="RA_NVE">#REF!</definedName>
    <definedName name="AMB_FAM">#REF!</definedName>
    <definedName name="RA_DLE">#REF!</definedName>
    <definedName name="EVT_WIN">#REF!</definedName>
    <definedName name="EVT_VID">#REF!</definedName>
    <definedName name="EP_JAR">#REF!</definedName>
    <definedName name="ST_SIG">#REF!</definedName>
    <definedName name="NPS_PROMO">#REF!</definedName>
    <definedName name="EVT_LUM">#REF!</definedName>
    <definedName name="RESTAURANT">REF_CODES!$J$34:$J$45</definedName>
    <definedName name="LAB_VIRT">#REF!</definedName>
    <definedName name="RA_DSI">#REF!</definedName>
    <definedName name="SE_PRO">#REF!</definedName>
    <definedName name="EVT_PIL">#REF!</definedName>
    <definedName name="EVT_OYS">#REF!</definedName>
    <definedName name="LAB_MICH">#REF!</definedName>
    <definedName name="ST_PRE">#REF!</definedName>
    <definedName name="EVT_MUA">#REF!</definedName>
    <definedName name="AU_DES">#REF!</definedName>
    <definedName name="EVT_SPA">#REF!</definedName>
    <definedName name="EVT_MASG">#REF!</definedName>
    <definedName name="RA_DPO">#REF!</definedName>
    <definedName name="AU_CUL">#REF!</definedName>
    <definedName name="AK_LOI">#REF!</definedName>
    <definedName name="SE_24H">#REF!</definedName>
    <definedName name="EVT_CAF">#REF!</definedName>
    <definedName name="LIEU">REF_CODES!$J$142:$J$157</definedName>
    <definedName name="TR_VAN">#REF!</definedName>
    <definedName name="EVT_SHI">#REF!</definedName>
    <definedName name="AMB_PRO">#REF!</definedName>
    <definedName name="EVT_COR">#REF!</definedName>
    <definedName name="EVT_HOS">#REF!</definedName>
    <definedName name="TR_BER">#REF!</definedName>
    <definedName name="EVT_TRA">#REF!</definedName>
    <definedName name="SECURITE_LIB">REF_CODES!$C$62:$C$66</definedName>
    <definedName name="RG_VEG">#REF!</definedName>
    <definedName name="ACTIVITE_LIB">REF_CODES!$C$27:$C$33</definedName>
    <definedName name="EVT_TEA">#REF!</definedName>
    <definedName name="EVT_LIV">#REF!</definedName>
    <definedName name="EP_EVT">#REF!</definedName>
    <definedName name="EVENEMENTIEL_LIB">REF_CODES!$C$87:$C$132</definedName>
    <definedName name="RESTAURANT_LIB">REF_CODES!$C$34:$C$45</definedName>
    <definedName name="EVT_YOG">#REF!</definedName>
    <definedName name="RA_NSP">#REF!</definedName>
    <definedName name="NL_CLU">#REF!</definedName>
    <definedName name="FID_VOY">#REF!</definedName>
    <definedName name="RA_NAM">#REF!</definedName>
    <definedName name="EVT_EVP">#REF!</definedName>
    <definedName name="EVT_ANI">#REF!</definedName>
    <definedName name="LAB_TL">#REF!</definedName>
    <definedName name="EVT_PAT">#REF!</definedName>
    <definedName name="AK_CRE">#REF!</definedName>
    <definedName name="EVT_CON">#REF!</definedName>
    <definedName name="EVT_DAN">#REF!</definedName>
    <definedName name="ETAPES">#REF!</definedName>
    <definedName name="AK_DEC">#REF!</definedName>
    <definedName name="POI_TAGS">REF_CODES!$J$190:$J$194</definedName>
    <definedName name="EVT_SCR">#REF!</definedName>
    <definedName name="AU_FES">#REF!</definedName>
    <definedName name="SOIREE_LIB">REF_CODES!$C$46:$C$50</definedName>
    <definedName name="LAB_MMS">#REF!</definedName>
    <definedName name="EP_REC">#REF!</definedName>
    <definedName name="EP_SPA">#REF!</definedName>
    <definedName name="EVT_FOC">#REF!</definedName>
    <definedName name="EP_DOM">#REF!</definedName>
    <definedName name="NPS_NORE">#REF!</definedName>
    <definedName name="ENFANTS_LIB">REF_CODES!$C$51:$C$55</definedName>
    <definedName name="KD_PIS">#REF!</definedName>
    <definedName name="EVT_JUS">#REF!</definedName>
    <definedName name="EVT_DRN">#REF!</definedName>
    <definedName name="SOIREE">REF_CODES!$J$46:$J$50</definedName>
    <definedName name="RA_DMA">#REF!</definedName>
    <definedName name="EVT_GNA">#REF!</definedName>
    <definedName name="MAP_ETAPE">#REF!</definedName>
    <definedName name="AU_BIE">#REF!</definedName>
    <definedName name="RA_NGA">#REF!</definedName>
    <definedName name="EVT_FIT">#REF!</definedName>
    <definedName name="NPS_DETRA">#REF!</definedName>
    <definedName name="AU_SPO">#REF!</definedName>
    <definedName name="EP_SEM">#REF!</definedName>
    <definedName name="ENFANTS">REF_CODES!$J$51:$J$55</definedName>
    <definedName name="AMB_FES">#REF!</definedName>
    <definedName name="EP_YAC">#REF!</definedName>
    <definedName name="EVT_WED">#REF!</definedName>
    <definedName name="AMB_ZEN">#REF!</definedName>
    <definedName name="EVT_LAS">#REF!</definedName>
    <definedName name="FID_HAB">#REF!</definedName>
    <definedName name="RA_DBR">#REF!</definedName>
    <definedName name="RG_ALG">#REF!</definedName>
    <definedName name="KD_CLB">#REF!</definedName>
    <definedName name="EP_VIL">#REF!</definedName>
    <definedName name="EVT_LOC">#REF!</definedName>
    <definedName name="EP_RIA">#REF!</definedName>
    <definedName hidden="1" localSheetId="9" name="_xlnm._FilterDatabase">HEBERGEMENT!$A$2:$AJ$265</definedName>
    <definedName hidden="1" localSheetId="10" name="_xlnm._FilterDatabase">RESTAURANT!$B$2:$Z$91</definedName>
    <definedName hidden="1" localSheetId="11" name="_xlnm._FilterDatabase">ACTIVITES!$B$2:$K$172</definedName>
    <definedName hidden="1" localSheetId="12" name="_xlnm._FilterDatabase">'SOIREE NIGHTLIFE'!$A$2:$AK$2</definedName>
    <definedName hidden="1" localSheetId="13" name="_xlnm._FilterDatabase">EVENEMENTIEL!$A$2:$AA$2</definedName>
    <definedName hidden="1" localSheetId="14" name="_xlnm._FilterDatabase">'ESPACES PRIVAT'!$A$2:$AO$2</definedName>
    <definedName hidden="1" localSheetId="15" name="_xlnm._FilterDatabase">TRANSPORT!$A$9:$AC$9</definedName>
    <definedName hidden="1" localSheetId="16" name="_xlnm._FilterDatabase">ZONES!$A$2:$H$22</definedName>
    <definedName hidden="1" localSheetId="17" name="_xlnm._FilterDatabase">SECURITE!$A$9:$AA$9</definedName>
    <definedName hidden="1" localSheetId="18" name="_xlnm._FilterDatabase">POI!$B$2:$X$125</definedName>
  </definedNames>
  <calcPr/>
  <extLst>
    <ext uri="GoogleSheetsCustomDataVersion2">
      <go:sheetsCustomData xmlns:go="http://customooxmlschemas.google.com/" r:id="rId24" roundtripDataChecksum="xIcOPZzDnV8gDkMIgAAkj1WczLxd+LEzbcSARJKtJ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4">
      <text>
        <t xml:space="preserve">======
ID#AAACEw7hOjY
Salima Benchekroun    (2026-08-03 10:52:02)
Van premium · ex. Mercedes V-Class · Vito VIP</t>
      </text>
    </comment>
    <comment authorId="0" ref="C173">
      <text>
        <t xml:space="preserve">======
ID#AAACEw7hN8o
Salima Benchekroun    (2026-08-03 10:52:02)
SUV luxe · ex. Range Rover · Mercedes GLS</t>
      </text>
    </comment>
    <comment authorId="0" ref="C91">
      <text>
        <t xml:space="preserve">======
ID#AAACEw7hOW8
Salima Benchekroun    (2026-08-03 10:52:02)
Sécurité (SE) et Transport (TR) ne comptent pas comme expériences journalières : ce sont des add-ons déplacés en Étape 3.</t>
      </text>
    </comment>
    <comment authorId="0" ref="C171">
      <text>
        <t xml:space="preserve">======
ID#AAACEw7hMf8
Salima Benchekroun    (2026-08-03 10:52:00)
Véhicule de base inclus si arrivée avion/train · ex. Mercedes E · BMW 5</t>
      </text>
    </comment>
  </commentList>
  <extLst>
    <ext uri="GoogleSheetsCustomDataVersion2">
      <go:sheetsCustomData xmlns:go="http://customooxmlschemas.google.com/" r:id="rId1" roundtripDataSignature="AMtx7mh286e5r21asxNFLU7nF0hFg/NfC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ID#AAACEw7hNZQ
Salima Benchekroun    (2026-08-03 10:52:01)
Miroir technique généré depuis la bible « 🔖 CODES DE RÉFÉRENCE ». 8 onglets data (HEBERGEMENT, RESTAURANT, ACTIVITES, EVENEMENTIEL, ESPACES PRIVAT, SECURITE, TRANSPORT, POINTS INTERET) font ~1759 INDEX/MATCH sur des plages de lignes FIGÉES par famille (ex. $B$40:$B$46, $B$100:$B$145). → Ne JAMAIS éditer à la main, ni réordonner / insérer / supprimer des lignes : cela casserait les lookups silencieusement. Resynchroniser REF_CODES sur la bible après toute modification de celle-ci.</t>
      </text>
    </comment>
  </commentList>
  <extLst>
    <ext uri="GoogleSheetsCustomDataVersion2">
      <go:sheetsCustomData xmlns:go="http://customooxmlschemas.google.com/" r:id="rId1" roundtripDataSignature="AMtx7mhppsx2f56pQ0u4sWGiiBZwI5fO5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">
      <text>
        <t xml:space="preserve">======
ID#AAACEw7hNw8
Salima Benchekroun    (2026-08-03 10:52:01)
SCORE désormais calculé par formule =XLOOKUP(tag, puis famille) depuis le BARÈME (colonnes H:I). Pour re-régler le moteur, modifier les POINTS dans H6:I25 — ne pas saisir en dur ici.</t>
      </text>
    </comment>
  </commentList>
  <extLst>
    <ext uri="GoogleSheetsCustomDataVersion2">
      <go:sheetsCustomData xmlns:go="http://customooxmlschemas.google.com/" r:id="rId1" roundtripDataSignature="AMtx7mjDvbx99M+rGPKgltDVxHrAnmuKZQ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16">
      <text>
        <t xml:space="preserve">======
ID#AAACEw7hORY
    (2026-08-03 10:52:02)
Tél via Google Places (juin 2026)</t>
      </text>
    </comment>
    <comment authorId="0" ref="T83">
      <text>
        <t xml:space="preserve">======
ID#AAACEw7hNh8
    (2026-08-03 10:52:01)
Tél via Google Places (juin 2026)</t>
      </text>
    </comment>
    <comment authorId="0" ref="U50">
      <text>
        <t xml:space="preserve">======
ID#AAACEw7hMIc
    (2026-08-03 10:52:00)
WhatsApp déduit du numéro mobile — à confirmer</t>
      </text>
    </comment>
    <comment authorId="0" ref="U17">
      <text>
        <t xml:space="preserve">======
ID#AAACEw7hOWs
    (2026-08-03 10:52:02)
WhatsApp déduit du numéro mobile — à confirmer</t>
      </text>
    </comment>
    <comment authorId="0" ref="AD215">
      <text>
        <t xml:space="preserve">======
ID#AAACEw7hMpQ
    (2026-08-03 10:52:00)
Équipement enfants inféré du type — AUTO · à valider</t>
      </text>
    </comment>
    <comment authorId="0" ref="AD116">
      <text>
        <t xml:space="preserve">======
ID#AAACEw7hMOQ
    (2026-08-03 10:52:00)
Équipement enfants inféré du type — AUTO · à valider</t>
      </text>
    </comment>
    <comment authorId="0" ref="AD83">
      <text>
        <t xml:space="preserve">======
ID#AAACEw7hMs0
    (2026-08-03 10:52:01)
Équipement enfants inféré du type — AUTO · à valider</t>
      </text>
    </comment>
    <comment authorId="0" ref="AD50">
      <text>
        <t xml:space="preserve">======
ID#AAACEw7hMZk
    (2026-08-03 10:52:00)
Équipement enfants inféré du type — AUTO · à valider</t>
      </text>
    </comment>
    <comment authorId="0" ref="U232">
      <text>
        <t xml:space="preserve">======
ID#AAACEw7hMfQ
    (2026-08-03 10:52:00)
WhatsApp déduit du numéro mobile — à confirmer</t>
      </text>
    </comment>
    <comment authorId="0" ref="AD17">
      <text>
        <t xml:space="preserve">======
ID#AAACEw7hL5Y
    (2026-08-03 10:52:00)
Équipement enfants inféré du type — AUTO · à valider</t>
      </text>
    </comment>
    <comment authorId="0" ref="F216">
      <text>
        <t xml:space="preserve">======
ID#AAACEw7hNMo
    (2026-08-03 10:52:01)
Enrichissement web SOLÝVENTS — Enseigne Es Saadi · site officiel à confirmer</t>
      </text>
    </comment>
    <comment authorId="0" ref="T133">
      <text>
        <t xml:space="preserve">======
ID#AAACEw7hOgQ
    (2026-08-03 10:52:02)
Tél via Google Places (juin 2026)</t>
      </text>
    </comment>
    <comment authorId="0" ref="U34">
      <text>
        <t xml:space="preserve">======
ID#AAACEw7hNAE
    (2026-08-03 10:52:01)
WhatsApp déduit du numéro mobile — à confirmer</t>
      </text>
    </comment>
    <comment authorId="0" ref="AD232">
      <text>
        <t xml:space="preserve">======
ID#AAACEw7hMs8
    (2026-08-03 10:52:01)
Équipement enfants inféré du type — AUTO · à valider</t>
      </text>
    </comment>
    <comment authorId="0" ref="AD133">
      <text>
        <t xml:space="preserve">======
ID#AAACEw7hMwY
    (2026-08-03 10:52:01)
Équipement enfants inféré du type — AUTO · à valider</t>
      </text>
    </comment>
    <comment authorId="0" ref="AD100">
      <text>
        <t xml:space="preserve">======
ID#AAACEw7hOJI
    (2026-08-03 10:52:02)
Équipement enfants inféré du type — AUTO · à valider</t>
      </text>
    </comment>
    <comment authorId="0" ref="AD67">
      <text>
        <t xml:space="preserve">======
ID#AAACEw7hMuQ
    (2026-08-03 10:52:01)
Équipement enfants inféré du type — AUTO · à valider</t>
      </text>
    </comment>
    <comment authorId="0" ref="AD34">
      <text>
        <t xml:space="preserve">======
ID#AAACEw7hMqE
    (2026-08-03 10:52:00)
Équipement enfants inféré du type — AUTO · à valider</t>
      </text>
    </comment>
    <comment authorId="0" ref="F233">
      <text>
        <t xml:space="preserve">======
ID#AAACEw7hM3I
    (2026-08-03 10:52:01)
Enrichissement web SOLÝVENTS — Positionnement palais-hôtel Palmeraie · site à confirmer</t>
      </text>
    </comment>
    <comment authorId="0" ref="T84">
      <text>
        <t xml:space="preserve">======
ID#AAACEw7hMRc
    (2026-08-03 10:52:00)
Tél via Google Places (juin 2026)</t>
      </text>
    </comment>
    <comment authorId="0" ref="U51">
      <text>
        <t xml:space="preserve">======
ID#AAACEw7hNHI
    (2026-08-03 10:52:01)
WhatsApp déduit du numéro mobile — à confirmer</t>
      </text>
    </comment>
    <comment authorId="0" ref="AD216">
      <text>
        <t xml:space="preserve">======
ID#AAACEw7hOU8
    (2026-08-03 10:52:02)
Équipement enfants inféré du type — AUTO · à valider</t>
      </text>
    </comment>
    <comment authorId="0" ref="AD117">
      <text>
        <t xml:space="preserve">======
ID#AAACEw7hNdg
    (2026-08-03 10:52:01)
Équipement enfants inféré du type — AUTO · à valider</t>
      </text>
    </comment>
    <comment authorId="0" ref="AD84">
      <text>
        <t xml:space="preserve">======
ID#AAACEw7hNg0
    (2026-08-03 10:52:01)
Équipement enfants inféré du type — AUTO · à valider</t>
      </text>
    </comment>
    <comment authorId="0" ref="AD51">
      <text>
        <t xml:space="preserve">======
ID#AAACEw7hN30
    (2026-08-03 10:52:02)
Équipement enfants inféré du type — AUTO · à valider</t>
      </text>
    </comment>
    <comment authorId="0" ref="AD18">
      <text>
        <t xml:space="preserve">======
ID#AAACEw7hN8U
    (2026-08-03 10:52:02)
Équipement enfants inféré du type — AUTO · à valider</t>
      </text>
    </comment>
    <comment authorId="0" ref="F217">
      <text>
        <t xml:space="preserve">======
ID#AAACEw7hMy0
    (2026-08-03 10:52:01)
Enrichissement web SOLÝVENTS — Positionnement Relais &amp; Châteaux · à confirmer</t>
      </text>
    </comment>
    <comment authorId="0" ref="T167">
      <text>
        <t xml:space="preserve">======
ID#AAACEw7hL_E
Salima Benchekroun    (2026-08-03 10:52:00)
Source: villazin.com · Confiance: high</t>
      </text>
    </comment>
    <comment authorId="0" ref="U101">
      <text>
        <t xml:space="preserve">======
ID#AAACEw7hMGg
    (2026-08-03 10:52:00)
WhatsApp déduit du numéro mobile — à confirmer</t>
      </text>
    </comment>
    <comment authorId="0" ref="U68">
      <text>
        <t xml:space="preserve">======
ID#AAACEw7hOdE
    (2026-08-03 10:52:02)
WhatsApp déduit du numéro mobile — à confirmer</t>
      </text>
    </comment>
    <comment authorId="0" ref="U35">
      <text>
        <t xml:space="preserve">======
ID#AAACEw7hNug
    (2026-08-03 10:52:01)
WhatsApp déduit du numéro mobile — à confirmer</t>
      </text>
    </comment>
    <comment authorId="0" ref="AD233">
      <text>
        <t xml:space="preserve">======
ID#AAACEw7hMG0
    (2026-08-03 10:52:00)
Équipement enfants inféré du type — AUTO · à valider</t>
      </text>
    </comment>
    <comment authorId="0" ref="AD134">
      <text>
        <t xml:space="preserve">======
ID#AAACEw7hN_w
    (2026-08-03 10:52:02)
Équipement enfants inféré du type — AUTO · à valider</t>
      </text>
    </comment>
    <comment authorId="0" ref="AD101">
      <text>
        <t xml:space="preserve">======
ID#AAACEw7hN5Q
    (2026-08-03 10:52:02)
Équipement enfants inféré du type — AUTO · à valider</t>
      </text>
    </comment>
    <comment authorId="0" ref="AD68">
      <text>
        <t xml:space="preserve">======
ID#AAACEw7hOWw
    (2026-08-03 10:52:02)
Équipement enfants inféré du type — AUTO · à valider</t>
      </text>
    </comment>
    <comment authorId="0" ref="AD35">
      <text>
        <t xml:space="preserve">======
ID#AAACEw7hMjI
    (2026-08-03 10:52:00)
Équipement enfants inféré du type — AUTO · à valider</t>
      </text>
    </comment>
    <comment authorId="0" ref="F234">
      <text>
        <t xml:space="preserve">======
ID#AAACEw7hNv0
    (2026-08-03 10:52:01)
Enrichissement web SOLÝVENTS — Positionnement palais-hôtel Palmeraie · site à confirmer</t>
      </text>
    </comment>
    <comment authorId="0" ref="T118">
      <text>
        <t xml:space="preserve">======
ID#AAACEw7hMW8
    (2026-08-03 10:52:00)
Tél via Google Places (juin 2026)</t>
      </text>
    </comment>
    <comment authorId="0" ref="T85">
      <text>
        <t xml:space="preserve">======
ID#AAACEw7hOaY
    (2026-08-03 10:52:02)
Tél via Google Places (juin 2026)</t>
      </text>
    </comment>
    <comment authorId="0" ref="AD217">
      <text>
        <t xml:space="preserve">======
ID#AAACEw7hORw
    (2026-08-03 10:52:02)
Équipement enfants inféré du type — AUTO · à valider</t>
      </text>
    </comment>
    <comment authorId="0" ref="AD118">
      <text>
        <t xml:space="preserve">======
ID#AAACEw7hMIQ
    (2026-08-03 10:52:00)
Équipement enfants inféré du type — AUTO · à valider</t>
      </text>
    </comment>
    <comment authorId="0" ref="AD85">
      <text>
        <t xml:space="preserve">======
ID#AAACEw7hL00
    (2026-08-03 10:52:00)
Équipement enfants inféré du type — AUTO · à valider</t>
      </text>
    </comment>
    <comment authorId="0" ref="AD52">
      <text>
        <t xml:space="preserve">======
ID#AAACEw7hOKo
    (2026-08-03 10:52:02)
Équipement enfants inféré du type — AUTO · à valider</t>
      </text>
    </comment>
    <comment authorId="0" ref="AD19">
      <text>
        <t xml:space="preserve">======
ID#AAACEw7hOM4
    (2026-08-03 10:52:02)
Équipement enfants inféré du type — AUTO · à valider</t>
      </text>
    </comment>
    <comment authorId="0" ref="F218">
      <text>
        <t xml:space="preserve">======
ID#AAACEw7hNRk
    (2026-08-03 10:52:01)
Enrichissement web SOLÝVENTS — À qualifier</t>
      </text>
    </comment>
    <comment authorId="0" ref="U102">
      <text>
        <t xml:space="preserve">======
ID#AAACEw7hNS8
    (2026-08-03 10:52:01)
WhatsApp déduit du numéro mobile — à confirmer</t>
      </text>
    </comment>
    <comment authorId="0" ref="T69">
      <text>
        <t xml:space="preserve">======
ID#AAACEw7hM9A
    (2026-08-03 10:52:01)
Tél via Google Places (juin 2026)</t>
      </text>
    </comment>
    <comment authorId="0" ref="AD234">
      <text>
        <t xml:space="preserve">======
ID#AAACEw7hMEQ
    (2026-08-03 10:52:00)
Équipement enfants inféré du type — AUTO · à valider</t>
      </text>
    </comment>
    <comment authorId="0" ref="AD135">
      <text>
        <t xml:space="preserve">======
ID#AAACEw7hNBE
    (2026-08-03 10:52:01)
Équipement enfants inféré du type — AUTO · à valider</t>
      </text>
    </comment>
    <comment authorId="0" ref="AD102">
      <text>
        <t xml:space="preserve">======
ID#AAACEw7hNWE
    (2026-08-03 10:52:01)
Équipement enfants inféré du type — AUTO · à valider</t>
      </text>
    </comment>
    <comment authorId="0" ref="AD69">
      <text>
        <t xml:space="preserve">======
ID#AAACEw7hOa4
    (2026-08-03 10:52:02)
Équipement enfants inféré du type — AUTO · à valider</t>
      </text>
    </comment>
    <comment authorId="0" ref="AD36">
      <text>
        <t xml:space="preserve">======
ID#AAACEw7hOLE
    (2026-08-03 10:52:02)
Équipement enfants inféré du type — AUTO · à valider</t>
      </text>
    </comment>
    <comment authorId="0" ref="F235">
      <text>
        <t xml:space="preserve">======
ID#AAACEw7hNro
    (2026-08-03 10:52:01)
Enrichissement web SOLÝVENTS — À qualifier</t>
      </text>
    </comment>
    <comment authorId="0" ref="AD3">
      <text>
        <t xml:space="preserve">======
ID#AAACEw7hM-I
    (2026-08-03 10:52:01)
Équipement enfants inféré du type — AUTO · à valider</t>
      </text>
    </comment>
    <comment authorId="0" ref="U218">
      <text>
        <t xml:space="preserve">======
ID#AAACEw7hMtQ
    (2026-08-03 10:52:01)
WhatsApp déduit du numéro mobile — à confirmer</t>
      </text>
    </comment>
    <comment authorId="0" ref="U119">
      <text>
        <t xml:space="preserve">======
ID#AAACEw7hLwY
    (2026-08-03 10:52:00)
WhatsApp déduit du numéro mobile — à confirmer</t>
      </text>
    </comment>
    <comment authorId="0" ref="U86">
      <text>
        <t xml:space="preserve">======
ID#AAACEw7hOAs
    (2026-08-03 10:52:02)
WhatsApp déduit du numéro mobile — à confirmer</t>
      </text>
    </comment>
    <comment authorId="0" ref="AD218">
      <text>
        <t xml:space="preserve">======
ID#AAACEw7hMpM
    (2026-08-03 10:52:00)
Équipement enfants inféré du type — AUTO · à valider</t>
      </text>
    </comment>
    <comment authorId="0" ref="AD119">
      <text>
        <t xml:space="preserve">======
ID#AAACEw7hOpA
    (2026-08-03 10:52:02)
Équipement enfants inféré du type — AUTO · à valider</t>
      </text>
    </comment>
    <comment authorId="0" ref="AD86">
      <text>
        <t xml:space="preserve">======
ID#AAACEw7hMIs
    (2026-08-03 10:52:00)
Équipement enfants inféré du type — AUTO · à valider</t>
      </text>
    </comment>
    <comment authorId="0" ref="AD53">
      <text>
        <t xml:space="preserve">======
ID#AAACEw7hNgQ
    (2026-08-03 10:52:01)
Équipement enfants inféré du type — AUTO · à valider</t>
      </text>
    </comment>
    <comment authorId="0" ref="U235">
      <text>
        <t xml:space="preserve">======
ID#AAACEw7hM6U
    (2026-08-03 10:52:01)
WhatsApp déduit du numéro mobile — à confirmer</t>
      </text>
    </comment>
    <comment authorId="0" ref="AD20">
      <text>
        <t xml:space="preserve">======
ID#AAACEw7hMos
    (2026-08-03 10:52:00)
Équipement enfants inféré du type — AUTO · à valider</t>
      </text>
    </comment>
    <comment authorId="0" ref="F219">
      <text>
        <t xml:space="preserve">======
ID#AAACEw7hOjg
    (2026-08-03 10:52:02)
Enrichissement web SOLÝVENTS — Enseigne La Mamounia · fiche espaces séminaires</t>
      </text>
    </comment>
    <comment authorId="0" ref="T70">
      <text>
        <t xml:space="preserve">======
ID#AAACEw7hOFA
    (2026-08-03 10:52:02)
Tél via Google Places (juin 2026)</t>
      </text>
    </comment>
    <comment authorId="0" ref="G21">
      <text>
        <t xml:space="preserve">======
ID#AAACEw7hOcc
    (2026-08-03 10:52:02)
Enrichissement web SOLÝVENTS — Kayak (4★) · Prestigia (7 suites + 2 ch) · Booking/Hotels.com (9 chambres), juin 2026</t>
      </text>
    </comment>
    <comment authorId="0" ref="AD235">
      <text>
        <t xml:space="preserve">======
ID#AAACEw7hM4g
    (2026-08-03 10:52:01)
Équipement enfants inféré du type — AUTO · à valider</t>
      </text>
    </comment>
    <comment authorId="0" ref="H21">
      <text>
        <t xml:space="preserve">======
ID#AAACEw7hL_0
    (2026-08-03 10:52:00)
Enrichissement web SOLÝVENTS — Budget dérivé du tarif chambre (~160 €) → bande BG1 (&lt;300€)</t>
      </text>
    </comment>
    <comment authorId="0" ref="AD136">
      <text>
        <t xml:space="preserve">======
ID#AAACEw7hNiI
    (2026-08-03 10:52:01)
Équipement enfants inféré du type — AUTO · à valider</t>
      </text>
    </comment>
    <comment authorId="0" ref="AD103">
      <text>
        <t xml:space="preserve">======
ID#AAACEw7hMaM
    (2026-08-03 10:52:00)
Équipement enfants inféré du type — AUTO · à valider</t>
      </text>
    </comment>
    <comment authorId="0" ref="AD70">
      <text>
        <t xml:space="preserve">======
ID#AAACEw7hNhg
    (2026-08-03 10:52:01)
Équipement enfants inféré du type — AUTO · à valider</t>
      </text>
    </comment>
    <comment authorId="0" ref="M21">
      <text>
        <t xml:space="preserve">======
ID#AAACEw7hM4c
    (2026-08-03 10:52:01)
Enrichissement web SOLÝVENTS — Tarif chambre à partir de ~156–186 € (Booking/Hotels.com/Kayak, juin 2026) — à valider</t>
      </text>
    </comment>
    <comment authorId="0" ref="AD37">
      <text>
        <t xml:space="preserve">======
ID#AAACEw7hMDc
    (2026-08-03 10:52:00)
Équipement enfants inféré du type — AUTO · à valider</t>
      </text>
    </comment>
    <comment authorId="0" ref="F236">
      <text>
        <t xml:space="preserve">======
ID#AAACEw7hN4w
    (2026-08-03 10:52:02)
Enrichissement web SOLÝVENTS — À qualifier</t>
      </text>
    </comment>
    <comment authorId="0" ref="AD4">
      <text>
        <t xml:space="preserve">======
ID#AAACEw7hMJE
    (2026-08-03 10:52:00)
Équipement enfants inféré du type — AUTO · à valider</t>
      </text>
    </comment>
    <comment authorId="0" ref="T87">
      <text>
        <t xml:space="preserve">======
ID#AAACEw7hM9c
    (2026-08-03 10:52:01)
Tél via Google Places (juin 2026)</t>
      </text>
    </comment>
    <comment authorId="0" ref="AD219">
      <text>
        <t xml:space="preserve">======
ID#AAACEw7hL3c
    (2026-08-03 10:52:00)
Équipement enfants inféré du type — AUTO · à valider</t>
      </text>
    </comment>
    <comment authorId="0" ref="AD120">
      <text>
        <t xml:space="preserve">======
ID#AAACEw7hOaM
    (2026-08-03 10:52:02)
Équipement enfants inféré du type — AUTO · à valider</t>
      </text>
    </comment>
    <comment authorId="0" ref="AD87">
      <text>
        <t xml:space="preserve">======
ID#AAACEw7hMGM
    (2026-08-03 10:52:00)
Équipement enfants inféré du type — AUTO · à valider</t>
      </text>
    </comment>
    <comment authorId="0" ref="AD54">
      <text>
        <t xml:space="preserve">======
ID#AAACEw7hNtE
    (2026-08-03 10:52:01)
Équipement enfants inféré du type — AUTO · à valider</t>
      </text>
    </comment>
    <comment authorId="0" ref="AD21">
      <text>
        <t xml:space="preserve">======
ID#AAACEw7hN9k
    (2026-08-03 10:52:02)
Équipement enfants inféré du type — AUTO · à valider</t>
      </text>
    </comment>
    <comment authorId="0" ref="U236">
      <text>
        <t xml:space="preserve">======
ID#AAACEw7hM90
    (2026-08-03 10:52:01)
WhatsApp déduit du numéro mobile — à confirmer</t>
      </text>
    </comment>
    <comment authorId="0" ref="F220">
      <text>
        <t xml:space="preserve">======
ID#AAACEw7hMjQ
    (2026-08-03 10:52:00)
Enrichissement web SOLÝVENTS — Enseigne Royal Mansour · fiche MICE</t>
      </text>
    </comment>
    <comment authorId="0" ref="U104">
      <text>
        <t xml:space="preserve">======
ID#AAACEw7hNeU
    (2026-08-03 10:52:01)
WhatsApp déduit du numéro mobile — à confirmer</t>
      </text>
    </comment>
    <comment authorId="0" ref="AD236">
      <text>
        <t xml:space="preserve">======
ID#AAACEw7hNzE
    (2026-08-03 10:52:01)
Équipement enfants inféré du type — AUTO · à valider</t>
      </text>
    </comment>
    <comment authorId="0" ref="AD137">
      <text>
        <t xml:space="preserve">======
ID#AAACEw7hMIY
    (2026-08-03 10:52:00)
Équipement enfants inféré du type — AUTO · à valider</t>
      </text>
    </comment>
    <comment authorId="0" ref="AD104">
      <text>
        <t xml:space="preserve">======
ID#AAACEw7hOmc
    (2026-08-03 10:52:02)
Équipement enfants inféré du type — AUTO · à valider</t>
      </text>
    </comment>
    <comment authorId="0" ref="AD71">
      <text>
        <t xml:space="preserve">======
ID#AAACEw7hMEs
    (2026-08-03 10:52:00)
Équipement enfants inféré du type — AUTO · à valider</t>
      </text>
    </comment>
    <comment authorId="0" ref="AD38">
      <text>
        <t xml:space="preserve">======
ID#AAACEw7hN0E
    (2026-08-03 10:52:01)
Équipement enfants inféré du type — AUTO · à valider</t>
      </text>
    </comment>
    <comment authorId="0" ref="AD5">
      <text>
        <t xml:space="preserve">======
ID#AAACEw7hN6c
    (2026-08-03 10:52:02)
Équipement enfants inféré du type — AUTO · à valider</t>
      </text>
    </comment>
    <comment authorId="0" ref="F237">
      <text>
        <t xml:space="preserve">======
ID#AAACEw7hM4Q
    (2026-08-03 10:52:01)
Enrichissement web SOLÝVENTS — beldicountryclub.com + petitfute, juin 2026 (dès ~150 €)</t>
      </text>
    </comment>
    <comment authorId="0" ref="T154">
      <text>
        <t xml:space="preserve">======
ID#AAACEw7hNSE
Salima Benchekroun    (2026-08-03 10:52:01)
Source: villa-jardin-nomade.com · Confiance: high</t>
      </text>
    </comment>
    <comment authorId="0" ref="U121">
      <text>
        <t xml:space="preserve">======
ID#AAACEw7hNbM
    (2026-08-03 10:52:01)
WhatsApp déduit du numéro mobile — à confirmer</t>
      </text>
    </comment>
    <comment authorId="0" ref="U55">
      <text>
        <t xml:space="preserve">======
ID#AAACEw7hN1g
    (2026-08-03 10:52:01)
WhatsApp déduit du numéro mobile — à confirmer</t>
      </text>
    </comment>
    <comment authorId="0" ref="AD220">
      <text>
        <t xml:space="preserve">======
ID#AAACEw7hNqA
    (2026-08-03 10:52:01)
Équipement enfants inféré du type — AUTO · à valider</t>
      </text>
    </comment>
    <comment authorId="0" ref="AD121">
      <text>
        <t xml:space="preserve">======
ID#AAACEw7hOO0
    (2026-08-03 10:52:02)
Équipement enfants inféré du type — AUTO · à valider</t>
      </text>
    </comment>
    <comment authorId="0" ref="AD88">
      <text>
        <t xml:space="preserve">======
ID#AAACEw7hN0Y
    (2026-08-03 10:52:01)
Équipement enfants inféré du type — AUTO · à valider</t>
      </text>
    </comment>
    <comment authorId="0" ref="AD55">
      <text>
        <t xml:space="preserve">======
ID#AAACEw7hM8o
    (2026-08-03 10:52:01)
Équipement enfants inféré du type — AUTO · à valider</t>
      </text>
    </comment>
    <comment authorId="0" ref="AD22">
      <text>
        <t xml:space="preserve">======
ID#AAACEw7hNck
    (2026-08-03 10:52:01)
Équipement enfants inféré du type — AUTO · à valider</t>
      </text>
    </comment>
    <comment authorId="0" ref="F221">
      <text>
        <t xml:space="preserve">======
ID#AAACEw7hLxk
    (2026-08-03 10:52:00)
Enrichissement web SOLÝVENTS — À qualifier</t>
      </text>
    </comment>
    <comment authorId="0" ref="U138">
      <text>
        <t xml:space="preserve">======
ID#AAACEw7hL2I
    (2026-08-03 10:52:00)
WhatsApp déduit du numéro mobile — à confirmer</t>
      </text>
    </comment>
    <comment authorId="0" ref="U105">
      <text>
        <t xml:space="preserve">======
ID#AAACEw7hM5Y
    (2026-08-03 10:52:01)
WhatsApp déduit du numéro mobile — à confirmer</t>
      </text>
    </comment>
    <comment authorId="0" ref="U6">
      <text>
        <t xml:space="preserve">======
ID#AAACEw7hNnw
    (2026-08-03 10:52:01)
WhatsApp déduit du numéro mobile — à confirmer</t>
      </text>
    </comment>
    <comment authorId="0" ref="AD237">
      <text>
        <t xml:space="preserve">======
ID#AAACEw7hNOU
    (2026-08-03 10:52:01)
Équipement enfants inféré du type — AUTO · à valider</t>
      </text>
    </comment>
    <comment authorId="0" ref="AD138">
      <text>
        <t xml:space="preserve">======
ID#AAACEw7hMug
    (2026-08-03 10:52:01)
Équipement enfants inféré du type — AUTO · à valider</t>
      </text>
    </comment>
    <comment authorId="0" ref="AD105">
      <text>
        <t xml:space="preserve">======
ID#AAACEw7hNuk
    (2026-08-03 10:52:01)
Équipement enfants inféré du type — AUTO · à valider</t>
      </text>
    </comment>
    <comment authorId="0" ref="AD72">
      <text>
        <t xml:space="preserve">======
ID#AAACEw7hMek
    (2026-08-03 10:52:00)
Équipement enfants inféré du type — AUTO · à valider</t>
      </text>
    </comment>
    <comment authorId="0" ref="AD39">
      <text>
        <t xml:space="preserve">======
ID#AAACEw7hN74
    (2026-08-03 10:52:02)
Équipement enfants inféré du type — AUTO · à valider</t>
      </text>
    </comment>
    <comment authorId="0" ref="AD6">
      <text>
        <t xml:space="preserve">======
ID#AAACEw7hOOc
    (2026-08-03 10:52:02)
Équipement enfants inféré du type — AUTO · à valider</t>
      </text>
    </comment>
    <comment authorId="0" ref="T188">
      <text>
        <t xml:space="preserve">======
ID#AAACEw7hNoc
Salima Benchekroun    (2026-08-03 10:52:01)
Source: riadanyssates.com · Confiance: high</t>
      </text>
    </comment>
    <comment authorId="0" ref="T122">
      <text>
        <t xml:space="preserve">======
ID#AAACEw7hLuo
    (2026-08-03 10:52:00)
Tél via Google Places (juin 2026)</t>
      </text>
    </comment>
    <comment authorId="0" ref="T56">
      <text>
        <t xml:space="preserve">======
ID#AAACEw7hM8Q
    (2026-08-03 10:52:01)
Tél via Google Places (juin 2026)</t>
      </text>
    </comment>
    <comment authorId="0" ref="AD221">
      <text>
        <t xml:space="preserve">======
ID#AAACEw7hODc
    (2026-08-03 10:52:02)
Équipement enfants inféré du type — AUTO · à valider</t>
      </text>
    </comment>
    <comment authorId="0" ref="AD122">
      <text>
        <t xml:space="preserve">======
ID#AAACEw7hMFQ
    (2026-08-03 10:52:00)
Équipement enfants inféré du type — AUTO · à valider</t>
      </text>
    </comment>
    <comment authorId="0" ref="AD89">
      <text>
        <t xml:space="preserve">======
ID#AAACEw7hN-A
    (2026-08-03 10:52:02)
Équipement enfants inféré du type — AUTO · à valider</t>
      </text>
    </comment>
    <comment authorId="0" ref="AD56">
      <text>
        <t xml:space="preserve">======
ID#AAACEw7hNb8
    (2026-08-03 10:52:01)
Équipement enfants inféré du type — AUTO · à valider</t>
      </text>
    </comment>
    <comment authorId="0" ref="F288">
      <text>
        <t xml:space="preserve">======
ID#AAACEw7hNJM
    (2026-08-03 10:52:01)
Enrichissement web SOLÝVENTS — beldicountryclub.com + petitfute, juin 2026 (dès ~150 €)</t>
      </text>
    </comment>
    <comment authorId="0" ref="AD23">
      <text>
        <t xml:space="preserve">======
ID#AAACEw7hNhc
    (2026-08-03 10:52:01)
Équipement enfants inféré du type — AUTO · à valider</t>
      </text>
    </comment>
    <comment authorId="0" ref="F222">
      <text>
        <t xml:space="preserve">======
ID#AAACEw7hNUw
    (2026-08-03 10:52:01)
Enrichissement web SOLÝVENTS — lasultanahotels.com (fiche MICE/privatisation)</t>
      </text>
    </comment>
    <comment authorId="0" ref="U40">
      <text>
        <t xml:space="preserve">======
ID#AAACEw7hMOM
    (2026-08-03 10:52:00)
WhatsApp déduit du numéro mobile — à confirmer</t>
      </text>
    </comment>
    <comment authorId="0" ref="U7">
      <text>
        <t xml:space="preserve">======
ID#AAACEw7hNO8
    (2026-08-03 10:52:01)
WhatsApp déduit du numéro mobile — à confirmer</t>
      </text>
    </comment>
    <comment authorId="0" ref="AD139">
      <text>
        <t xml:space="preserve">======
ID#AAACEw7hOl4
    (2026-08-03 10:52:02)
Équipement enfants inféré du type — AUTO · à valider</t>
      </text>
    </comment>
    <comment authorId="0" ref="AD106">
      <text>
        <t xml:space="preserve">======
ID#AAACEw7hL3s
    (2026-08-03 10:52:00)
Équipement enfants inféré du type — AUTO · à valider</t>
      </text>
    </comment>
    <comment authorId="0" ref="AD73">
      <text>
        <t xml:space="preserve">======
ID#AAACEw7hOpk
    (2026-08-03 10:52:02)
Équipement enfants inféré du type — AUTO · à valider</t>
      </text>
    </comment>
    <comment authorId="0" ref="AD40">
      <text>
        <t xml:space="preserve">======
ID#AAACEw7hMfM
    (2026-08-03 10:52:00)
Équipement enfants inféré du type — AUTO · à valider</t>
      </text>
    </comment>
    <comment authorId="0" ref="F239">
      <text>
        <t xml:space="preserve">======
ID#AAACEw7hNEY
    (2026-08-03 10:52:01)
Enrichissement web SOLÝVENTS — Enseigne Club Med · site officiel à confirmer</t>
      </text>
    </comment>
    <comment authorId="0" ref="AD7">
      <text>
        <t xml:space="preserve">======
ID#AAACEw7hMGY
    (2026-08-03 10:52:00)
Équipement enfants inféré du type — AUTO · à valider</t>
      </text>
    </comment>
    <comment authorId="0" ref="U123">
      <text>
        <t xml:space="preserve">======
ID#AAACEw7hMwo
    (2026-08-03 10:52:01)
WhatsApp déduit du numéro mobile — à confirmer</t>
      </text>
    </comment>
    <comment authorId="0" ref="T57">
      <text>
        <t xml:space="preserve">======
ID#AAACEw7hOak
    (2026-08-03 10:52:02)
Tél via Google Places (juin 2026)</t>
      </text>
    </comment>
    <comment authorId="0" ref="AD288">
      <text>
        <t xml:space="preserve">======
ID#AAACEw7hObM
    (2026-08-03 10:52:02)
Équipement enfants inféré du type — AUTO · à valider</t>
      </text>
    </comment>
    <comment authorId="0" ref="AD222">
      <text>
        <t xml:space="preserve">======
ID#AAACEw7hNF0
    (2026-08-03 10:52:01)
Équipement enfants inféré du type — AUTO · à valider</t>
      </text>
    </comment>
    <comment authorId="0" ref="AD123">
      <text>
        <t xml:space="preserve">======
ID#AAACEw7hL7g
    (2026-08-03 10:52:00)
Équipement enfants inféré du type — AUTO · à valider</t>
      </text>
    </comment>
    <comment authorId="0" ref="AD90">
      <text>
        <t xml:space="preserve">======
ID#AAACEw7hNWc
    (2026-08-03 10:52:01)
Équipement enfants inféré du type — AUTO · à valider</t>
      </text>
    </comment>
    <comment authorId="0" ref="AD57">
      <text>
        <t xml:space="preserve">======
ID#AAACEw7hLuI
    (2026-08-03 10:52:00)
Équipement enfants inféré du type — AUTO · à valider</t>
      </text>
    </comment>
    <comment authorId="0" ref="AD24">
      <text>
        <t xml:space="preserve">======
ID#AAACEw7hMLc
    (2026-08-03 10:52:00)
Équipement enfants inféré du type — AUTO · à valider</t>
      </text>
    </comment>
    <comment authorId="0" ref="F223">
      <text>
        <t xml:space="preserve">======
ID#AAACEw7hOMI
    (2026-08-03 10:52:02)
Enrichissement web SOLÝVENTS — Enseigne Riad Farnatchi · fiche séminaires</t>
      </text>
    </comment>
    <comment authorId="0" ref="T107">
      <text>
        <t xml:space="preserve">======
ID#AAACEw7hOOI
    (2026-08-03 10:52:02)
Tél via Google Places (juin 2026)</t>
      </text>
    </comment>
    <comment authorId="0" ref="AD239">
      <text>
        <t xml:space="preserve">======
ID#AAACEw7hNwA
    (2026-08-03 10:52:01)
Équipement enfants inféré du type — AUTO · à valider</t>
      </text>
    </comment>
    <comment authorId="0" ref="AD140">
      <text>
        <t xml:space="preserve">======
ID#AAACEw7hMUo
    (2026-08-03 10:52:00)
Équipement enfants inféré du type — AUTO · à valider</t>
      </text>
    </comment>
    <comment authorId="0" ref="AD107">
      <text>
        <t xml:space="preserve">======
ID#AAACEw7hNfQ
    (2026-08-03 10:52:01)
Équipement enfants inféré du type — AUTO · à valider</t>
      </text>
    </comment>
    <comment authorId="0" ref="AD74">
      <text>
        <t xml:space="preserve">======
ID#AAACEw7hOPI
    (2026-08-03 10:52:02)
Équipement enfants inféré du type — AUTO · à valider</t>
      </text>
    </comment>
    <comment authorId="0" ref="AD41">
      <text>
        <t xml:space="preserve">======
ID#AAACEw7hOGI
    (2026-08-03 10:52:02)
Équipement enfants inféré du type — AUTO · à valider</t>
      </text>
    </comment>
    <comment authorId="0" ref="AD8">
      <text>
        <t xml:space="preserve">======
ID#AAACEw7hNOc
    (2026-08-03 10:52:01)
Équipement enfants inféré du type — AUTO · à valider</t>
      </text>
    </comment>
    <comment authorId="0" ref="F240">
      <text>
        <t xml:space="preserve">======
ID#AAACEw7hNF4
    (2026-08-03 10:52:01)
Enrichissement web SOLÝVENTS — Enseigne Club Med · site officiel à confirmer</t>
      </text>
    </comment>
    <comment authorId="0" ref="T58">
      <text>
        <t xml:space="preserve">======
ID#AAACEw7hNBM
    (2026-08-03 10:52:01)
Tél via Google Places (juin 2026)</t>
      </text>
    </comment>
    <comment authorId="0" ref="AD223">
      <text>
        <t xml:space="preserve">======
ID#AAACEw7hN2k
    (2026-08-03 10:52:02)
Équipement enfants inféré du type — AUTO · à valider</t>
      </text>
    </comment>
    <comment authorId="0" ref="AD124">
      <text>
        <t xml:space="preserve">======
ID#AAACEw7hOOY
    (2026-08-03 10:52:02)
Équipement enfants inféré du type — AUTO · à valider</t>
      </text>
    </comment>
    <comment authorId="0" ref="AD91">
      <text>
        <t xml:space="preserve">======
ID#AAACEw7hNn8
    (2026-08-03 10:52:01)
Équipement enfants inféré du type — AUTO · à valider</t>
      </text>
    </comment>
    <comment authorId="0" ref="AD58">
      <text>
        <t xml:space="preserve">======
ID#AAACEw7hLx8
    (2026-08-03 10:52:00)
Équipement enfants inféré du type — AUTO · à valider</t>
      </text>
    </comment>
    <comment authorId="0" ref="AD25">
      <text>
        <t xml:space="preserve">======
ID#AAACEw7hML0
    (2026-08-03 10:52:00)
Équipement enfants inféré du type — AUTO · à valider</t>
      </text>
    </comment>
    <comment authorId="0" ref="F224">
      <text>
        <t xml:space="preserve">======
ID#AAACEw7hOAA
    (2026-08-03 10:52:02)
Enrichissement web SOLÝVENTS — inaracamp.com, juin 2026</t>
      </text>
    </comment>
    <comment authorId="0" ref="T108">
      <text>
        <t xml:space="preserve">======
ID#AAACEw7hMJ0
    (2026-08-03 10:52:00)
Tél via Google Places (juin 2026)</t>
      </text>
    </comment>
    <comment authorId="0" ref="T42">
      <text>
        <t xml:space="preserve">======
ID#AAACEw7hMgo
    (2026-08-03 10:52:00)
Tél via Google Places (juin 2026)</t>
      </text>
    </comment>
    <comment authorId="0" ref="AD240">
      <text>
        <t xml:space="preserve">======
ID#AAACEw7hNpM
    (2026-08-03 10:52:01)
Équipement enfants inféré du type — AUTO · à valider</t>
      </text>
    </comment>
    <comment authorId="0" ref="AD108">
      <text>
        <t xml:space="preserve">======
ID#AAACEw7hL9A
    (2026-08-03 10:52:00)
Équipement enfants inféré du type — AUTO · à valider</t>
      </text>
    </comment>
    <comment authorId="0" ref="AD75">
      <text>
        <t xml:space="preserve">======
ID#AAACEw7hNa4
    (2026-08-03 10:52:01)
Équipement enfants inféré du type — AUTO · à valider</t>
      </text>
    </comment>
    <comment authorId="0" ref="AD42">
      <text>
        <t xml:space="preserve">======
ID#AAACEw7hMnQ
    (2026-08-03 10:52:00)
Équipement enfants inféré du type — AUTO · à valider</t>
      </text>
    </comment>
    <comment authorId="0" ref="AD9">
      <text>
        <t xml:space="preserve">======
ID#AAACEw7hMcA
    (2026-08-03 10:52:00)
Équipement enfants inféré du type — AUTO · à valider</t>
      </text>
    </comment>
    <comment authorId="0" ref="T191">
      <text>
        <t xml:space="preserve">======
ID#AAACEw7hMQw
Salima Benchekroun    (2026-08-03 10:52:00)
Source: dar-housnia.com · Confiance: high</t>
      </text>
    </comment>
    <comment authorId="0" ref="F241">
      <text>
        <t xml:space="preserve">======
ID#AAACEw7hL4c
Salima Benchekroun    (2026-08-03 10:52:00)
Produit premium (catégorie de chambre haut de gamme) créé en fiche distincte. Base : The Oberoi Marrakech (H004).</t>
      </text>
    </comment>
    <comment authorId="0" ref="F208">
      <text>
        <t xml:space="preserve">======
ID#AAACEw7hNOw
    (2026-08-03 10:52:01)
Enrichissement web SOLÝVENTS — lasultanahotels.com / SLH / olielo, juin 2026</t>
      </text>
    </comment>
    <comment authorId="0" ref="T92">
      <text>
        <t xml:space="preserve">======
ID#AAACEw7hL4Y
    (2026-08-03 10:52:00)
Tél via Google Places (juin 2026)</t>
      </text>
    </comment>
    <comment authorId="0" ref="U59">
      <text>
        <t xml:space="preserve">======
ID#AAACEw7hMKI
    (2026-08-03 10:52:00)
WhatsApp déduit du numéro mobile — à confirmer</t>
      </text>
    </comment>
    <comment authorId="0" ref="AD224">
      <text>
        <t xml:space="preserve">======
ID#AAACEw7hM9s
    (2026-08-03 10:52:01)
Équipement enfants inféré du type — AUTO · à valider</t>
      </text>
    </comment>
    <comment authorId="0" ref="AD125">
      <text>
        <t xml:space="preserve">======
ID#AAACEw7hM0Q
    (2026-08-03 10:52:01)
Équipement enfants inféré du type — AUTO · à valider</t>
      </text>
    </comment>
    <comment authorId="0" ref="AD92">
      <text>
        <t xml:space="preserve">======
ID#AAACEw7hMIo
    (2026-08-03 10:52:00)
Équipement enfants inféré du type — AUTO · à valider</t>
      </text>
    </comment>
    <comment authorId="0" ref="AD59">
      <text>
        <t xml:space="preserve">======
ID#AAACEw7hNFs
    (2026-08-03 10:52:01)
Équipement enfants inféré du type — AUTO · à valider</t>
      </text>
    </comment>
    <comment authorId="0" ref="AD26">
      <text>
        <t xml:space="preserve">======
ID#AAACEw7hOCI
    (2026-08-03 10:52:02)
Équipement enfants inféré du type — AUTO · à valider</t>
      </text>
    </comment>
    <comment authorId="0" ref="F225">
      <text>
        <t xml:space="preserve">======
ID#AAACEw7hMRw
    (2026-08-03 10:52:00)
Enrichissement web SOLÝVENTS — Enseigne Four Seasons · fiche MICE</t>
      </text>
    </comment>
    <comment authorId="0" ref="U43">
      <text>
        <t xml:space="preserve">======
ID#AAACEw7hOcw
    (2026-08-03 10:52:02)
WhatsApp déduit du numéro mobile — à confirmer</t>
      </text>
    </comment>
    <comment authorId="0" ref="AD208">
      <text>
        <t xml:space="preserve">======
ID#AAACEw7hMx4
    (2026-08-03 10:52:01)
Équipement enfants inféré du type — AUTO · à valider</t>
      </text>
    </comment>
    <comment authorId="0" ref="AD109">
      <text>
        <t xml:space="preserve">======
ID#AAACEw7hM-A
    (2026-08-03 10:52:01)
Équipement enfants inféré du type — AUTO · à valider</t>
      </text>
    </comment>
    <comment authorId="0" ref="AD76">
      <text>
        <t xml:space="preserve">======
ID#AAACEw7hOFw
    (2026-08-03 10:52:02)
Équipement enfants inféré du type — AUTO · à valider</t>
      </text>
    </comment>
    <comment authorId="0" ref="AD43">
      <text>
        <t xml:space="preserve">======
ID#AAACEw7hMeo
    (2026-08-03 10:52:00)
Équipement enfants inféré du type — AUTO · à valider</t>
      </text>
    </comment>
    <comment authorId="0" ref="AD10">
      <text>
        <t xml:space="preserve">======
ID#AAACEw7hOO8
    (2026-08-03 10:52:02)
Équipement enfants inféré du type — AUTO · à valider</t>
      </text>
    </comment>
    <comment authorId="0" ref="F242">
      <text>
        <t xml:space="preserve">======
ID#AAACEw7hM9Q
Salima Benchekroun    (2026-08-03 10:52:01)
Produit premium créé en fiche distincte. Base : Amanjena (H006).</t>
      </text>
    </comment>
    <comment authorId="0" ref="F209">
      <text>
        <t xml:space="preserve">======
ID#AAACEw7hOOk
    (2026-08-03 10:52:02)
Enrichissement web SOLÝVENTS — Guide Michelin + Mr&amp;Mrs Smith + myboutiquehotel, juin 2026 · Rue Al Madina, Lot. Arsa Zahia, près Jardin Majorelle</t>
      </text>
    </comment>
    <comment authorId="0" ref="U93">
      <text>
        <t xml:space="preserve">======
ID#AAACEw7hNig
    (2026-08-03 10:52:01)
WhatsApp déduit du numéro mobile — à confirmer</t>
      </text>
    </comment>
    <comment authorId="0" ref="U60">
      <text>
        <t xml:space="preserve">======
ID#AAACEw7hOXo
    (2026-08-03 10:52:02)
WhatsApp déduit du numéro mobile — à confirmer</t>
      </text>
    </comment>
    <comment authorId="0" ref="AD225">
      <text>
        <t xml:space="preserve">======
ID#AAACEw7hNtw
    (2026-08-03 10:52:01)
Équipement enfants inféré du type — AUTO · à valider</t>
      </text>
    </comment>
    <comment authorId="0" ref="AD126">
      <text>
        <t xml:space="preserve">======
ID#AAACEw7hNlc
    (2026-08-03 10:52:01)
Équipement enfants inféré du type — AUTO · à valider</t>
      </text>
    </comment>
    <comment authorId="0" ref="AD93">
      <text>
        <t xml:space="preserve">======
ID#AAACEw7hOHA
    (2026-08-03 10:52:02)
Équipement enfants inféré du type — AUTO · à valider</t>
      </text>
    </comment>
    <comment authorId="0" ref="AD60">
      <text>
        <t xml:space="preserve">======
ID#AAACEw7hL6s
    (2026-08-03 10:52:00)
Équipement enfants inféré du type — AUTO · à valider</t>
      </text>
    </comment>
    <comment authorId="0" ref="AD27">
      <text>
        <t xml:space="preserve">======
ID#AAACEw7hNPE
    (2026-08-03 10:52:01)
Équipement enfants inféré du type — AUTO · à valider</t>
      </text>
    </comment>
    <comment authorId="0" ref="F226">
      <text>
        <t xml:space="preserve">======
ID#AAACEw7hOPc
    (2026-08-03 10:52:02)
Enrichissement web SOLÝVENTS — Enseigne Mandarin Oriental · fiche MICE</t>
      </text>
    </comment>
    <comment authorId="0" ref="AD209">
      <text>
        <t xml:space="preserve">======
ID#AAACEw7hOio
    (2026-08-03 10:52:02)
Équipement enfants inféré du type — AUTO · à valider</t>
      </text>
    </comment>
    <comment authorId="0" ref="AD110">
      <text>
        <t xml:space="preserve">======
ID#AAACEw7hNdM
    (2026-08-03 10:52:01)
Équipement enfants inféré du type — AUTO · à valider</t>
      </text>
    </comment>
    <comment authorId="0" ref="AD77">
      <text>
        <t xml:space="preserve">======
ID#AAACEw7hLwg
    (2026-08-03 10:52:00)
Équipement enfants inféré du type — AUTO · à valider</t>
      </text>
    </comment>
    <comment authorId="0" ref="AD44">
      <text>
        <t xml:space="preserve">======
ID#AAACEw7hMXk
    (2026-08-03 10:52:00)
Équipement enfants inféré du type — AUTO · à valider</t>
      </text>
    </comment>
    <comment authorId="0" ref="F243">
      <text>
        <t xml:space="preserve">======
ID#AAACEw7hMXE
Salima Benchekroun    (2026-08-03 10:52:00)
Produit premium créé en fiche distincte. Base : Four Seasons Resort Marrakech (H007).</t>
      </text>
    </comment>
    <comment authorId="0" ref="AD11">
      <text>
        <t xml:space="preserve">======
ID#AAACEw7hL3U
    (2026-08-03 10:52:00)
Équipement enfants inféré du type — AUTO · à valider</t>
      </text>
    </comment>
    <comment authorId="0" ref="F210">
      <text>
        <t xml:space="preserve">======
ID#AAACEw7hOgg
    (2026-08-03 10:52:02)
Enrichissement web SOLÝVENTS — Positionnement Ouirgane · site à confirmer</t>
      </text>
    </comment>
    <comment authorId="0" ref="U94">
      <text>
        <t xml:space="preserve">======
ID#AAACEw7hL3E
    (2026-08-03 10:52:00)
WhatsApp déduit du numéro mobile — à confirmer</t>
      </text>
    </comment>
    <comment authorId="0" ref="AD226">
      <text>
        <t xml:space="preserve">======
ID#AAACEw7hL-U
    (2026-08-03 10:52:00)
Équipement enfants inféré du type — AUTO · à valider</t>
      </text>
    </comment>
    <comment authorId="0" ref="AD127">
      <text>
        <t xml:space="preserve">======
ID#AAACEw7hOnE
    (2026-08-03 10:52:02)
Équipement enfants inféré du type — AUTO · à valider</t>
      </text>
    </comment>
    <comment authorId="0" ref="AD94">
      <text>
        <t xml:space="preserve">======
ID#AAACEw7hMT0
    (2026-08-03 10:52:00)
Équipement enfants inféré du type — AUTO · à valider</t>
      </text>
    </comment>
    <comment authorId="0" ref="AD61">
      <text>
        <t xml:space="preserve">======
ID#AAACEw7hNWA
    (2026-08-03 10:52:01)
Équipement enfants inféré du type — AUTO · à valider</t>
      </text>
    </comment>
    <comment authorId="0" ref="AD28">
      <text>
        <t xml:space="preserve">======
ID#AAACEw7hOfY
    (2026-08-03 10:52:02)
Équipement enfants inféré du type — AUTO · à valider</t>
      </text>
    </comment>
    <comment authorId="0" ref="F227">
      <text>
        <t xml:space="preserve">======
ID#AAACEw7hNpI
    (2026-08-03 10:52:01)
Enrichissement web SOLÝVENTS — Enseigne Aman / Amanjena · fiche retraite</t>
      </text>
    </comment>
    <comment authorId="0" ref="T78">
      <text>
        <t xml:space="preserve">======
ID#AAACEw7hOd8
    (2026-08-03 10:52:02)
Tél via Google Places (juin 2026)</t>
      </text>
    </comment>
    <comment authorId="0" ref="AD210">
      <text>
        <t xml:space="preserve">======
ID#AAACEw7hL0k
    (2026-08-03 10:52:00)
Équipement enfants inféré du type — AUTO · à valider</t>
      </text>
    </comment>
    <comment authorId="0" ref="AD111">
      <text>
        <t xml:space="preserve">======
ID#AAACEw7hMtc
    (2026-08-03 10:52:01)
Équipement enfants inféré du type — AUTO · à valider</t>
      </text>
    </comment>
    <comment authorId="0" ref="AD78">
      <text>
        <t xml:space="preserve">======
ID#AAACEw7hME0
    (2026-08-03 10:52:00)
Équipement enfants inféré du type — AUTO · à valider</t>
      </text>
    </comment>
    <comment authorId="0" ref="AD45">
      <text>
        <t xml:space="preserve">======
ID#AAACEw7hM-o
    (2026-08-03 10:52:01)
Équipement enfants inféré du type — AUTO · à valider</t>
      </text>
    </comment>
    <comment authorId="0" ref="AD12">
      <text>
        <t xml:space="preserve">======
ID#AAACEw7hL48
    (2026-08-03 10:52:00)
Équipement enfants inféré du type — AUTO · à valider</t>
      </text>
    </comment>
    <comment authorId="0" ref="T161">
      <text>
        <t xml:space="preserve">======
ID#AAACEw7hNvs
Salima Benchekroun    (2026-08-03 10:52:01)
Source: aggregator · Confiance: medium</t>
      </text>
    </comment>
    <comment authorId="0" ref="F211">
      <text>
        <t xml:space="preserve">======
ID#AAACEw7hMmY
    (2026-08-03 10:52:00)
Enrichissement web SOLÝVENTS — lapause-marrakech.com + Booking, juin 2026</t>
      </text>
    </comment>
    <comment authorId="0" ref="U128">
      <text>
        <t xml:space="preserve">======
ID#AAACEw7hNpo
    (2026-08-03 10:52:01)
WhatsApp déduit du numéro mobile — à confirmer</t>
      </text>
    </comment>
    <comment authorId="0" ref="U95">
      <text>
        <t xml:space="preserve">======
ID#AAACEw7hOfc
    (2026-08-03 10:52:02)
WhatsApp déduit du numéro mobile — à confirmer</t>
      </text>
    </comment>
    <comment authorId="0" ref="U62">
      <text>
        <t xml:space="preserve">======
ID#AAACEw7hMu4
    (2026-08-03 10:52:01)
WhatsApp déduit du numéro mobile — à confirmer</t>
      </text>
    </comment>
    <comment authorId="0" ref="AD227">
      <text>
        <t xml:space="preserve">======
ID#AAACEw7hLvg
    (2026-08-03 10:52:00)
Équipement enfants inféré du type — AUTO · à valider</t>
      </text>
    </comment>
    <comment authorId="0" ref="AD128">
      <text>
        <t xml:space="preserve">======
ID#AAACEw7hOkM
    (2026-08-03 10:52:02)
Équipement enfants inféré du type — AUTO · à valider</t>
      </text>
    </comment>
    <comment authorId="0" ref="AD95">
      <text>
        <t xml:space="preserve">======
ID#AAACEw7hL2Q
    (2026-08-03 10:52:00)
Équipement enfants inféré du type — AUTO · à valider</t>
      </text>
    </comment>
    <comment authorId="0" ref="AD62">
      <text>
        <t xml:space="preserve">======
ID#AAACEw7hOkg
    (2026-08-03 10:52:02)
Équipement enfants inféré du type — AUTO · à valider</t>
      </text>
    </comment>
    <comment authorId="0" ref="AD29">
      <text>
        <t xml:space="preserve">======
ID#AAACEw7hOKQ
    (2026-08-03 10:52:02)
Équipement enfants inféré du type — AUTO · à valider</t>
      </text>
    </comment>
    <comment authorId="0" ref="F228">
      <text>
        <t xml:space="preserve">======
ID#AAACEw7hNn0
    (2026-08-03 10:52:01)
Enrichissement web SOLÝVENTS — Enseigne Oberoi · fiche slow luxury</t>
      </text>
    </comment>
    <comment authorId="0" ref="U211">
      <text>
        <t xml:space="preserve">======
ID#AAACEw7hNCo
    (2026-08-03 10:52:01)
WhatsApp déduit du numéro mobile — à confirmer</t>
      </text>
    </comment>
    <comment authorId="0" ref="T79">
      <text>
        <t xml:space="preserve">======
ID#AAACEw7hOMY
    (2026-08-03 10:52:02)
Tél via Google Places (juin 2026)</t>
      </text>
    </comment>
    <comment authorId="0" ref="AD211">
      <text>
        <t xml:space="preserve">======
ID#AAACEw7hOQA
    (2026-08-03 10:52:02)
Équipement enfants inféré du type — AUTO · à valider</t>
      </text>
    </comment>
    <comment authorId="0" ref="AD112">
      <text>
        <t xml:space="preserve">======
ID#AAACEw7hM9g
    (2026-08-03 10:52:01)
Équipement enfants inféré du type — AUTO · à valider</t>
      </text>
    </comment>
    <comment authorId="0" ref="AD79">
      <text>
        <t xml:space="preserve">======
ID#AAACEw7hNvc
    (2026-08-03 10:52:01)
Équipement enfants inféré du type — AUTO · à valider</t>
      </text>
    </comment>
    <comment authorId="0" ref="AD46">
      <text>
        <t xml:space="preserve">======
ID#AAACEw7hMiI
    (2026-08-03 10:52:00)
Équipement enfants inféré du type — AUTO · à valider</t>
      </text>
    </comment>
    <comment authorId="0" ref="AD13">
      <text>
        <t xml:space="preserve">======
ID#AAACEw7hMhY
    (2026-08-03 10:52:00)
Équipement enfants inféré du type — AUTO · à valider</t>
      </text>
    </comment>
    <comment authorId="0" ref="F212">
      <text>
        <t xml:space="preserve">======
ID#AAACEw7hOgU
    (2026-08-03 10:52:02)
Enrichissement web SOLÝVENTS — virginlimitededition.com + presse 2024-2026 (rénové, 28→42 ch, dès 675 €)</t>
      </text>
    </comment>
    <comment authorId="0" ref="T96">
      <text>
        <t xml:space="preserve">======
ID#AAACEw7hMHw
    (2026-08-03 10:52:00)
Tél via Google Places (juin 2026)</t>
      </text>
    </comment>
    <comment authorId="0" ref="AD228">
      <text>
        <t xml:space="preserve">======
ID#AAACEw7hNGA
    (2026-08-03 10:52:01)
Équipement enfants inféré du type — AUTO · à valider</t>
      </text>
    </comment>
    <comment authorId="0" ref="AD129">
      <text>
        <t xml:space="preserve">======
ID#AAACEw7hLxI
    (2026-08-03 10:52:00)
Équipement enfants inféré du type — AUTO · à valider</t>
      </text>
    </comment>
    <comment authorId="0" ref="AD96">
      <text>
        <t xml:space="preserve">======
ID#AAACEw7hMq8
    (2026-08-03 10:52:00)
Équipement enfants inféré du type — AUTO · à valider</t>
      </text>
    </comment>
    <comment authorId="0" ref="AD63">
      <text>
        <t xml:space="preserve">======
ID#AAACEw7hMlQ
    (2026-08-03 10:52:00)
Équipement enfants inféré du type — AUTO · à valider</t>
      </text>
    </comment>
    <comment authorId="0" ref="AD30">
      <text>
        <t xml:space="preserve">======
ID#AAACEw7hNqU
    (2026-08-03 10:52:01)
Équipement enfants inféré du type — AUTO · à valider</t>
      </text>
    </comment>
    <comment authorId="0" ref="F229">
      <text>
        <t xml:space="preserve">======
ID#AAACEw7hMMo
    (2026-08-03 10:52:00)
Enrichissement web SOLÝVENTS — Enseigne Selman · fiche spa/wellness</t>
      </text>
    </comment>
    <comment authorId="0" ref="T47">
      <text>
        <t xml:space="preserve">======
ID#AAACEw7hMJM
    (2026-08-03 10:52:00)
Tél via Google Places (juin 2026)</t>
      </text>
    </comment>
    <comment authorId="0" ref="U14">
      <text>
        <t xml:space="preserve">======
ID#AAACEw7hMYw
    (2026-08-03 10:52:00)
WhatsApp déduit du numéro mobile — à confirmer</t>
      </text>
    </comment>
    <comment authorId="0" ref="AD212">
      <text>
        <t xml:space="preserve">======
ID#AAACEw7hMTs
    (2026-08-03 10:52:00)
Équipement enfants inféré du type — AUTO · à valider</t>
      </text>
    </comment>
    <comment authorId="0" ref="AD113">
      <text>
        <t xml:space="preserve">======
ID#AAACEw7hNVY
    (2026-08-03 10:52:01)
Équipement enfants inféré du type — AUTO · à valider</t>
      </text>
    </comment>
    <comment authorId="0" ref="AD80">
      <text>
        <t xml:space="preserve">======
ID#AAACEw7hMcY
    (2026-08-03 10:52:00)
Équipement enfants inféré du type — AUTO · à valider</t>
      </text>
    </comment>
    <comment authorId="0" ref="AD47">
      <text>
        <t xml:space="preserve">======
ID#AAACEw7hMN0
    (2026-08-03 10:52:00)
Équipement enfants inféré du type — AUTO · à valider</t>
      </text>
    </comment>
    <comment authorId="0" ref="AD14">
      <text>
        <t xml:space="preserve">======
ID#AAACEw7hMc0
    (2026-08-03 10:52:00)
Équipement enfants inféré du type — AUTO · à valider</t>
      </text>
    </comment>
    <comment authorId="0" ref="F213">
      <text>
        <t xml:space="preserve">======
ID#AAACEw7hM5Q
    (2026-08-03 10:52:01)
Enrichissement web SOLÝVENTS — Positionnement éco-lodge Ourika · site à confirmer</t>
      </text>
    </comment>
    <comment authorId="0" ref="T64">
      <text>
        <t xml:space="preserve">======
ID#AAACEw7hM5c
    (2026-08-03 10:52:01)
Tél via Google Places (juin 2026)</t>
      </text>
    </comment>
    <comment authorId="0" ref="U97">
      <text>
        <t xml:space="preserve">======
ID#AAACEw7hN-Y
    (2026-08-03 10:52:02)
WhatsApp déduit du numéro mobile — à confirmer</t>
      </text>
    </comment>
    <comment authorId="0" ref="AD229">
      <text>
        <t xml:space="preserve">======
ID#AAACEw7hOpE
    (2026-08-03 10:52:02)
Équipement enfants inféré du type — AUTO · à valider</t>
      </text>
    </comment>
    <comment authorId="0" ref="AD130">
      <text>
        <t xml:space="preserve">======
ID#AAACEw7hMeA
    (2026-08-03 10:52:00)
Équipement enfants inféré du type — AUTO · à valider</t>
      </text>
    </comment>
    <comment authorId="0" ref="AD97">
      <text>
        <t xml:space="preserve">======
ID#AAACEw7hL-A
    (2026-08-03 10:52:00)
Équipement enfants inféré du type — AUTO · à valider</t>
      </text>
    </comment>
    <comment authorId="0" ref="AD64">
      <text>
        <t xml:space="preserve">======
ID#AAACEw7hMqg
    (2026-08-03 10:52:00)
Équipement enfants inféré du type — AUTO · à valider</t>
      </text>
    </comment>
    <comment authorId="0" ref="AD31">
      <text>
        <t xml:space="preserve">======
ID#AAACEw7hNxk
    (2026-08-03 10:52:01)
Équipement enfants inféré du type — AUTO · à valider</t>
      </text>
    </comment>
    <comment authorId="0" ref="F230">
      <text>
        <t xml:space="preserve">======
ID#AAACEw7hOPg
    (2026-08-03 10:52:02)
Enrichissement web SOLÝVENTS — Enseigne Villa des Orangers · Relais &amp; Châteaux</t>
      </text>
    </comment>
    <comment authorId="0" ref="U213">
      <text>
        <t xml:space="preserve">======
ID#AAACEw7hOOU
    (2026-08-03 10:52:02)
WhatsApp déduit du numéro mobile — à confirmer</t>
      </text>
    </comment>
    <comment authorId="0" ref="T48">
      <text>
        <t xml:space="preserve">======
ID#AAACEw7hNj4
    (2026-08-03 10:52:01)
Tél via Google Places (juin 2026)</t>
      </text>
    </comment>
    <comment authorId="0" ref="T15">
      <text>
        <t xml:space="preserve">======
ID#AAACEw7hNHE
    (2026-08-03 10:52:01)
Tél via Google Places (juin 2026)</t>
      </text>
    </comment>
    <comment authorId="0" ref="AD213">
      <text>
        <t xml:space="preserve">======
ID#AAACEw7hNVM
    (2026-08-03 10:52:01)
Équipement enfants inféré du type — AUTO · à valider</t>
      </text>
    </comment>
    <comment authorId="0" ref="AD114">
      <text>
        <t xml:space="preserve">======
ID#AAACEw7hOhI
    (2026-08-03 10:52:02)
Équipement enfants inféré du type — AUTO · à valider</t>
      </text>
    </comment>
    <comment authorId="0" ref="AD81">
      <text>
        <t xml:space="preserve">======
ID#AAACEw7hOnM
    (2026-08-03 10:52:02)
Équipement enfants inféré du type — AUTO · à valider</t>
      </text>
    </comment>
    <comment authorId="0" ref="AD48">
      <text>
        <t xml:space="preserve">======
ID#AAACEw7hOMA
    (2026-08-03 10:52:02)
Équipement enfants inféré du type — AUTO · à valider</t>
      </text>
    </comment>
    <comment authorId="0" ref="AD15">
      <text>
        <t xml:space="preserve">======
ID#AAACEw7hMAY
    (2026-08-03 10:52:00)
Équipement enfants inféré du type — AUTO · à valider</t>
      </text>
    </comment>
    <comment authorId="0" ref="T164">
      <text>
        <t xml:space="preserve">======
ID#AAACEw7hOWk
Salima Benchekroun    (2026-08-03 10:52:02)
Source: riad-dar-k.com · Confiance: high</t>
      </text>
    </comment>
    <comment authorId="0" ref="F214">
      <text>
        <t xml:space="preserve">======
ID#AAACEw7hN5Y
    (2026-08-03 10:52:02)
Enrichissement web SOLÝVENTS — Lodge Imlil · site à confirmer</t>
      </text>
    </comment>
    <comment authorId="0" ref="T98">
      <text>
        <t xml:space="preserve">======
ID#AAACEw7hMfw
    (2026-08-03 10:52:00)
Tél via Google Places (juin 2026)</t>
      </text>
    </comment>
    <comment authorId="0" ref="T65">
      <text>
        <t xml:space="preserve">======
ID#AAACEw7hM_I
    (2026-08-03 10:52:01)
Tél via Google Places (juin 2026)</t>
      </text>
    </comment>
    <comment authorId="0" ref="G16">
      <text>
        <t xml:space="preserve">======
ID#AAACEw7hObg
    (2026-08-03 10:52:02)
Enrichissement web SOLÝVENTS — Booking + site officiel lapause-marrakech.com + Hôtel&amp;Lodge Magazine, juin 2026</t>
      </text>
    </comment>
    <comment authorId="0" ref="AD230">
      <text>
        <t xml:space="preserve">======
ID#AAACEw7hN5w
    (2026-08-03 10:52:02)
Équipement enfants inféré du type — AUTO · à valider</t>
      </text>
    </comment>
    <comment authorId="0" ref="AD131">
      <text>
        <t xml:space="preserve">======
ID#AAACEw7hMUE
    (2026-08-03 10:52:00)
Équipement enfants inféré du type — AUTO · à valider</t>
      </text>
    </comment>
    <comment authorId="0" ref="AD98">
      <text>
        <t xml:space="preserve">======
ID#AAACEw7hMfo
    (2026-08-03 10:52:00)
Équipement enfants inféré du type — AUTO · à valider</t>
      </text>
    </comment>
    <comment authorId="0" ref="AD65">
      <text>
        <t xml:space="preserve">======
ID#AAACEw7hNZg
    (2026-08-03 10:52:01)
Équipement enfants inféré du type — AUTO · à valider</t>
      </text>
    </comment>
    <comment authorId="0" ref="AD32">
      <text>
        <t xml:space="preserve">======
ID#AAACEw7hOZ4
    (2026-08-03 10:52:02)
Équipement enfants inféré du type — AUTO · à valider</t>
      </text>
    </comment>
    <comment authorId="0" ref="F231">
      <text>
        <t xml:space="preserve">======
ID#AAACEw7hOL4
    (2026-08-03 10:52:02)
Enrichissement web SOLÝVENTS — Enseigne Villa des Orangers · Relais &amp; Châteaux</t>
      </text>
    </comment>
    <comment authorId="0" ref="T82">
      <text>
        <t xml:space="preserve">======
ID#AAACEw7hNxU
    (2026-08-03 10:52:01)
Tél via Google Places (juin 2026)</t>
      </text>
    </comment>
    <comment authorId="0" ref="AD214">
      <text>
        <t xml:space="preserve">======
ID#AAACEw7hNLI
    (2026-08-03 10:52:01)
Équipement enfants inféré du type — AUTO · à valider</t>
      </text>
    </comment>
    <comment authorId="0" ref="AD115">
      <text>
        <t xml:space="preserve">======
ID#AAACEw7hMlM
    (2026-08-03 10:52:00)
Équipement enfants inféré du type — AUTO · à valider</t>
      </text>
    </comment>
    <comment authorId="0" ref="AD82">
      <text>
        <t xml:space="preserve">======
ID#AAACEw7hOjs
    (2026-08-03 10:52:02)
Équipement enfants inféré du type — AUTO · à valider</t>
      </text>
    </comment>
    <comment authorId="0" ref="AD49">
      <text>
        <t xml:space="preserve">======
ID#AAACEw7hM1A
    (2026-08-03 10:52:01)
Équipement enfants inféré du type — AUTO · à valider</t>
      </text>
    </comment>
    <comment authorId="0" ref="AD16">
      <text>
        <t xml:space="preserve">======
ID#AAACEw7hOBE
    (2026-08-03 10:52:02)
Équipement enfants inféré du type — AUTO · à valider</t>
      </text>
    </comment>
    <comment authorId="0" ref="F215">
      <text>
        <t xml:space="preserve">======
ID#AAACEw7hMhI
    (2026-08-03 10:52:00)
Enrichissement web SOLÝVENTS — Enseigne Fairmont · site officiel à confirmer</t>
      </text>
    </comment>
    <comment authorId="0" ref="U99">
      <text>
        <t xml:space="preserve">======
ID#AAACEw7hMEA
    (2026-08-03 10:52:00)
WhatsApp déduit du numéro mobile — à confirmer</t>
      </text>
    </comment>
    <comment authorId="0" ref="T66">
      <text>
        <t xml:space="preserve">======
ID#AAACEw7hL_8
    (2026-08-03 10:52:00)
Tél via Google Places (juin 2026)</t>
      </text>
    </comment>
    <comment authorId="0" ref="U33">
      <text>
        <t xml:space="preserve">======
ID#AAACEw7hMb8
    (2026-08-03 10:52:00)
WhatsApp déduit du numéro mobile — à confirmer</t>
      </text>
    </comment>
    <comment authorId="0" ref="AD231">
      <text>
        <t xml:space="preserve">======
ID#AAACEw7hNCQ
    (2026-08-03 10:52:01)
Équipement enfants inféré du type — AUTO · à valider</t>
      </text>
    </comment>
    <comment authorId="0" ref="AD132">
      <text>
        <t xml:space="preserve">======
ID#AAACEw7hNmE
    (2026-08-03 10:52:01)
Équipement enfants inféré du type — AUTO · à valider</t>
      </text>
    </comment>
    <comment authorId="0" ref="AD99">
      <text>
        <t xml:space="preserve">======
ID#AAACEw7hMHg
    (2026-08-03 10:52:00)
Équipement enfants inféré du type — AUTO · à valider</t>
      </text>
    </comment>
    <comment authorId="0" ref="AD66">
      <text>
        <t xml:space="preserve">======
ID#AAACEw7hMp4
    (2026-08-03 10:52:00)
Équipement enfants inféré du type — AUTO · à valider</t>
      </text>
    </comment>
    <comment authorId="0" ref="AD33">
      <text>
        <t xml:space="preserve">======
ID#AAACEw7hNTo
    (2026-08-03 10:52:01)
Équipement enfants inféré du type — AUTO · à valider</t>
      </text>
    </comment>
    <comment authorId="0" ref="F232">
      <text>
        <t xml:space="preserve">======
ID#AAACEw7hN34
    (2026-08-03 10:52:02)
Enrichissement web SOLÝVENTS — À qualifier</t>
      </text>
    </comment>
  </commentList>
  <extLst>
    <ext uri="GoogleSheetsCustomDataVersion2">
      <go:sheetsCustomData xmlns:go="http://customooxmlschemas.google.com/" r:id="rId1" roundtripDataSignature="AMtx7mgOHmHUkUKPosyNAFKJdYIvwNXRQw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C29">
      <text>
        <t xml:space="preserve">======
ID#AAACEw7hOgw
Salima Benchekroun    (2026-08-03 10:52:02)
Converti de 600–1500 MAD (médiane, 1€=10,7 MAD)</t>
      </text>
    </comment>
    <comment authorId="0" ref="L75">
      <text>
        <t xml:space="preserve">======
ID#AAACEw7hOfs
Salima Benchekroun    (2026-08-03 10:52:02)
Source: essaadi.com · Confiance: high</t>
      </text>
    </comment>
    <comment authorId="0" ref="L73">
      <text>
        <t xml:space="preserve">======
ID#AAACEw7hNtY
Salima Benchekroun    (2026-08-03 10:52:01)
Source: 2ciels.com · Confiance: high</t>
      </text>
    </comment>
    <comment authorId="0" ref="AC25">
      <text>
        <t xml:space="preserve">======
ID#AAACEw7hNR4
Salima Benchekroun    (2026-08-03 10:52:01)
Converti de 500–1000 MAD (médiane, 1€=10,7 MAD)</t>
      </text>
    </comment>
    <comment authorId="0" ref="AC56">
      <text>
        <t xml:space="preserve">======
ID#AAACEw7hMTY
Salima Benchekroun    (2026-08-03 10:52:00)
Converti de 350–700 MAD (médiane, 1€=10,7 MAD)</t>
      </text>
    </comment>
    <comment authorId="0" ref="L71">
      <text>
        <t xml:space="preserve">======
ID#AAACEw7hLwM
Salima Benchekroun    (2026-08-03 10:52:00)
Source: riad-orange.com · Confiance: medium</t>
      </text>
    </comment>
    <comment authorId="0" ref="L69">
      <text>
        <t xml:space="preserve">======
ID#AAACEw7hL-s
Salima Benchekroun    (2026-08-03 10:52:00)
Source: el-fenn.com · Confiance: high</t>
      </text>
    </comment>
    <comment authorId="0" ref="AC77">
      <text>
        <t xml:space="preserve">======
ID#AAACEw7hOp8
Salima Benchekroun    (2026-08-03 10:52:02)
Converti de 400–900 MAD (médiane, 1€=10,7 MAD)</t>
      </text>
    </comment>
    <comment authorId="0" ref="AC13">
      <text>
        <t xml:space="preserve">======
ID#AAACEw7hM2E
Salima Benchekroun    (2026-08-03 10:52:01)
Converti de 600–1500 MAD (médiane, 1€=10,7 MAD)</t>
      </text>
    </comment>
    <comment authorId="0" ref="AC75">
      <text>
        <t xml:space="preserve">======
ID#AAACEw7hOYU
Salima Benchekroun    (2026-08-03 10:52:02)
Converti de 400–900 MAD (médiane, 1€=10,7 MAD)</t>
      </text>
    </comment>
    <comment authorId="0" ref="AC42">
      <text>
        <t xml:space="preserve">======
ID#AAACEw7hMvM
Salima Benchekroun    (2026-08-03 10:52:01)
Converti de 700–1600 MAD (médiane, 1€=10,7 MAD)</t>
      </text>
    </comment>
    <comment authorId="0" ref="AC73">
      <text>
        <t xml:space="preserve">======
ID#AAACEw7hNkw
Salima Benchekroun    (2026-08-03 10:52:01)
Converti de 250–500 MAD (médiane, 1€=10,7 MAD)</t>
      </text>
    </comment>
    <comment authorId="0" ref="AC9">
      <text>
        <t xml:space="preserve">======
ID#AAACEw7hMxk
Salima Benchekroun    (2026-08-03 10:52:01)
Converti de 700–1600 MAD (médiane, 1€=10,7 MAD)</t>
      </text>
    </comment>
    <comment authorId="0" ref="AC40">
      <text>
        <t xml:space="preserve">======
ID#AAACEw7hOSA
Salima Benchekroun    (2026-08-03 10:52:02)
Converti de 700–1800 MAD (médiane, 1€=10,7 MAD)</t>
      </text>
    </comment>
    <comment authorId="0" ref="AC71">
      <text>
        <t xml:space="preserve">======
ID#AAACEw7hOn8
Salima Benchekroun    (2026-08-03 10:52:02)
Converti de 250–500 MAD (médiane, 1€=10,7 MAD)</t>
      </text>
    </comment>
    <comment authorId="0" ref="AC7">
      <text>
        <t xml:space="preserve">======
ID#AAACEw7hNAs
Salima Benchekroun    (2026-08-03 10:52:01)
Converti de 180–350 MAD (médiane, 1€=10,7 MAD)</t>
      </text>
    </comment>
    <comment authorId="0" ref="AC38">
      <text>
        <t xml:space="preserve">======
ID#AAACEw7hMqU
Salima Benchekroun    (2026-08-03 10:52:00)
Converti de 500–1000 MAD (médiane, 1€=10,7 MAD)</t>
      </text>
    </comment>
    <comment authorId="0" ref="AC69">
      <text>
        <t xml:space="preserve">======
ID#AAACEw7hMSU
Salima Benchekroun    (2026-08-03 10:52:00)
Converti de 300–700 MAD (médiane, 1€=10,7 MAD)</t>
      </text>
    </comment>
    <comment authorId="0" ref="H78">
      <text>
        <t xml:space="preserve">======
ID#AAACEw7hNMw
Salima Benchekroun    (2026-08-03 10:52:01)
Prestataire brunch · code d'origine proposé RA-DBR (valide). Tags N:Y à valider.</t>
      </text>
    </comment>
    <comment authorId="0" ref="L76">
      <text>
        <t xml:space="preserve">======
ID#AAACEw7hMn4
Salima Benchekroun    (2026-08-03 10:52:00)
Source: accor.com · Confiance: high</t>
      </text>
    </comment>
    <comment authorId="0" ref="L74">
      <text>
        <t xml:space="preserve">======
ID#AAACEw7hNhE
Salima Benchekroun    (2026-08-03 10:52:01)
Source: nobuhotels.com · Confiance: high</t>
      </text>
    </comment>
    <comment authorId="0" ref="L72">
      <text>
        <t xml:space="preserve">======
ID#AAACEw7hL2M
Salima Benchekroun    (2026-08-03 10:52:00)
Source: tripadvisor · Confiance: medium</t>
      </text>
    </comment>
    <comment authorId="0" ref="L70">
      <text>
        <t xml:space="preserve">======
ID#AAACEw7hNUE
Salima Benchekroun    (2026-08-03 10:52:01)
Source: cafedesepices.ma · Confiance: high</t>
      </text>
    </comment>
    <comment authorId="0" ref="AC22">
      <text>
        <t xml:space="preserve">======
ID#AAACEw7hNrI
Salima Benchekroun    (2026-08-03 10:52:01)
Converti de 250–450 MAD (médiane, 1€=10,7 MAD)</t>
      </text>
    </comment>
    <comment authorId="0" ref="AC51">
      <text>
        <t xml:space="preserve">======
ID#AAACEw7hNnQ
Salima Benchekroun    (2026-08-03 10:52:01)
Converti de 250–500 MAD (médiane, 1€=10,7 MAD)</t>
      </text>
    </comment>
    <comment authorId="0" ref="AC76">
      <text>
        <t xml:space="preserve">======
ID#AAACEw7hL9U
Salima Benchekroun    (2026-08-03 10:52:00)
Converti de 600–1500 MAD (médiane, 1€=10,7 MAD)</t>
      </text>
    </comment>
    <comment authorId="0" ref="AC74">
      <text>
        <t xml:space="preserve">======
ID#AAACEw7hNp4
Salima Benchekroun    (2026-08-03 10:52:01)
Converti de 500–1000 MAD (médiane, 1€=10,7 MAD)</t>
      </text>
    </comment>
    <comment authorId="0" ref="AC72">
      <text>
        <t xml:space="preserve">======
ID#AAACEw7hN3k
Salima Benchekroun    (2026-08-03 10:52:02)
Converti de 80–180 MAD (médiane, 1€=10,7 MAD)</t>
      </text>
    </comment>
    <comment authorId="0" ref="AC8">
      <text>
        <t xml:space="preserve">======
ID#AAACEw7hMzQ
Salima Benchekroun    (2026-08-03 10:52:01)
Converti de 250–500 MAD (médiane, 1€=10,7 MAD)</t>
      </text>
    </comment>
    <comment authorId="0" ref="AC70">
      <text>
        <t xml:space="preserve">======
ID#AAACEw7hOZ0
Salima Benchekroun    (2026-08-03 10:52:02)
Converti de 80–180 MAD (médiane, 1€=10,7 MAD)</t>
      </text>
    </comment>
    <comment authorId="0" ref="AC37">
      <text>
        <t xml:space="preserve">======
ID#AAACEw7hOns
Salima Benchekroun    (2026-08-03 10:52:02)
Converti de 300–600 MAD (médiane, 1€=10,7 MAD)</t>
      </text>
    </comment>
    <comment authorId="0" ref="H79">
      <text>
        <t xml:space="preserve">======
ID#AAACEw7hL6A
Salima Benchekroun    (2026-08-03 10:52:00)
Prestataire brunch · code d'origine proposé RA-DBR (valide). Tags N:Y à valider.</t>
      </text>
    </comment>
    <comment authorId="0" ref="AC66">
      <text>
        <t xml:space="preserve">======
ID#AAACEw7hOl8
Salima Benchekroun    (2026-08-03 10:52:02)
Converti de 700–1500 MAD (médiane, 1€=10,7 MAD)</t>
      </text>
    </comment>
    <comment authorId="0" ref="AC33">
      <text>
        <t xml:space="preserve">======
ID#AAACEw7hNPk
Salima Benchekroun    (2026-08-03 10:52:01)
Converti de 700–1500 MAD (médiane, 1€=10,7 MAD)</t>
      </text>
    </comment>
  </commentList>
  <extLst>
    <ext uri="GoogleSheetsCustomDataVersion2">
      <go:sheetsCustomData xmlns:go="http://customooxmlschemas.google.com/" r:id="rId1" roundtripDataSignature="AMtx7mjSDDyqpIdvOUK7vO1eUucTepXUzA=="/>
    </ext>
  </extL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199">
      <text>
        <t xml:space="preserve">======
ID#AAACEw7hOIM
Salima Benchekroun    (2026-08-03 10:52:02)
Converti de 450 MAD (1€=10,7 MAD). Tarif indicatif dès.</t>
      </text>
    </comment>
    <comment authorId="0" ref="I133">
      <text>
        <t xml:space="preserve">======
ID#AAACEw7hOQs
tc={4907ACFB-C866-463C-9D3B-D8953DCCCE7E}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K199">
      <text>
        <t xml:space="preserve">======
ID#AAACEw7hN2g
Salima Benchekroun    (2026-08-03 10:52:02)
Tags repris d'une fiche comparable (même activité) — à valider</t>
      </text>
    </comment>
    <comment authorId="0" ref="K133">
      <text>
        <t xml:space="preserve">======
ID#AAACEw7hL-I
Salima Benchekroun    (2026-08-03 10:52:00)
Tags repris d'une fiche comparable (même activité) — à valider</t>
      </text>
    </comment>
    <comment authorId="0" ref="J67">
      <text>
        <t xml:space="preserve">======
ID#AAACEw7hNV0
    (2026-08-03 10:52:01)
Codé automatiquement par dérivation de l'univers/catégorie + panier — AUTO · à valider</t>
      </text>
    </comment>
    <comment authorId="0" ref="K67">
      <text>
        <t xml:space="preserve">======
ID#AAACEw7hN-I
    (2026-08-03 10:52:02)
Codé automatiquement par dérivation de l'univers/catégorie + panier — AUTO · à valider</t>
      </text>
    </comment>
    <comment authorId="0" ref="L67">
      <text>
        <t xml:space="preserve">======
ID#AAACEw7hME8
    (2026-08-03 10:52:00)
Codé automatiquement par dérivation de l'univers/catégorie + panier — AUTO · à valider</t>
      </text>
    </comment>
    <comment authorId="0" ref="M67">
      <text>
        <t xml:space="preserve">======
ID#AAACEw7hMdw
    (2026-08-03 10:52:00)
Codé automatiquement par dérivation de l'univers/catégorie + panier — AUTO · à valider</t>
      </text>
    </comment>
    <comment authorId="0" ref="N67">
      <text>
        <t xml:space="preserve">======
ID#AAACEw7hNHM
    (2026-08-03 10:52:01)
Codé automatiquement par dérivation de l'univers/catégorie + panier — AUTO · à valider</t>
      </text>
    </comment>
    <comment authorId="0" ref="O67">
      <text>
        <t xml:space="preserve">======
ID#AAACEw7hNS4
    (2026-08-03 10:52:01)
Codé automatiquement par dérivation de l'univers/catégorie + panier — AUTO · à valider</t>
      </text>
    </comment>
    <comment authorId="0" ref="T199">
      <text>
        <t xml:space="preserve">======
ID#AAACEw7hM_U
Salima Benchekroun    (2026-08-03 10:52:01)
Source: frmg.ma · Confiance: high</t>
      </text>
    </comment>
    <comment authorId="0" ref="P67">
      <text>
        <t xml:space="preserve">======
ID#AAACEw7hLyw
    (2026-08-03 10:52:00)
Codé automatiquement par dérivation de l'univers/catégorie + panier — AUTO · à valider</t>
      </text>
    </comment>
    <comment authorId="0" ref="Q67">
      <text>
        <t xml:space="preserve">======
ID#AAACEw7hMoU
    (2026-08-03 10:52:00)
Codé automatiquement par dérivation de l'univers/catégorie + panier — AUTO · à valider</t>
      </text>
    </comment>
    <comment authorId="0" ref="R67">
      <text>
        <t xml:space="preserve">======
ID#AAACEw7hM5o
    (2026-08-03 10:52:01)
Codé automatiquement par dérivation de l'univers/catégorie + panier — AUTO · à valider</t>
      </text>
    </comment>
    <comment authorId="0" ref="T133">
      <text>
        <t xml:space="preserve">======
ID#AAACEw7hMXI
Salima Benchekroun    (2026-08-03 10:52:00)
Source: selman-marrakech.com · Confiance: high</t>
      </text>
    </comment>
    <comment authorId="0" ref="I200">
      <text>
        <t xml:space="preserve">======
ID#AAACEw7hLvU
Salima Benchekroun    (2026-08-03 10:52:00)
Converti de 900 MAD (1€=10,7 MAD). Tarif indicatif dès.</t>
      </text>
    </comment>
    <comment authorId="0" ref="K200">
      <text>
        <t xml:space="preserve">======
ID#AAACEw7hNDo
Salima Benchekroun    (2026-08-03 10:52:01)
Tags repris d'une fiche comparable (même activité) — à valider</t>
      </text>
    </comment>
    <comment authorId="0" ref="I134">
      <text>
        <t xml:space="preserve">======
ID#AAACEw7hL-M
tc={02846A35-015F-44DC-98F7-02365D2F99B3}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K134">
      <text>
        <t xml:space="preserve">======
ID#AAACEw7hOWM
Salima Benchekroun    (2026-08-03 10:52:02)
Tags repris d'une fiche comparable (même activité) — à valider</t>
      </text>
    </comment>
    <comment authorId="0" ref="J68">
      <text>
        <t xml:space="preserve">======
ID#AAACEw7hL7w
    (2026-08-03 10:52:00)
Codé automatiquement par dérivation de l'univers/catégorie + panier — AUTO · à valider</t>
      </text>
    </comment>
    <comment authorId="0" ref="K68">
      <text>
        <t xml:space="preserve">======
ID#AAACEw7hM0A
    (2026-08-03 10:52:01)
Codé automatiquement par dérivation de l'univers/catégorie + panier — AUTO · à valider</t>
      </text>
    </comment>
    <comment authorId="0" ref="L68">
      <text>
        <t xml:space="preserve">======
ID#AAACEw7hMsQ
    (2026-08-03 10:52:01)
Codé automatiquement par dérivation de l'univers/catégorie + panier — AUTO · à valider</t>
      </text>
    </comment>
    <comment authorId="0" ref="M68">
      <text>
        <t xml:space="preserve">======
ID#AAACEw7hNWU
    (2026-08-03 10:52:01)
Codé automatiquement par dérivation de l'univers/catégorie + panier — AUTO · à valider</t>
      </text>
    </comment>
    <comment authorId="0" ref="N68">
      <text>
        <t xml:space="preserve">======
ID#AAACEw7hOdI
    (2026-08-03 10:52:02)
Codé automatiquement par dérivation de l'univers/catégorie + panier — AUTO · à valider</t>
      </text>
    </comment>
    <comment authorId="0" ref="O68">
      <text>
        <t xml:space="preserve">======
ID#AAACEw7hM74
    (2026-08-03 10:52:01)
Codé automatiquement par dérivation de l'univers/catégorie + panier — AUTO · à valider</t>
      </text>
    </comment>
    <comment authorId="0" ref="P68">
      <text>
        <t xml:space="preserve">======
ID#AAACEw7hNMY
    (2026-08-03 10:52:01)
Codé automatiquement par dérivation de l'univers/catégorie + panier — AUTO · à valider</t>
      </text>
    </comment>
    <comment authorId="0" ref="T200">
      <text>
        <t xml:space="preserve">======
ID#AAACEw7hOJA
Salima Benchekroun    (2026-08-03 10:52:02)
Source: atlasmontgolfiere.com · Confiance: high</t>
      </text>
    </comment>
    <comment authorId="0" ref="Q68">
      <text>
        <t xml:space="preserve">======
ID#AAACEw7hNAM
    (2026-08-03 10:52:01)
Codé automatiquement par dérivation de l'univers/catégorie + panier — AUTO · à valider</t>
      </text>
    </comment>
    <comment authorId="0" ref="R68">
      <text>
        <t xml:space="preserve">======
ID#AAACEw7hNOI
    (2026-08-03 10:52:01)
Codé automatiquement par dérivation de l'univers/catégorie + panier — AUTO · à valider</t>
      </text>
    </comment>
    <comment authorId="0" ref="T134">
      <text>
        <t xml:space="preserve">======
ID#AAACEw7hLzE
Salima Benchekroun    (2026-08-03 10:52:00)
Source: fairmont.com · Confiance: medium</t>
      </text>
    </comment>
    <comment authorId="0" ref="I201">
      <text>
        <t xml:space="preserve">======
ID#AAACEw7hOXs
Salima Benchekroun    (2026-08-03 10:52:02)
Converti de 950 MAD (1€=10,7 MAD). Tarif indicatif dès.</t>
      </text>
    </comment>
    <comment authorId="0" ref="I135">
      <text>
        <t xml:space="preserve">======
ID#AAACEw7hMIg
tc={501F6AB3-8603-4E05-92E4-1ACC5C56557F}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K201">
      <text>
        <t xml:space="preserve">======
ID#AAACEw7hL0c
Salima Benchekroun    (2026-08-03 10:52:00)
Tags repris d'une fiche comparable (même activité) — à valider</t>
      </text>
    </comment>
    <comment authorId="0" ref="K135">
      <text>
        <t xml:space="preserve">======
ID#AAACEw7hOWg
Salima Benchekroun    (2026-08-03 10:52:02)
Tags repris d'une fiche comparable (même activité) — à valider</t>
      </text>
    </comment>
    <comment authorId="0" ref="J69">
      <text>
        <t xml:space="preserve">======
ID#AAACEw7hMeQ
    (2026-08-03 10:52:00)
Codé automatiquement par dérivation de l'univers/catégorie + panier — AUTO · à valider</t>
      </text>
    </comment>
    <comment authorId="0" ref="K69">
      <text>
        <t xml:space="preserve">======
ID#AAACEw7hLwI
    (2026-08-03 10:52:00)
Codé automatiquement par dérivation de l'univers/catégorie + panier — AUTO · à valider</t>
      </text>
    </comment>
    <comment authorId="0" ref="J3">
      <text>
        <t xml:space="preserve">======
ID#AAACEw7hNOA
    (2026-08-03 10:52:01)
Codé automatiquement par dérivation de l'univers/catégorie + panier — AUTO · à valider</t>
      </text>
    </comment>
    <comment authorId="0" ref="L69">
      <text>
        <t xml:space="preserve">======
ID#AAACEw7hMXg
    (2026-08-03 10:52:00)
Codé automatiquement par dérivation de l'univers/catégorie + panier — AUTO · à valider</t>
      </text>
    </comment>
    <comment authorId="0" ref="M69">
      <text>
        <t xml:space="preserve">======
ID#AAACEw7hMCc
    (2026-08-03 10:52:00)
Codé automatiquement par dérivation de l'univers/catégorie + panier — AUTO · à valider</t>
      </text>
    </comment>
    <comment authorId="0" ref="K3">
      <text>
        <t xml:space="preserve">======
ID#AAACEw7hL0g
    (2026-08-03 10:52:00)
Codé automatiquement par dérivation de l'univers/catégorie + panier — AUTO · à valider</t>
      </text>
    </comment>
    <comment authorId="0" ref="N69">
      <text>
        <t xml:space="preserve">======
ID#AAACEw7hNJo
    (2026-08-03 10:52:01)
Codé automatiquement par dérivation de l'univers/catégorie + panier — AUTO · à valider</t>
      </text>
    </comment>
    <comment authorId="0" ref="L3">
      <text>
        <t xml:space="preserve">======
ID#AAACEw7hNII
    (2026-08-03 10:52:01)
Codé automatiquement par dérivation de l'univers/catégorie + panier — AUTO · à valider</t>
      </text>
    </comment>
    <comment authorId="0" ref="M3">
      <text>
        <t xml:space="preserve">======
ID#AAACEw7hNuU
    (2026-08-03 10:52:01)
Codé automatiquement par dérivation de l'univers/catégorie + panier — AUTO · à valider</t>
      </text>
    </comment>
    <comment authorId="0" ref="O69">
      <text>
        <t xml:space="preserve">======
ID#AAACEw7hMEE
    (2026-08-03 10:52:00)
Codé automatiquement par dérivation de l'univers/catégorie + panier — AUTO · à valider</t>
      </text>
    </comment>
    <comment authorId="0" ref="N3">
      <text>
        <t xml:space="preserve">======
ID#AAACEw7hOn4
    (2026-08-03 10:52:02)
Codé automatiquement par dérivation de l'univers/catégorie + panier — AUTO · à valider</t>
      </text>
    </comment>
    <comment authorId="0" ref="P69">
      <text>
        <t xml:space="preserve">======
ID#AAACEw7hMYs
    (2026-08-03 10:52:00)
Codé automatiquement par dérivation de l'univers/catégorie + panier — AUTO · à valider</t>
      </text>
    </comment>
    <comment authorId="0" ref="T201">
      <text>
        <t xml:space="preserve">======
ID#AAACEw7hLtk
Salima Benchekroun    (2026-08-03 10:52:00)
Source: adventure-balloon.com · Confiance: high</t>
      </text>
    </comment>
    <comment authorId="0" ref="Q69">
      <text>
        <t xml:space="preserve">======
ID#AAACEw7hOTI
    (2026-08-03 10:52:02)
Codé automatiquement par dérivation de l'univers/catégorie + panier — AUTO · à valider</t>
      </text>
    </comment>
    <comment authorId="0" ref="O3">
      <text>
        <t xml:space="preserve">======
ID#AAACEw7hMZc
    (2026-08-03 10:52:00)
Codé automatiquement par dérivation de l'univers/catégorie + panier — AUTO · à valider</t>
      </text>
    </comment>
    <comment authorId="0" ref="R69">
      <text>
        <t xml:space="preserve">======
ID#AAACEw7hOhc
    (2026-08-03 10:52:02)
Codé automatiquement par dérivation de l'univers/catégorie + panier — AUTO · à valider</t>
      </text>
    </comment>
    <comment authorId="0" ref="P3">
      <text>
        <t xml:space="preserve">======
ID#AAACEw7hM5I
    (2026-08-03 10:52:01)
Codé automatiquement par dérivation de l'univers/catégorie + panier — AUTO · à valider</t>
      </text>
    </comment>
    <comment authorId="0" ref="Q3">
      <text>
        <t xml:space="preserve">======
ID#AAACEw7hM14
    (2026-08-03 10:52:01)
Codé automatiquement par dérivation de l'univers/catégorie + panier — AUTO · à valider</t>
      </text>
    </comment>
    <comment authorId="0" ref="R3">
      <text>
        <t xml:space="preserve">======
ID#AAACEw7hOis
    (2026-08-03 10:52:02)
Codé automatiquement par dérivation de l'univers/catégorie + panier — AUTO · à valider</t>
      </text>
    </comment>
    <comment authorId="0" ref="T3">
      <text>
        <t xml:space="preserve">======
ID#AAACEw7hMyA
    (2026-08-03 10:52:01)
Téléphone via Google Places / établissement (juin 2026)</t>
      </text>
    </comment>
    <comment authorId="0" ref="F202">
      <text>
        <t xml:space="preserve">======
ID#AAACEw7hNxg
Salima Benchekroun    (2026-08-03 10:52:01)
Départ Marrakech · journée complète. Prestataire = agence réceptive (Day Out Marrakech).</t>
      </text>
    </comment>
    <comment authorId="0" ref="J202">
      <text>
        <t xml:space="preserve">======
ID#AAACEw7hOLs
Salima Benchekroun    (2026-08-03 10:52:02)
Tags (J:R) repris d'une fiche comparable — même activité : Excursion Essaouira (ACT035) — à valider.</t>
      </text>
    </comment>
    <comment authorId="0" ref="I136">
      <text>
        <t xml:space="preserve">======
ID#AAACEw7hL8w
tc={5D19ACFC-2DEA-4355-8EDD-D02FD9CC7C7F}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I70">
      <text>
        <t xml:space="preserve">======
ID#AAACEw7hOa8
Salima Benchekroun    (2026-08-03 10:52:02)
Prix repris de « Montgolfière au lever du soleil » (Ciel d'Afrique, ligne 18).</t>
      </text>
    </comment>
    <comment authorId="0" ref="K136">
      <text>
        <t xml:space="preserve">======
ID#AAACEw7hMq0
Salima Benchekroun    (2026-08-03 10:52:00)
Tags repris d'une fiche comparable (même activité) — à valider</t>
      </text>
    </comment>
    <comment authorId="0" ref="J70">
      <text>
        <t xml:space="preserve">======
ID#AAACEw7hN24
    (2026-08-03 10:52:02)
Codé automatiquement par dérivation de l'univers/catégorie + panier — AUTO · à valider</t>
      </text>
    </comment>
    <comment authorId="0" ref="K70">
      <text>
        <t xml:space="preserve">======
ID#AAACEw7hL2Y
    (2026-08-03 10:52:00)
Codé automatiquement par dérivation de l'univers/catégorie + panier — AUTO · à valider</t>
      </text>
    </comment>
    <comment authorId="0" ref="L70">
      <text>
        <t xml:space="preserve">======
ID#AAACEw7hOLM
    (2026-08-03 10:52:02)
Codé automatiquement par dérivation de l'univers/catégorie + panier — AUTO · à valider</t>
      </text>
    </comment>
    <comment authorId="0" ref="J4">
      <text>
        <t xml:space="preserve">======
ID#AAACEw7hNJQ
    (2026-08-03 10:52:01)
Codé automatiquement par dérivation de l'univers/catégorie + panier — AUTO · à valider</t>
      </text>
    </comment>
    <comment authorId="0" ref="K4">
      <text>
        <t xml:space="preserve">======
ID#AAACEw7hOVE
    (2026-08-03 10:52:02)
Codé automatiquement par dérivation de l'univers/catégorie + panier — AUTO · à valider</t>
      </text>
    </comment>
    <comment authorId="0" ref="M70">
      <text>
        <t xml:space="preserve">======
ID#AAACEw7hNtk
    (2026-08-03 10:52:01)
Codé automatiquement par dérivation de l'univers/catégorie + panier — AUTO · à valider</t>
      </text>
    </comment>
    <comment authorId="0" ref="L4">
      <text>
        <t xml:space="preserve">======
ID#AAACEw7hOPY
    (2026-08-03 10:52:02)
Codé automatiquement par dérivation de l'univers/catégorie + panier — AUTO · à valider</t>
      </text>
    </comment>
    <comment authorId="0" ref="N70">
      <text>
        <t xml:space="preserve">======
ID#AAACEw7hNq8
    (2026-08-03 10:52:01)
Codé automatiquement par dérivation de l'univers/catégorie + panier — AUTO · à valider</t>
      </text>
    </comment>
    <comment authorId="0" ref="M4">
      <text>
        <t xml:space="preserve">======
ID#AAACEw7hOoA
    (2026-08-03 10:52:02)
Codé automatiquement par dérivation de l'univers/catégorie + panier — AUTO · à valider</t>
      </text>
    </comment>
    <comment authorId="0" ref="O70">
      <text>
        <t xml:space="preserve">======
ID#AAACEw7hNvY
    (2026-08-03 10:52:01)
Codé automatiquement par dérivation de l'univers/catégorie + panier — AUTO · à valider</t>
      </text>
    </comment>
    <comment authorId="0" ref="P70">
      <text>
        <t xml:space="preserve">======
ID#AAACEw7hORE
    (2026-08-03 10:52:02)
Codé automatiquement par dérivation de l'univers/catégorie + panier — AUTO · à valider</t>
      </text>
    </comment>
    <comment authorId="0" ref="T202">
      <text>
        <t xml:space="preserve">======
ID#AAACEw7hNfc
Salima Benchekroun    (2026-08-03 10:52:01)
Source: cieldafrique.info · Confiance: medium</t>
      </text>
    </comment>
    <comment authorId="0" ref="N4">
      <text>
        <t xml:space="preserve">======
ID#AAACEw7hMGk
    (2026-08-03 10:52:00)
Codé automatiquement par dérivation de l'univers/catégorie + panier — AUTO · à valider</t>
      </text>
    </comment>
    <comment authorId="0" ref="O4">
      <text>
        <t xml:space="preserve">======
ID#AAACEw7hOjI
    (2026-08-03 10:52:02)
Codé automatiquement par dérivation de l'univers/catégorie + panier — AUTO · à valider</t>
      </text>
    </comment>
    <comment authorId="0" ref="Q70">
      <text>
        <t xml:space="preserve">======
ID#AAACEw7hNYA
    (2026-08-03 10:52:01)
Codé automatiquement par dérivation de l'univers/catégorie + panier — AUTO · à valider</t>
      </text>
    </comment>
    <comment authorId="0" ref="R70">
      <text>
        <t xml:space="preserve">======
ID#AAACEw7hMkE
    (2026-08-03 10:52:00)
Codé automatiquement par dérivation de l'univers/catégorie + panier — AUTO · à valider</t>
      </text>
    </comment>
    <comment authorId="0" ref="P4">
      <text>
        <t xml:space="preserve">======
ID#AAACEw7hMAA
    (2026-08-03 10:52:00)
Codé automatiquement par dérivation de l'univers/catégorie + panier — AUTO · à valider</t>
      </text>
    </comment>
    <comment authorId="0" ref="Q4">
      <text>
        <t xml:space="preserve">======
ID#AAACEw7hM9k
    (2026-08-03 10:52:01)
Codé automatiquement par dérivation de l'univers/catégorie + panier — AUTO · à valider</t>
      </text>
    </comment>
    <comment authorId="0" ref="R4">
      <text>
        <t xml:space="preserve">======
ID#AAACEw7hMz0
    (2026-08-03 10:52:01)
Codé automatiquement par dérivation de l'univers/catégorie + panier — AUTO · à valider</t>
      </text>
    </comment>
    <comment authorId="0" ref="F203">
      <text>
        <t xml:space="preserve">======
ID#AAACEw7hNis
Salima Benchekroun    (2026-08-03 10:52:01)
Prestataire : agence de voyages · Adresse : Rue Riad Zitoun El Jdid, Marrakech · Langues : FR/EN (à confirmer) · Horaires : 24h/24 · Contrat : Non. Départ Marrakech, journée complète.</t>
      </text>
    </comment>
    <comment authorId="0" ref="J203">
      <text>
        <t xml:space="preserve">======
ID#AAACEw7hNDA
Salima Benchekroun    (2026-08-03 10:52:01)
Tags (J:R) repris d'une fiche comparable — même activité : Excursion Essaouira (ACT035) — à valider.</t>
      </text>
    </comment>
    <comment authorId="0" ref="I137">
      <text>
        <t xml:space="preserve">======
ID#AAACEw7hM_M
tc={19143606-AB83-4359-9BB6-C160DFB1141B}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themarrakechsociety.ma / villa</t>
      </text>
    </comment>
    <comment authorId="0" ref="K137">
      <text>
        <t xml:space="preserve">======
ID#AAACEw7hOeg
Salima Benchekroun    (2026-08-03 10:52:02)
Tags repris d'une fiche comparable (même activité) — à valider</t>
      </text>
    </comment>
    <comment authorId="0" ref="I71">
      <text>
        <t xml:space="preserve">======
ID#AAACEw7hNNI
Salima Benchekroun    (2026-08-03 10:52:01)
Prix atypique · exclu du calcul de médiane. Hammam &amp; Massage/Spa — Standing ultra-luxe (autre tier) (méd. 70/90 €, HAUT)</t>
      </text>
    </comment>
    <comment authorId="0" ref="J71">
      <text>
        <t xml:space="preserve">======
ID#AAACEw7hOKI
    (2026-08-03 10:52:02)
Codé automatiquement par dérivation de l'univers/catégorie + panier — AUTO · à valider</t>
      </text>
    </comment>
    <comment authorId="0" ref="K71">
      <text>
        <t xml:space="preserve">======
ID#AAACEw7hNCA
    (2026-08-03 10:52:01)
Codé automatiquement par dérivation de l'univers/catégorie + panier — AUTO · à valider</t>
      </text>
    </comment>
    <comment authorId="0" ref="J5">
      <text>
        <t xml:space="preserve">======
ID#AAACEw7hNi4
    (2026-08-03 10:52:01)
Codé automatiquement par dérivation de l'univers/catégorie + panier — AUTO · à valider</t>
      </text>
    </comment>
    <comment authorId="0" ref="L71">
      <text>
        <t xml:space="preserve">======
ID#AAACEw7hMV4
    (2026-08-03 10:52:00)
Codé automatiquement par dérivation de l'univers/catégorie + panier — AUTO · à valider</t>
      </text>
    </comment>
    <comment authorId="0" ref="K5">
      <text>
        <t xml:space="preserve">======
ID#AAACEw7hOMo
    (2026-08-03 10:52:02)
Codé automatiquement par dérivation de l'univers/catégorie + panier — AUTO · à valider</t>
      </text>
    </comment>
    <comment authorId="0" ref="M71">
      <text>
        <t xml:space="preserve">======
ID#AAACEw7hLxY
    (2026-08-03 10:52:00)
Codé automatiquement par dérivation de l'univers/catégorie + panier — AUTO · à valider</t>
      </text>
    </comment>
    <comment authorId="0" ref="L5">
      <text>
        <t xml:space="preserve">======
ID#AAACEw7hNsU
    (2026-08-03 10:52:01)
Codé automatiquement par dérivation de l'univers/catégorie + panier — AUTO · à valider</t>
      </text>
    </comment>
    <comment authorId="0" ref="N71">
      <text>
        <t xml:space="preserve">======
ID#AAACEw7hL10
    (2026-08-03 10:52:00)
Codé automatiquement par dérivation de l'univers/catégorie + panier — AUTO · à valider</t>
      </text>
    </comment>
    <comment authorId="0" ref="O71">
      <text>
        <t xml:space="preserve">======
ID#AAACEw7hOZs
    (2026-08-03 10:52:02)
Codé automatiquement par dérivation de l'univers/catégorie + panier — AUTO · à valider</t>
      </text>
    </comment>
    <comment authorId="0" ref="M5">
      <text>
        <t xml:space="preserve">======
ID#AAACEw7hMPw
    (2026-08-03 10:52:00)
Codé automatiquement par dérivation de l'univers/catégorie + panier — AUTO · à valider</t>
      </text>
    </comment>
    <comment authorId="0" ref="N5">
      <text>
        <t xml:space="preserve">======
ID#AAACEw7hNdU
    (2026-08-03 10:52:01)
Codé automatiquement par dérivation de l'univers/catégorie + panier — AUTO · à valider</t>
      </text>
    </comment>
    <comment authorId="0" ref="T203">
      <text>
        <t xml:space="preserve">======
ID#AAACEw7hNSw
Salima Benchekroun    (2026-08-03 10:52:01)
Source: dunesdeserts.com · Confiance: high</t>
      </text>
    </comment>
    <comment authorId="0" ref="P71">
      <text>
        <t xml:space="preserve">======
ID#AAACEw7hLu4
    (2026-08-03 10:52:00)
Codé automatiquement par dérivation de l'univers/catégorie + panier — AUTO · à valider</t>
      </text>
    </comment>
    <comment authorId="0" ref="O5">
      <text>
        <t xml:space="preserve">======
ID#AAACEw7hNbs
    (2026-08-03 10:52:01)
Codé automatiquement par dérivation de l'univers/catégorie + panier — AUTO · à valider</t>
      </text>
    </comment>
    <comment authorId="0" ref="Q71">
      <text>
        <t xml:space="preserve">======
ID#AAACEw7hMSI
    (2026-08-03 10:52:00)
Codé automatiquement par dérivation de l'univers/catégorie + panier — AUTO · à valider</t>
      </text>
    </comment>
    <comment authorId="0" ref="T137">
      <text>
        <t xml:space="preserve">======
ID#AAACEw7hNEM
Salima Benchekroun    (2026-08-03 10:52:01)
Source: marrakech-photographer.com · Confiance: medium</t>
      </text>
    </comment>
    <comment authorId="0" ref="P5">
      <text>
        <t xml:space="preserve">======
ID#AAACEw7hMv8
    (2026-08-03 10:52:01)
Codé automatiquement par dérivation de l'univers/catégorie + panier — AUTO · à valider</t>
      </text>
    </comment>
    <comment authorId="0" ref="R71">
      <text>
        <t xml:space="preserve">======
ID#AAACEw7hMeM
    (2026-08-03 10:52:00)
Codé automatiquement par dérivation de l'univers/catégorie + panier — AUTO · à valider</t>
      </text>
    </comment>
    <comment authorId="0" ref="Q5">
      <text>
        <t xml:space="preserve">======
ID#AAACEw7hNBw
    (2026-08-03 10:52:01)
Codé automatiquement par dérivation de l'univers/catégorie + panier — AUTO · à valider</t>
      </text>
    </comment>
    <comment authorId="0" ref="R5">
      <text>
        <t xml:space="preserve">======
ID#AAACEw7hLuE
    (2026-08-03 10:52:00)
Codé automatiquement par dérivation de l'univers/catégorie + panier — AUTO · à valider</t>
      </text>
    </comment>
    <comment authorId="0" ref="F204">
      <text>
        <t xml:space="preserve">======
ID#AAACEw7hL9c
Salima Benchekroun    (2026-08-03 10:52:00)
Prestataire : agence réceptive · Adresse : 72 Quartier, Marrakech 40160 · Langues : FR/EN · Horaires : 08h00–21h00 · Contrat : Non. Départ Marrakech, journée complète.</t>
      </text>
    </comment>
    <comment authorId="0" ref="J204">
      <text>
        <t xml:space="preserve">======
ID#AAACEw7hMfE
Salima Benchekroun    (2026-08-03 10:52:00)
Tags (J:R) repris d'une fiche comparable — même activité : Excursion Essaouira (ACT035) — à valider.</t>
      </text>
    </comment>
    <comment authorId="0" ref="I138">
      <text>
        <t xml:space="preserve">======
ID#AAACEw7hN64
tc={46E17802-BBBD-4DBB-B44F-9C09A141BAE9}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themarrakechsociety.ma / villa</t>
      </text>
    </comment>
    <comment authorId="0" ref="K138">
      <text>
        <t xml:space="preserve">======
ID#AAACEw7hNUI
Salima Benchekroun    (2026-08-03 10:52:01)
Tags repris d'une fiche comparable (même activité) — à valider</t>
      </text>
    </comment>
    <comment authorId="0" ref="J72">
      <text>
        <t xml:space="preserve">======
ID#AAACEw7hOYs
    (2026-08-03 10:52:02)
Codé automatiquement par dérivation de l'univers/catégorie + panier — AUTO · à valider</t>
      </text>
    </comment>
    <comment authorId="0" ref="K72">
      <text>
        <t xml:space="preserve">======
ID#AAACEw7hNeo
    (2026-08-03 10:52:01)
Codé automatiquement par dérivation de l'univers/catégorie + panier — AUTO · à valider</t>
      </text>
    </comment>
    <comment authorId="0" ref="J6">
      <text>
        <t xml:space="preserve">======
ID#AAACEw7hOTk
    (2026-08-03 10:52:02)
Codé automatiquement par dérivation de l'univers/catégorie + panier — AUTO · à valider</t>
      </text>
    </comment>
    <comment authorId="0" ref="L72">
      <text>
        <t xml:space="preserve">======
ID#AAACEw7hNQs
    (2026-08-03 10:52:01)
Codé automatiquement par dérivation de l'univers/catégorie + panier — AUTO · à valider</t>
      </text>
    </comment>
    <comment authorId="0" ref="K6">
      <text>
        <t xml:space="preserve">======
ID#AAACEw7hOKE
    (2026-08-03 10:52:02)
Codé automatiquement par dérivation de l'univers/catégorie + panier — AUTO · à valider</t>
      </text>
    </comment>
    <comment authorId="0" ref="M72">
      <text>
        <t xml:space="preserve">======
ID#AAACEw7hMGQ
    (2026-08-03 10:52:00)
Codé automatiquement par dérivation de l'univers/catégorie + panier — AUTO · à valider</t>
      </text>
    </comment>
    <comment authorId="0" ref="L6">
      <text>
        <t xml:space="preserve">======
ID#AAACEw7hMVI
    (2026-08-03 10:52:00)
Codé automatiquement par dérivation de l'univers/catégorie + panier — AUTO · à valider</t>
      </text>
    </comment>
    <comment authorId="0" ref="N72">
      <text>
        <t xml:space="preserve">======
ID#AAACEw7hMNw
    (2026-08-03 10:52:00)
Codé automatiquement par dérivation de l'univers/catégorie + panier — AUTO · à valider</t>
      </text>
    </comment>
    <comment authorId="0" ref="M6">
      <text>
        <t xml:space="preserve">======
ID#AAACEw7hNt4
    (2026-08-03 10:52:01)
Codé automatiquement par dérivation de l'univers/catégorie + panier — AUTO · à valider</t>
      </text>
    </comment>
    <comment authorId="0" ref="O72">
      <text>
        <t xml:space="preserve">======
ID#AAACEw7hMoM
    (2026-08-03 10:52:00)
Codé automatiquement par dérivation de l'univers/catégorie + panier — AUTO · à valider</t>
      </text>
    </comment>
    <comment authorId="0" ref="P72">
      <text>
        <t xml:space="preserve">======
ID#AAACEw7hNG4
    (2026-08-03 10:52:01)
Codé automatiquement par dérivation de l'univers/catégorie + panier — AUTO · à valider</t>
      </text>
    </comment>
    <comment authorId="0" ref="N6">
      <text>
        <t xml:space="preserve">======
ID#AAACEw7hL3A
    (2026-08-03 10:52:00)
Codé automatiquement par dérivation de l'univers/catégorie + panier — AUTO · à valider</t>
      </text>
    </comment>
    <comment authorId="0" ref="O6">
      <text>
        <t xml:space="preserve">======
ID#AAACEw7hNCk
    (2026-08-03 10:52:01)
Codé automatiquement par dérivation de l'univers/catégorie + panier — AUTO · à valider</t>
      </text>
    </comment>
    <comment authorId="0" ref="Q72">
      <text>
        <t xml:space="preserve">======
ID#AAACEw7hMjg
    (2026-08-03 10:52:00)
Codé automatiquement par dérivation de l'univers/catégorie + panier — AUTO · à valider</t>
      </text>
    </comment>
    <comment authorId="0" ref="R72">
      <text>
        <t xml:space="preserve">======
ID#AAACEw7hMoc
    (2026-08-03 10:52:00)
Codé automatiquement par dérivation de l'univers/catégorie + panier — AUTO · à valider</t>
      </text>
    </comment>
    <comment authorId="0" ref="P6">
      <text>
        <t xml:space="preserve">======
ID#AAACEw7hMf4
    (2026-08-03 10:52:00)
Codé automatiquement par dérivation de l'univers/catégorie + panier — AUTO · à valider</t>
      </text>
    </comment>
    <comment authorId="0" ref="Q6">
      <text>
        <t xml:space="preserve">======
ID#AAACEw7hOIs
    (2026-08-03 10:52:02)
Codé automatiquement par dérivation de l'univers/catégorie + panier — AUTO · à valider</t>
      </text>
    </comment>
    <comment authorId="0" ref="R6">
      <text>
        <t xml:space="preserve">======
ID#AAACEw7hMZE
    (2026-08-03 10:52:00)
Codé automatiquement par dérivation de l'univers/catégorie + panier — AUTO · à valider</t>
      </text>
    </comment>
    <comment authorId="0" ref="F205">
      <text>
        <t xml:space="preserve">======
ID#AAACEw7hNYc
Salima Benchekroun    (2026-08-03 10:52:01)
Prestataire : agence de voyages · Adresse : N°70 Rue Toualat Bab Hilana, Marrakech · Langues : FR/EN (à confirmer) · Horaires : 24h/24 · Contrat : Non. Départ Marrakech, journée complète.</t>
      </text>
    </comment>
    <comment authorId="0" ref="J205">
      <text>
        <t xml:space="preserve">======
ID#AAACEw7hN9o
Salima Benchekroun    (2026-08-03 10:52:02)
Tags (J:R) repris d'une fiche comparable — même activité : Excursion Essaouira (ACT035) — à valider.</t>
      </text>
    </comment>
    <comment authorId="0" ref="I139">
      <text>
        <t xml:space="preserve">======
ID#AAACEw7hOR8
tc={DCA3E90A-D381-4DCD-A0A5-70457727D289}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themarrakechsociety.ma / villa</t>
      </text>
    </comment>
    <comment authorId="0" ref="K139">
      <text>
        <t xml:space="preserve">======
ID#AAACEw7hMWM
Salima Benchekroun    (2026-08-03 10:52:00)
Tags repris d'une fiche comparable (même activité) — à valider</t>
      </text>
    </comment>
    <comment authorId="0" ref="J73">
      <text>
        <t xml:space="preserve">======
ID#AAACEw7hNe4
    (2026-08-03 10:52:01)
Codé automatiquement par dérivation de l'univers/catégorie + panier — AUTO · à valider</t>
      </text>
    </comment>
    <comment authorId="0" ref="K73">
      <text>
        <t xml:space="preserve">======
ID#AAACEw7hNcs
    (2026-08-03 10:52:01)
Codé automatiquement par dérivation de l'univers/catégorie + panier — AUTO · à valider</t>
      </text>
    </comment>
    <comment authorId="0" ref="L73">
      <text>
        <t xml:space="preserve">======
ID#AAACEw7hN9I
    (2026-08-03 10:52:02)
Codé automatiquement par dérivation de l'univers/catégorie + panier — AUTO · à valider</t>
      </text>
    </comment>
    <comment authorId="0" ref="J7">
      <text>
        <t xml:space="preserve">======
ID#AAACEw7hOLg
    (2026-08-03 10:52:02)
Codé automatiquement par dérivation de l'univers/catégorie + panier — AUTO · à valider</t>
      </text>
    </comment>
    <comment authorId="0" ref="M73">
      <text>
        <t xml:space="preserve">======
ID#AAACEw7hOdw
    (2026-08-03 10:52:02)
Codé automatiquement par dérivation de l'univers/catégorie + panier — AUTO · à valider</t>
      </text>
    </comment>
    <comment authorId="0" ref="K7">
      <text>
        <t xml:space="preserve">======
ID#AAACEw7hMvc
    (2026-08-03 10:52:01)
Codé automatiquement par dérivation de l'univers/catégorie + panier — AUTO · à valider</t>
      </text>
    </comment>
    <comment authorId="0" ref="N73">
      <text>
        <t xml:space="preserve">======
ID#AAACEw7hOaU
    (2026-08-03 10:52:02)
Codé automatiquement par dérivation de l'univers/catégorie + panier — AUTO · à valider</t>
      </text>
    </comment>
    <comment authorId="0" ref="L7">
      <text>
        <t xml:space="preserve">======
ID#AAACEw7hMds
    (2026-08-03 10:52:00)
Codé automatiquement par dérivation de l'univers/catégorie + panier — AUTO · à valider</t>
      </text>
    </comment>
    <comment authorId="0" ref="M7">
      <text>
        <t xml:space="preserve">======
ID#AAACEw7hNu0
    (2026-08-03 10:52:01)
Codé automatiquement par dérivation de l'univers/catégorie + panier — AUTO · à valider</t>
      </text>
    </comment>
    <comment authorId="0" ref="O73">
      <text>
        <t xml:space="preserve">======
ID#AAACEw7hL1c
    (2026-08-03 10:52:00)
Codé automatiquement par dérivation de l'univers/catégorie + panier — AUTO · à valider</t>
      </text>
    </comment>
    <comment authorId="0" ref="T205">
      <text>
        <t xml:space="preserve">======
ID#AAACEw7hOYc
Salima Benchekroun    (2026-08-03 10:52:02)
Source: easytaketransport.com · Confiance: high</t>
      </text>
    </comment>
    <comment authorId="0" ref="N7">
      <text>
        <t xml:space="preserve">======
ID#AAACEw7hNZk
    (2026-08-03 10:52:01)
Codé automatiquement par dérivation de l'univers/catégorie + panier — AUTO · à valider</t>
      </text>
    </comment>
    <comment authorId="0" ref="P73">
      <text>
        <t xml:space="preserve">======
ID#AAACEw7hNUU
    (2026-08-03 10:52:01)
Codé automatiquement par dérivation de l'univers/catégorie + panier — AUTO · à valider</t>
      </text>
    </comment>
    <comment authorId="0" ref="Q73">
      <text>
        <t xml:space="preserve">======
ID#AAACEw7hOSc
    (2026-08-03 10:52:02)
Codé automatiquement par dérivation de l'univers/catégorie + panier — AUTO · à valider</t>
      </text>
    </comment>
    <comment authorId="0" ref="O7">
      <text>
        <t xml:space="preserve">======
ID#AAACEw7hOdA
    (2026-08-03 10:52:02)
Codé automatiquement par dérivation de l'univers/catégorie + panier — AUTO · à valider</t>
      </text>
    </comment>
    <comment authorId="0" ref="R73">
      <text>
        <t xml:space="preserve">======
ID#AAACEw7hNj8
    (2026-08-03 10:52:01)
Codé automatiquement par dérivation de l'univers/catégorie + panier — AUTO · à valider</t>
      </text>
    </comment>
    <comment authorId="0" ref="P7">
      <text>
        <t xml:space="preserve">======
ID#AAACEw7hL8s
    (2026-08-03 10:52:00)
Codé automatiquement par dérivation de l'univers/catégorie + panier — AUTO · à valider</t>
      </text>
    </comment>
    <comment authorId="0" ref="Q7">
      <text>
        <t xml:space="preserve">======
ID#AAACEw7hOCQ
    (2026-08-03 10:52:02)
Codé automatiquement par dérivation de l'univers/catégorie + panier — AUTO · à valider</t>
      </text>
    </comment>
    <comment authorId="0" ref="R7">
      <text>
        <t xml:space="preserve">======
ID#AAACEw7hMAs
    (2026-08-03 10:52:00)
Codé automatiquement par dérivation de l'univers/catégorie + panier — AUTO · à valider</t>
      </text>
    </comment>
    <comment authorId="0" ref="F206">
      <text>
        <t xml:space="preserve">======
ID#AAACEw7hN1c
Salima Benchekroun    (2026-08-03 10:52:01)
Bloc enfant · code d'origine KID-FERM (inexistant) → rattaché à AK-NAT.</t>
      </text>
    </comment>
    <comment authorId="0" ref="I140">
      <text>
        <t xml:space="preserve">======
ID#AAACEw7hMcg
tc={F9A8137B-0082-4994-B450-E1C3252971AD}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themarrakechsociety.ma / villa</t>
      </text>
    </comment>
    <comment authorId="0" ref="K140">
      <text>
        <t xml:space="preserve">======
ID#AAACEw7hOpI
Salima Benchekroun    (2026-08-03 10:52:02)
Tags repris d'une fiche comparable (même activité) — à valider</t>
      </text>
    </comment>
    <comment authorId="0" ref="I74">
      <text>
        <t xml:space="preserve">======
ID#AAACEw7hOEM
tc={AC7F7954-321F-4B19-A150-7B57A9A6F575}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J74">
      <text>
        <t xml:space="preserve">======
ID#AAACEw7hMpE
    (2026-08-03 10:52:00)
Codé automatiquement par dérivation de l'univers/catégorie + panier — AUTO · à valider</t>
      </text>
    </comment>
    <comment authorId="0" ref="K74">
      <text>
        <t xml:space="preserve">======
ID#AAACEw7hNrA
    (2026-08-03 10:52:01)
Codé automatiquement par dérivation de l'univers/catégorie + panier — AUTO · à valider</t>
      </text>
    </comment>
    <comment authorId="0" ref="L74">
      <text>
        <t xml:space="preserve">======
ID#AAACEw7hN1o
    (2026-08-03 10:52:02)
Codé automatiquement par dérivation de l'univers/catégorie + panier — AUTO · à valider</t>
      </text>
    </comment>
    <comment authorId="0" ref="J8">
      <text>
        <t xml:space="preserve">======
ID#AAACEw7hMcE
    (2026-08-03 10:52:00)
Codé automatiquement par dérivation de l'univers/catégorie + panier — AUTO · à valider</t>
      </text>
    </comment>
    <comment authorId="0" ref="M74">
      <text>
        <t xml:space="preserve">======
ID#AAACEw7hNnc
    (2026-08-03 10:52:01)
Codé automatiquement par dérivation de l'univers/catégorie + panier — AUTO · à valider</t>
      </text>
    </comment>
    <comment authorId="0" ref="K8">
      <text>
        <t xml:space="preserve">======
ID#AAACEw7hMlo
    (2026-08-03 10:52:00)
Codé automatiquement par dérivation de l'univers/catégorie + panier — AUTO · à valider</t>
      </text>
    </comment>
    <comment authorId="0" ref="L8">
      <text>
        <t xml:space="preserve">======
ID#AAACEw7hMl8
    (2026-08-03 10:52:00)
Codé automatiquement par dérivation de l'univers/catégorie + panier — AUTO · à valider</t>
      </text>
    </comment>
    <comment authorId="0" ref="N74">
      <text>
        <t xml:space="preserve">======
ID#AAACEw7hMJQ
    (2026-08-03 10:52:00)
Codé automatiquement par dérivation de l'univers/catégorie + panier — AUTO · à valider</t>
      </text>
    </comment>
    <comment authorId="0" ref="O74">
      <text>
        <t xml:space="preserve">======
ID#AAACEw7hMWU
    (2026-08-03 10:52:00)
Codé automatiquement par dérivation de l'univers/catégorie + panier — AUTO · à valider</t>
      </text>
    </comment>
    <comment authorId="0" ref="M8">
      <text>
        <t xml:space="preserve">======
ID#AAACEw7hMBo
    (2026-08-03 10:52:00)
Codé automatiquement par dérivation de l'univers/catégorie + panier — AUTO · à valider</t>
      </text>
    </comment>
    <comment authorId="0" ref="P74">
      <text>
        <t xml:space="preserve">======
ID#AAACEw7hN3c
    (2026-08-03 10:52:02)
Codé automatiquement par dérivation de l'univers/catégorie + panier — AUTO · à valider</t>
      </text>
    </comment>
    <comment authorId="0" ref="T206">
      <text>
        <t xml:space="preserve">======
ID#AAACEw7hNyU
Salima Benchekroun    (2026-08-03 10:52:01)
Source: dunesdeserts.com · Confiance: high</t>
      </text>
    </comment>
    <comment authorId="0" ref="N8">
      <text>
        <t xml:space="preserve">======
ID#AAACEw7hMOk
    (2026-08-03 10:52:00)
Codé automatiquement par dérivation de l'univers/catégorie + panier — AUTO · à valider</t>
      </text>
    </comment>
    <comment authorId="0" ref="O8">
      <text>
        <t xml:space="preserve">======
ID#AAACEw7hOAc
    (2026-08-03 10:52:02)
Codé automatiquement par dérivation de l'univers/catégorie + panier — AUTO · à valider</t>
      </text>
    </comment>
    <comment authorId="0" ref="Q74">
      <text>
        <t xml:space="preserve">======
ID#AAACEw7hNpU
    (2026-08-03 10:52:01)
Codé automatiquement par dérivation de l'univers/catégorie + panier — AUTO · à valider</t>
      </text>
    </comment>
    <comment authorId="0" ref="R74">
      <text>
        <t xml:space="preserve">======
ID#AAACEw7hOn0
    (2026-08-03 10:52:02)
Codé automatiquement par dérivation de l'univers/catégorie + panier — AUTO · à valider</t>
      </text>
    </comment>
    <comment authorId="0" ref="P8">
      <text>
        <t xml:space="preserve">======
ID#AAACEw7hNEg
    (2026-08-03 10:52:01)
Codé automatiquement par dérivation de l'univers/catégorie + panier — AUTO · à valider</t>
      </text>
    </comment>
    <comment authorId="0" ref="Q8">
      <text>
        <t xml:space="preserve">======
ID#AAACEw7hOZ8
    (2026-08-03 10:52:02)
Codé automatiquement par dérivation de l'univers/catégorie + panier — AUTO · à valider</t>
      </text>
    </comment>
    <comment authorId="0" ref="R8">
      <text>
        <t xml:space="preserve">======
ID#AAACEw7hMPo
    (2026-08-03 10:52:00)
Codé automatiquement par dérivation de l'univers/catégorie + panier — AUTO · à valider</t>
      </text>
    </comment>
    <comment authorId="0" ref="T8">
      <text>
        <t xml:space="preserve">======
ID#AAACEw7hNOE
    (2026-08-03 10:52:01)
Téléphone via Google Places / établissement (juin 2026)</t>
      </text>
    </comment>
    <comment authorId="0" ref="F207">
      <text>
        <t xml:space="preserve">======
ID#AAACEw7hLvI
Salima Benchekroun    (2026-08-03 10:52:00)
Bloc enfant · code d'origine KID-PONY (inexistant) → rattaché à AK-NAT.</t>
      </text>
    </comment>
    <comment authorId="0" ref="I141">
      <text>
        <t xml:space="preserve">======
ID#AAACEw7hMFA
tc={50322D47-4B3F-4EA2-8AF4-9CA5B4B4212D}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themarrakechsociety.ma / villa</t>
      </text>
    </comment>
    <comment authorId="0" ref="I75">
      <text>
        <t xml:space="preserve">======
ID#AAACEw7hMvg
tc={F9BBCD3F-09BD-4851-B428-0AE88C5AE964}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top10marrakech.com (Scarabeo) / pers·nuit</t>
      </text>
    </comment>
    <comment authorId="0" ref="K141">
      <text>
        <t xml:space="preserve">======
ID#AAACEw7hMjk
Salima Benchekroun    (2026-08-03 10:52:00)
Tags repris d'une fiche comparable (même activité) — à valider</t>
      </text>
    </comment>
    <comment authorId="0" ref="J75">
      <text>
        <t xml:space="preserve">======
ID#AAACEw7hOZg
    (2026-08-03 10:52:02)
Codé automatiquement par dérivation de l'univers/catégorie + panier — AUTO · à valider</t>
      </text>
    </comment>
    <comment authorId="0" ref="K75">
      <text>
        <t xml:space="preserve">======
ID#AAACEw7hMuk
    (2026-08-03 10:52:01)
Codé automatiquement par dérivation de l'univers/catégorie + panier — AUTO · à valider</t>
      </text>
    </comment>
    <comment authorId="0" ref="L75">
      <text>
        <t xml:space="preserve">======
ID#AAACEw7hN1s
    (2026-08-03 10:52:02)
Codé automatiquement par dérivation de l'univers/catégorie + panier — AUTO · à valider</t>
      </text>
    </comment>
    <comment authorId="0" ref="J9">
      <text>
        <t xml:space="preserve">======
ID#AAACEw7hOBg
    (2026-08-03 10:52:02)
Codé automatiquement par dérivation de l'univers/catégorie + panier — AUTO · à valider</t>
      </text>
    </comment>
    <comment authorId="0" ref="K9">
      <text>
        <t xml:space="preserve">======
ID#AAACEw7hMeY
    (2026-08-03 10:52:00)
Codé automatiquement par dérivation de l'univers/catégorie + panier — AUTO · à valider</t>
      </text>
    </comment>
    <comment authorId="0" ref="M75">
      <text>
        <t xml:space="preserve">======
ID#AAACEw7hMeU
    (2026-08-03 10:52:00)
Codé automatiquement par dérivation de l'univers/catégorie + panier — AUTO · à valider</t>
      </text>
    </comment>
    <comment authorId="0" ref="N75">
      <text>
        <t xml:space="preserve">======
ID#AAACEw7hNWY
    (2026-08-03 10:52:01)
Codé automatiquement par dérivation de l'univers/catégorie + panier — AUTO · à valider</t>
      </text>
    </comment>
    <comment authorId="0" ref="L9">
      <text>
        <t xml:space="preserve">======
ID#AAACEw7hNwU
    (2026-08-03 10:52:01)
Codé automatiquement par dérivation de l'univers/catégorie + panier — AUTO · à valider</t>
      </text>
    </comment>
    <comment authorId="0" ref="M9">
      <text>
        <t xml:space="preserve">======
ID#AAACEw7hMls
    (2026-08-03 10:52:00)
Codé automatiquement par dérivation de l'univers/catégorie + panier — AUTO · à valider</t>
      </text>
    </comment>
    <comment authorId="0" ref="O75">
      <text>
        <t xml:space="preserve">======
ID#AAACEw7hMSQ
    (2026-08-03 10:52:00)
Codé automatiquement par dérivation de l'univers/catégorie + panier — AUTO · à valider</t>
      </text>
    </comment>
    <comment authorId="0" ref="N9">
      <text>
        <t xml:space="preserve">======
ID#AAACEw7hOTE
    (2026-08-03 10:52:02)
Codé automatiquement par dérivation de l'univers/catégorie + panier — AUTO · à valider</t>
      </text>
    </comment>
    <comment authorId="0" ref="P75">
      <text>
        <t xml:space="preserve">======
ID#AAACEw7hL5U
    (2026-08-03 10:52:00)
Codé automatiquement par dérivation de l'univers/catégorie + panier — AUTO · à valider</t>
      </text>
    </comment>
    <comment authorId="0" ref="T207">
      <text>
        <t xml:space="preserve">======
ID#AAACEw7hLy4
Salima Benchekroun    (2026-08-03 10:52:00)
Source: easytaketransport.com · Confiance: high</t>
      </text>
    </comment>
    <comment authorId="0" ref="Q75">
      <text>
        <t xml:space="preserve">======
ID#AAACEw7hOAw
    (2026-08-03 10:52:02)
Codé automatiquement par dérivation de l'univers/catégorie + panier — AUTO · à valider</t>
      </text>
    </comment>
    <comment authorId="0" ref="O9">
      <text>
        <t xml:space="preserve">======
ID#AAACEw7hNhw
    (2026-08-03 10:52:01)
Codé automatiquement par dérivation de l'univers/catégorie + panier — AUTO · à valider</t>
      </text>
    </comment>
    <comment authorId="0" ref="P9">
      <text>
        <t xml:space="preserve">======
ID#AAACEw7hN0o
    (2026-08-03 10:52:01)
Codé automatiquement par dérivation de l'univers/catégorie + panier — AUTO · à valider</t>
      </text>
    </comment>
    <comment authorId="0" ref="R75">
      <text>
        <t xml:space="preserve">======
ID#AAACEw7hMRg
    (2026-08-03 10:52:00)
Codé automatiquement par dérivation de l'univers/catégorie + panier — AUTO · à valider</t>
      </text>
    </comment>
    <comment authorId="0" ref="Q9">
      <text>
        <t xml:space="preserve">======
ID#AAACEw7hMVM
    (2026-08-03 10:52:00)
Codé automatiquement par dérivation de l'univers/catégorie + panier — AUTO · à valider</t>
      </text>
    </comment>
    <comment authorId="0" ref="R9">
      <text>
        <t xml:space="preserve">======
ID#AAACEw7hMms
    (2026-08-03 10:52:00)
Codé automatiquement par dérivation de l'univers/catégorie + panier — AUTO · à valider</t>
      </text>
    </comment>
    <comment authorId="0" ref="T9">
      <text>
        <t xml:space="preserve">======
ID#AAACEw7hNdA
    (2026-08-03 10:52:01)
Téléphone via Google Places / établissement (juin 2026)</t>
      </text>
    </comment>
    <comment authorId="0" ref="I142">
      <text>
        <t xml:space="preserve">======
ID#AAACEw7hOcI
tc={73BEB986-4DDA-4281-BD96-C2B23122D41A}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themarrakechsociety.ma / villa</t>
      </text>
    </comment>
    <comment authorId="0" ref="K142">
      <text>
        <t xml:space="preserve">======
ID#AAACEw7hOV0
Salima Benchekroun    (2026-08-03 10:52:02)
Tags repris d'une fiche comparable (même activité) — à valider</t>
      </text>
    </comment>
    <comment authorId="0" ref="I76">
      <text>
        <t xml:space="preserve">======
ID#AAACEw7hN7M
tc={27EE638D-562F-4661-A5B2-55A2637E3E80}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top10marrakech.com (Scarabeo) / pers | Prix atypique · exclu du calcul de médiane. Dromadaire — Standing ultra-luxe (autre tier) (méd. 42 €, HAUT)</t>
      </text>
    </comment>
    <comment authorId="0" ref="J76">
      <text>
        <t xml:space="preserve">======
ID#AAACEw7hOHE
    (2026-08-03 10:52:02)
Codé automatiquement par dérivation de l'univers/catégorie + panier — AUTO · à valider</t>
      </text>
    </comment>
    <comment authorId="0" ref="K76">
      <text>
        <t xml:space="preserve">======
ID#AAACEw7hOCo
    (2026-08-03 10:52:02)
Codé automatiquement par dérivation de l'univers/catégorie + panier — AUTO · à valider</t>
      </text>
    </comment>
    <comment authorId="0" ref="J10">
      <text>
        <t xml:space="preserve">======
ID#AAACEw7hNSU
    (2026-08-03 10:52:01)
Codé automatiquement par dérivation de l'univers/catégorie + panier — AUTO · à valider</t>
      </text>
    </comment>
    <comment authorId="0" ref="L76">
      <text>
        <t xml:space="preserve">======
ID#AAACEw7hM10
    (2026-08-03 10:52:01)
Codé automatiquement par dérivation de l'univers/catégorie + panier — AUTO · à valider</t>
      </text>
    </comment>
    <comment authorId="0" ref="K10">
      <text>
        <t xml:space="preserve">======
ID#AAACEw7hOU0
    (2026-08-03 10:52:02)
Codé automatiquement par dérivation de l'univers/catégorie + panier — AUTO · à valider</t>
      </text>
    </comment>
    <comment authorId="0" ref="M76">
      <text>
        <t xml:space="preserve">======
ID#AAACEw7hM5A
    (2026-08-03 10:52:01)
Codé automatiquement par dérivation de l'univers/catégorie + panier — AUTO · à valider</t>
      </text>
    </comment>
    <comment authorId="0" ref="N76">
      <text>
        <t xml:space="preserve">======
ID#AAACEw7hOEk
    (2026-08-03 10:52:02)
Codé automatiquement par dérivation de l'univers/catégorie + panier — AUTO · à valider</t>
      </text>
    </comment>
    <comment authorId="0" ref="L10">
      <text>
        <t xml:space="preserve">======
ID#AAACEw7hMgU
    (2026-08-03 10:52:00)
Codé automatiquement par dérivation de l'univers/catégorie + panier — AUTO · à valider</t>
      </text>
    </comment>
    <comment authorId="0" ref="M10">
      <text>
        <t xml:space="preserve">======
ID#AAACEw7hN08
    (2026-08-03 10:52:01)
Codé automatiquement par dérivation de l'univers/catégorie + panier — AUTO · à valider</t>
      </text>
    </comment>
    <comment authorId="0" ref="O76">
      <text>
        <t xml:space="preserve">======
ID#AAACEw7hMBU
    (2026-08-03 10:52:00)
Codé automatiquement par dérivation de l'univers/catégorie + panier — AUTO · à valider</t>
      </text>
    </comment>
    <comment authorId="0" ref="P76">
      <text>
        <t xml:space="preserve">======
ID#AAACEw7hN-4
    (2026-08-03 10:52:02)
Codé automatiquement par dérivation de l'univers/catégorie + panier — AUTO · à valider</t>
      </text>
    </comment>
    <comment authorId="0" ref="N10">
      <text>
        <t xml:space="preserve">======
ID#AAACEw7hMbA
    (2026-08-03 10:52:00)
Codé automatiquement par dérivation de l'univers/catégorie + panier — AUTO · à valider</t>
      </text>
    </comment>
    <comment authorId="0" ref="O10">
      <text>
        <t xml:space="preserve">======
ID#AAACEw7hOJo
    (2026-08-03 10:52:02)
Codé automatiquement par dérivation de l'univers/catégorie + panier — AUTO · à valider</t>
      </text>
    </comment>
    <comment authorId="0" ref="Q76">
      <text>
        <t xml:space="preserve">======
ID#AAACEw7hM_4
    (2026-08-03 10:52:01)
Codé automatiquement par dérivation de l'univers/catégorie + panier — AUTO · à valider</t>
      </text>
    </comment>
    <comment authorId="0" ref="R76">
      <text>
        <t xml:space="preserve">======
ID#AAACEw7hOR4
    (2026-08-03 10:52:02)
Codé automatiquement par dérivation de l'univers/catégorie + panier — AUTO · à valider</t>
      </text>
    </comment>
    <comment authorId="0" ref="P10">
      <text>
        <t xml:space="preserve">======
ID#AAACEw7hN2M
    (2026-08-03 10:52:02)
Codé automatiquement par dérivation de l'univers/catégorie + panier — AUTO · à valider</t>
      </text>
    </comment>
    <comment authorId="0" ref="Q10">
      <text>
        <t xml:space="preserve">======
ID#AAACEw7hOK8
    (2026-08-03 10:52:02)
Codé automatiquement par dérivation de l'univers/catégorie + panier — AUTO · à valider</t>
      </text>
    </comment>
    <comment authorId="0" ref="R10">
      <text>
        <t xml:space="preserve">======
ID#AAACEw7hMhc
    (2026-08-03 10:52:00)
Codé automatiquement par dérivation de l'univers/catégorie + panier — AUTO · à valider</t>
      </text>
    </comment>
    <comment authorId="0" ref="T10">
      <text>
        <t xml:space="preserve">======
ID#AAACEw7hNYY
    (2026-08-03 10:52:01)
Téléphone via Google Places / établissement (juin 2026)</t>
      </text>
    </comment>
    <comment authorId="0" ref="I143">
      <text>
        <t xml:space="preserve">======
ID#AAACEw7hMNY
tc={7DA177F2-F6E8-48BA-8709-5DF2AE11E372}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themarrakechsociety.ma / villa</t>
      </text>
    </comment>
    <comment authorId="0" ref="K143">
      <text>
        <t xml:space="preserve">======
ID#AAACEw7hNm0
Salima Benchekroun    (2026-08-03 10:52:01)
Tags repris d'une fiche comparable (même activité) — à valider</t>
      </text>
    </comment>
    <comment authorId="0" ref="I77">
      <text>
        <t xml:space="preserve">======
ID#AAACEw7hL4o
tc={BC2BDC16-75F6-440E-A824-0EAAFC48137A}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kasbahdutoubkal.com / pers·nuit</t>
      </text>
    </comment>
    <comment authorId="0" ref="J77">
      <text>
        <t xml:space="preserve">======
ID#AAACEw7hOhA
    (2026-08-03 10:52:02)
Codé automatiquement par dérivation de l'univers/catégorie + panier — AUTO · à valider</t>
      </text>
    </comment>
    <comment authorId="0" ref="K77">
      <text>
        <t xml:space="preserve">======
ID#AAACEw7hMk0
    (2026-08-03 10:52:00)
Codé automatiquement par dérivation de l'univers/catégorie + panier — AUTO · à valider</t>
      </text>
    </comment>
    <comment authorId="0" ref="J11">
      <text>
        <t xml:space="preserve">======
ID#AAACEw7hOIU
    (2026-08-03 10:52:02)
Codé automatiquement par dérivation de l'univers/catégorie + panier — AUTO · à valider</t>
      </text>
    </comment>
    <comment authorId="0" ref="L77">
      <text>
        <t xml:space="preserve">======
ID#AAACEw7hL-0
    (2026-08-03 10:52:00)
Codé automatiquement par dérivation de l'univers/catégorie + panier — AUTO · à valider</t>
      </text>
    </comment>
    <comment authorId="0" ref="K11">
      <text>
        <t xml:space="preserve">======
ID#AAACEw7hNkQ
    (2026-08-03 10:52:01)
Codé automatiquement par dérivation de l'univers/catégorie + panier — AUTO · à valider</t>
      </text>
    </comment>
    <comment authorId="0" ref="M77">
      <text>
        <t xml:space="preserve">======
ID#AAACEw7hMmQ
    (2026-08-03 10:52:00)
Codé automatiquement par dérivation de l'univers/catégorie + panier — AUTO · à valider</t>
      </text>
    </comment>
    <comment authorId="0" ref="L11">
      <text>
        <t xml:space="preserve">======
ID#AAACEw7hNTE
    (2026-08-03 10:52:01)
Codé automatiquement par dérivation de l'univers/catégorie + panier — AUTO · à valider</t>
      </text>
    </comment>
    <comment authorId="0" ref="N77">
      <text>
        <t xml:space="preserve">======
ID#AAACEw7hM94
    (2026-08-03 10:52:01)
Codé automatiquement par dérivation de l'univers/catégorie + panier — AUTO · à valider</t>
      </text>
    </comment>
    <comment authorId="0" ref="O77">
      <text>
        <t xml:space="preserve">======
ID#AAACEw7hOSE
    (2026-08-03 10:52:02)
Codé automatiquement par dérivation de l'univers/catégorie + panier — AUTO · à valider</t>
      </text>
    </comment>
    <comment authorId="0" ref="M11">
      <text>
        <t xml:space="preserve">======
ID#AAACEw7hONQ
    (2026-08-03 10:52:02)
Codé automatiquement par dérivation de l'univers/catégorie + panier — AUTO · à valider</t>
      </text>
    </comment>
    <comment authorId="0" ref="P77">
      <text>
        <t xml:space="preserve">======
ID#AAACEw7hNko
    (2026-08-03 10:52:01)
Codé automatiquement par dérivation de l'univers/catégorie + panier — AUTO · à valider</t>
      </text>
    </comment>
    <comment authorId="0" ref="N11">
      <text>
        <t xml:space="preserve">======
ID#AAACEw7hMCE
    (2026-08-03 10:52:00)
Codé automatiquement par dérivation de l'univers/catégorie + panier — AUTO · à valider</t>
      </text>
    </comment>
    <comment authorId="0" ref="O11">
      <text>
        <t xml:space="preserve">======
ID#AAACEw7hOUI
    (2026-08-03 10:52:02)
Codé automatiquement par dérivation de l'univers/catégorie + panier — AUTO · à valider</t>
      </text>
    </comment>
    <comment authorId="0" ref="Q77">
      <text>
        <t xml:space="preserve">======
ID#AAACEw7hNI0
    (2026-08-03 10:52:01)
Codé automatiquement par dérivation de l'univers/catégorie + panier — AUTO · à valider</t>
      </text>
    </comment>
    <comment authorId="0" ref="R77">
      <text>
        <t xml:space="preserve">======
ID#AAACEw7hOKU
    (2026-08-03 10:52:02)
Codé automatiquement par dérivation de l'univers/catégorie + panier — AUTO · à valider</t>
      </text>
    </comment>
    <comment authorId="0" ref="P11">
      <text>
        <t xml:space="preserve">======
ID#AAACEw7hN3Y
    (2026-08-03 10:52:02)
Codé automatiquement par dérivation de l'univers/catégorie + panier — AUTO · à valider</t>
      </text>
    </comment>
    <comment authorId="0" ref="T143">
      <text>
        <t xml:space="preserve">======
ID#AAACEw7hNi8
Salima Benchekroun    (2026-08-03 10:52:01)
Source: djsoulchic.com · Confiance: medium</t>
      </text>
    </comment>
    <comment authorId="0" ref="Q11">
      <text>
        <t xml:space="preserve">======
ID#AAACEw7hN0g
    (2026-08-03 10:52:01)
Codé automatiquement par dérivation de l'univers/catégorie + panier — AUTO · à valider</t>
      </text>
    </comment>
    <comment authorId="0" ref="R11">
      <text>
        <t xml:space="preserve">======
ID#AAACEw7hNPA
    (2026-08-03 10:52:01)
Codé automatiquement par dérivation de l'univers/catégorie + panier — AUTO · à valider</t>
      </text>
    </comment>
    <comment authorId="0" ref="T11">
      <text>
        <t xml:space="preserve">======
ID#AAACEw7hOgM
    (2026-08-03 10:52:02)
Téléphone via Google Places / établissement (juin 2026)</t>
      </text>
    </comment>
    <comment authorId="0" ref="I144">
      <text>
        <t xml:space="preserve">======
ID#AAACEw7hOJM
Salima Benchekroun    (2026-08-03 10:52:02)
Converti de 450 MAD (1€=10,7 MAD). Tarif indicatif dès.</t>
      </text>
    </comment>
    <comment authorId="0" ref="I78">
      <text>
        <t xml:space="preserve">======
ID#AAACEw7hOCM
tc={E969C851-C1D4-45D0-B753-44C8060F3FDE}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kasbahdutoubkal.com / pers·nuit</t>
      </text>
    </comment>
    <comment authorId="0" ref="K144">
      <text>
        <t xml:space="preserve">======
ID#AAACEw7hNSo
Salima Benchekroun    (2026-08-03 10:52:01)
Tags repris d'une fiche comparable (même activité) — à valider</t>
      </text>
    </comment>
    <comment authorId="0" ref="J78">
      <text>
        <t xml:space="preserve">======
ID#AAACEw7hOQM
    (2026-08-03 10:52:02)
Codé automatiquement par dérivation de l'univers/catégorie + panier — AUTO · à valider</t>
      </text>
    </comment>
    <comment authorId="0" ref="K78">
      <text>
        <t xml:space="preserve">======
ID#AAACEw7hOZI
    (2026-08-03 10:52:02)
Codé automatiquement par dérivation de l'univers/catégorie + panier — AUTO · à valider</t>
      </text>
    </comment>
    <comment authorId="0" ref="J12">
      <text>
        <t xml:space="preserve">======
ID#AAACEw7hMCw
    (2026-08-03 10:52:00)
Codé automatiquement par dérivation de l'univers/catégorie + panier — AUTO · à valider</t>
      </text>
    </comment>
    <comment authorId="0" ref="L78">
      <text>
        <t xml:space="preserve">======
ID#AAACEw7hL6w
    (2026-08-03 10:52:00)
Codé automatiquement par dérivation de l'univers/catégorie + panier — AUTO · à valider</t>
      </text>
    </comment>
    <comment authorId="0" ref="K12">
      <text>
        <t xml:space="preserve">======
ID#AAACEw7hOi4
    (2026-08-03 10:52:02)
Codé automatiquement par dérivation de l'univers/catégorie + panier — AUTO · à valider</t>
      </text>
    </comment>
    <comment authorId="0" ref="M78">
      <text>
        <t xml:space="preserve">======
ID#AAACEw7hOLk
    (2026-08-03 10:52:02)
Codé automatiquement par dérivation de l'univers/catégorie + panier — AUTO · à valider</t>
      </text>
    </comment>
    <comment authorId="0" ref="L12">
      <text>
        <t xml:space="preserve">======
ID#AAACEw7hOB0
    (2026-08-03 10:52:02)
Codé automatiquement par dérivation de l'univers/catégorie + panier — AUTO · à valider</t>
      </text>
    </comment>
    <comment authorId="0" ref="N78">
      <text>
        <t xml:space="preserve">======
ID#AAACEw7hMVo
    (2026-08-03 10:52:00)
Codé automatiquement par dérivation de l'univers/catégorie + panier — AUTO · à valider</t>
      </text>
    </comment>
    <comment authorId="0" ref="M12">
      <text>
        <t xml:space="preserve">======
ID#AAACEw7hOJU
    (2026-08-03 10:52:02)
Codé automatiquement par dérivation de l'univers/catégorie + panier — AUTO · à valider</t>
      </text>
    </comment>
    <comment authorId="0" ref="O78">
      <text>
        <t xml:space="preserve">======
ID#AAACEw7hNX8
    (2026-08-03 10:52:01)
Codé automatiquement par dérivation de l'univers/catégorie + panier — AUTO · à valider</t>
      </text>
    </comment>
    <comment authorId="0" ref="N12">
      <text>
        <t xml:space="preserve">======
ID#AAACEw7hNng
    (2026-08-03 10:52:01)
Codé automatiquement par dérivation de l'univers/catégorie + panier — AUTO · à valider</t>
      </text>
    </comment>
    <comment authorId="0" ref="P78">
      <text>
        <t xml:space="preserve">======
ID#AAACEw7hLv4
    (2026-08-03 10:52:00)
Codé automatiquement par dérivation de l'univers/catégorie + panier — AUTO · à valider</t>
      </text>
    </comment>
    <comment authorId="0" ref="Q78">
      <text>
        <t xml:space="preserve">======
ID#AAACEw7hOCc
    (2026-08-03 10:52:02)
Codé automatiquement par dérivation de l'univers/catégorie + panier — AUTO · à valider</t>
      </text>
    </comment>
    <comment authorId="0" ref="O12">
      <text>
        <t xml:space="preserve">======
ID#AAACEw7hNqI
    (2026-08-03 10:52:01)
Codé automatiquement par dérivation de l'univers/catégorie + panier — AUTO · à valider</t>
      </text>
    </comment>
    <comment authorId="0" ref="R78">
      <text>
        <t xml:space="preserve">======
ID#AAACEw7hNz0
    (2026-08-03 10:52:01)
Codé automatiquement par dérivation de l'univers/catégorie + panier — AUTO · à valider</t>
      </text>
    </comment>
    <comment authorId="0" ref="P12">
      <text>
        <t xml:space="preserve">======
ID#AAACEw7hNlg
    (2026-08-03 10:52:01)
Codé automatiquement par dérivation de l'univers/catégorie + panier — AUTO · à valider</t>
      </text>
    </comment>
    <comment authorId="0" ref="Q12">
      <text>
        <t xml:space="preserve">======
ID#AAACEw7hNRo
    (2026-08-03 10:52:01)
Codé automatiquement par dérivation de l'univers/catégorie + panier — AUTO · à valider</t>
      </text>
    </comment>
    <comment authorId="0" ref="R12">
      <text>
        <t xml:space="preserve">======
ID#AAACEw7hNhQ
    (2026-08-03 10:52:01)
Codé automatiquement par dérivation de l'univers/catégorie + panier — AUTO · à valider</t>
      </text>
    </comment>
    <comment authorId="0" ref="T12">
      <text>
        <t xml:space="preserve">======
ID#AAACEw7hMfA
    (2026-08-03 10:52:00)
Téléphone via Google Places / établissement (juin 2026)</t>
      </text>
    </comment>
    <comment authorId="0" ref="I145">
      <text>
        <t xml:space="preserve">======
ID#AAACEw7hOdo
Salima Benchekroun    (2026-08-03 10:52:02)
Converti de 400 MAD (1€=10,7 MAD). Tarif indicatif dès.</t>
      </text>
    </comment>
    <comment authorId="0" ref="K145">
      <text>
        <t xml:space="preserve">======
ID#AAACEw7hMwc
Salima Benchekroun    (2026-08-03 10:52:01)
Tags repris d'une fiche comparable (même activité) — à valider</t>
      </text>
    </comment>
    <comment authorId="0" ref="I79">
      <text>
        <t xml:space="preserve">======
ID#AAACEw7hL8c
tc={C3C19002-2214-4473-B48E-5D54229A6732}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J79">
      <text>
        <t xml:space="preserve">======
ID#AAACEw7hN7U
    (2026-08-03 10:52:02)
Codé automatiquement par dérivation de l'univers/catégorie + panier — AUTO · à valider</t>
      </text>
    </comment>
    <comment authorId="0" ref="K79">
      <text>
        <t xml:space="preserve">======
ID#AAACEw7hNj0
    (2026-08-03 10:52:01)
Codé automatiquement par dérivation de l'univers/catégorie + panier — AUTO · à valider</t>
      </text>
    </comment>
    <comment authorId="0" ref="J13">
      <text>
        <t xml:space="preserve">======
ID#AAACEw7hOh8
    (2026-08-03 10:52:02)
Codé automatiquement par dérivation de l'univers/catégorie + panier — AUTO · à valider</t>
      </text>
    </comment>
    <comment authorId="0" ref="L79">
      <text>
        <t xml:space="preserve">======
ID#AAACEw7hNqY
    (2026-08-03 10:52:01)
Codé automatiquement par dérivation de l'univers/catégorie + panier — AUTO · à valider</t>
      </text>
    </comment>
    <comment authorId="0" ref="K13">
      <text>
        <t xml:space="preserve">======
ID#AAACEw7hOPQ
    (2026-08-03 10:52:02)
Codé automatiquement par dérivation de l'univers/catégorie + panier — AUTO · à valider</t>
      </text>
    </comment>
    <comment authorId="0" ref="M79">
      <text>
        <t xml:space="preserve">======
ID#AAACEw7hOC8
    (2026-08-03 10:52:02)
Codé automatiquement par dérivation de l'univers/catégorie + panier — AUTO · à valider</t>
      </text>
    </comment>
    <comment authorId="0" ref="N79">
      <text>
        <t xml:space="preserve">======
ID#AAACEw7hOlA
    (2026-08-03 10:52:02)
Codé automatiquement par dérivation de l'univers/catégorie + panier — AUTO · à valider</t>
      </text>
    </comment>
    <comment authorId="0" ref="L13">
      <text>
        <t xml:space="preserve">======
ID#AAACEw7hMMg
    (2026-08-03 10:52:00)
Codé automatiquement par dérivation de l'univers/catégorie + panier — AUTO · à valider</t>
      </text>
    </comment>
    <comment authorId="0" ref="O79">
      <text>
        <t xml:space="preserve">======
ID#AAACEw7hOOQ
    (2026-08-03 10:52:02)
Codé automatiquement par dérivation de l'univers/catégorie + panier — AUTO · à valider</t>
      </text>
    </comment>
    <comment authorId="0" ref="M13">
      <text>
        <t xml:space="preserve">======
ID#AAACEw7hNP0
    (2026-08-03 10:52:01)
Codé automatiquement par dérivation de l'univers/catégorie + panier — AUTO · à valider</t>
      </text>
    </comment>
    <comment authorId="0" ref="P79">
      <text>
        <t xml:space="preserve">======
ID#AAACEw7hMm4
    (2026-08-03 10:52:00)
Codé automatiquement par dérivation de l'univers/catégorie + panier — AUTO · à valider</t>
      </text>
    </comment>
    <comment authorId="0" ref="N13">
      <text>
        <t xml:space="preserve">======
ID#AAACEw7hMZ8
    (2026-08-03 10:52:00)
Codé automatiquement par dérivation de l'univers/catégorie + panier — AUTO · à valider</t>
      </text>
    </comment>
    <comment authorId="0" ref="O13">
      <text>
        <t xml:space="preserve">======
ID#AAACEw7hOm0
    (2026-08-03 10:52:02)
Codé automatiquement par dérivation de l'univers/catégorie + panier — AUTO · à valider</t>
      </text>
    </comment>
    <comment authorId="0" ref="Q79">
      <text>
        <t xml:space="preserve">======
ID#AAACEw7hMog
    (2026-08-03 10:52:00)
Codé automatiquement par dérivation de l'univers/catégorie + panier — AUTO · à valider</t>
      </text>
    </comment>
    <comment authorId="0" ref="R79">
      <text>
        <t xml:space="preserve">======
ID#AAACEw7hOFg
    (2026-08-03 10:52:02)
Codé automatiquement par dérivation de l'univers/catégorie + panier — AUTO · à valider</t>
      </text>
    </comment>
    <comment authorId="0" ref="T145">
      <text>
        <t xml:space="preserve">======
ID#AAACEw7hNUs
Salima Benchekroun    (2026-08-03 10:52:01)
Source: marrakech-events.com · Confiance: high</t>
      </text>
    </comment>
    <comment authorId="0" ref="P13">
      <text>
        <t xml:space="preserve">======
ID#AAACEw7hNNg
    (2026-08-03 10:52:01)
Codé automatiquement par dérivation de l'univers/catégorie + panier — AUTO · à valider</t>
      </text>
    </comment>
    <comment authorId="0" ref="Q13">
      <text>
        <t xml:space="preserve">======
ID#AAACEw7hOOg
    (2026-08-03 10:52:02)
Codé automatiquement par dérivation de l'univers/catégorie + panier — AUTO · à valider</t>
      </text>
    </comment>
    <comment authorId="0" ref="R13">
      <text>
        <t xml:space="preserve">======
ID#AAACEw7hMII
    (2026-08-03 10:52:00)
Codé automatiquement par dérivation de l'univers/catégorie + panier — AUTO · à valider</t>
      </text>
    </comment>
    <comment authorId="0" ref="I146">
      <text>
        <t xml:space="preserve">======
ID#AAACEw7hMaE
Salima Benchekroun    (2026-08-03 10:52:00)
Converti de 550 MAD (1€=10,7 MAD). Tarif indicatif dès.</t>
      </text>
    </comment>
    <comment authorId="0" ref="I80">
      <text>
        <t xml:space="preserve">======
ID#AAACEw7hODM
Salima Benchekroun    (2026-08-03 10:52:02)
Estimation — médiane CRM du type « Ateliers d'artisans » = 42 € (fichier Réconciliation prix ↔ CRM). Atelier parfum ; prestations parfum existantes ≈ 55 €. À valider.</t>
      </text>
    </comment>
    <comment authorId="0" ref="K146">
      <text>
        <t xml:space="preserve">======
ID#AAACEw7hMRY
Salima Benchekroun    (2026-08-03 10:52:00)
Tags repris d'une fiche comparable (même activité) — à valider</t>
      </text>
    </comment>
    <comment authorId="0" ref="J80">
      <text>
        <t xml:space="preserve">======
ID#AAACEw7hL9o
    (2026-08-03 10:52:00)
Codé automatiquement par dérivation de l'univers/catégorie + panier — AUTO · à valider</t>
      </text>
    </comment>
    <comment authorId="0" ref="K80">
      <text>
        <t xml:space="preserve">======
ID#AAACEw7hMUs
    (2026-08-03 10:52:00)
Codé automatiquement par dérivation de l'univers/catégorie + panier — AUTO · à valider</t>
      </text>
    </comment>
    <comment authorId="0" ref="J14">
      <text>
        <t xml:space="preserve">======
ID#AAACEw7hOqQ
    (2026-08-03 10:52:02)
Codé automatiquement par dérivation de l'univers/catégorie + panier — AUTO · à valider</t>
      </text>
    </comment>
    <comment authorId="0" ref="L80">
      <text>
        <t xml:space="preserve">======
ID#AAACEw7hNuo
    (2026-08-03 10:52:01)
Codé automatiquement par dérivation de l'univers/catégorie + panier — AUTO · à valider</t>
      </text>
    </comment>
    <comment authorId="0" ref="K14">
      <text>
        <t xml:space="preserve">======
ID#AAACEw7hOpw
    (2026-08-03 10:52:02)
Codé automatiquement par dérivation de l'univers/catégorie + panier — AUTO · à valider</t>
      </text>
    </comment>
    <comment authorId="0" ref="M80">
      <text>
        <t xml:space="preserve">======
ID#AAACEw7hNxI
    (2026-08-03 10:52:01)
Codé automatiquement par dérivation de l'univers/catégorie + panier — AUTO · à valider</t>
      </text>
    </comment>
    <comment authorId="0" ref="L14">
      <text>
        <t xml:space="preserve">======
ID#AAACEw7hOTw
    (2026-08-03 10:52:02)
Codé automatiquement par dérivation de l'univers/catégorie + panier — AUTO · à valider</t>
      </text>
    </comment>
    <comment authorId="0" ref="N80">
      <text>
        <t xml:space="preserve">======
ID#AAACEw7hNsA
    (2026-08-03 10:52:01)
Codé automatiquement par dérivation de l'univers/catégorie + panier — AUTO · à valider</t>
      </text>
    </comment>
    <comment authorId="0" ref="O80">
      <text>
        <t xml:space="preserve">======
ID#AAACEw7hOEs
    (2026-08-03 10:52:02)
Codé automatiquement par dérivation de l'univers/catégorie + panier — AUTO · à valider</t>
      </text>
    </comment>
    <comment authorId="0" ref="M14">
      <text>
        <t xml:space="preserve">======
ID#AAACEw7hM30
    (2026-08-03 10:52:01)
Codé automatiquement par dérivation de l'univers/catégorie + panier — AUTO · à valider</t>
      </text>
    </comment>
    <comment authorId="0" ref="P80">
      <text>
        <t xml:space="preserve">======
ID#AAACEw7hM4U
    (2026-08-03 10:52:01)
Codé automatiquement par dérivation de l'univers/catégorie + panier — AUTO · à valider</t>
      </text>
    </comment>
    <comment authorId="0" ref="N14">
      <text>
        <t xml:space="preserve">======
ID#AAACEw7hM3s
    (2026-08-03 10:52:01)
Codé automatiquement par dérivation de l'univers/catégorie + panier — AUTO · à valider</t>
      </text>
    </comment>
    <comment authorId="0" ref="O14">
      <text>
        <t xml:space="preserve">======
ID#AAACEw7hNmc
    (2026-08-03 10:52:01)
Codé automatiquement par dérivation de l'univers/catégorie + panier — AUTO · à valider</t>
      </text>
    </comment>
    <comment authorId="0" ref="Q80">
      <text>
        <t xml:space="preserve">======
ID#AAACEw7hMhQ
    (2026-08-03 10:52:00)
Codé automatiquement par dérivation de l'univers/catégorie + panier — AUTO · à valider</t>
      </text>
    </comment>
    <comment authorId="0" ref="T146">
      <text>
        <t xml:space="preserve">======
ID#AAACEw7hN44
Salima Benchekroun    (2026-08-03 10:52:02)
Source: villatajmarrakech.com · Confiance: high</t>
      </text>
    </comment>
    <comment authorId="0" ref="R80">
      <text>
        <t xml:space="preserve">======
ID#AAACEw7hNXA
    (2026-08-03 10:52:01)
Codé automatiquement par dérivation de l'univers/catégorie + panier — AUTO · à valider</t>
      </text>
    </comment>
    <comment authorId="0" ref="P14">
      <text>
        <t xml:space="preserve">======
ID#AAACEw7hMag
    (2026-08-03 10:52:00)
Codé automatiquement par dérivation de l'univers/catégorie + panier — AUTO · à valider</t>
      </text>
    </comment>
    <comment authorId="0" ref="Q14">
      <text>
        <t xml:space="preserve">======
ID#AAACEw7hMgE
    (2026-08-03 10:52:00)
Codé automatiquement par dérivation de l'univers/catégorie + panier — AUTO · à valider</t>
      </text>
    </comment>
    <comment authorId="0" ref="R14">
      <text>
        <t xml:space="preserve">======
ID#AAACEw7hLys
    (2026-08-03 10:52:00)
Codé automatiquement par dérivation de l'univers/catégorie + panier — AUTO · à valider</t>
      </text>
    </comment>
    <comment authorId="0" ref="T14">
      <text>
        <t xml:space="preserve">======
ID#AAACEw7hNps
    (2026-08-03 10:52:01)
Téléphone via Google Places / établissement (juin 2026)</t>
      </text>
    </comment>
    <comment authorId="0" ref="I147">
      <text>
        <t xml:space="preserve">======
ID#AAACEw7hOX0
Salima Benchekroun    (2026-08-03 10:52:02)
Converti de 450 MAD (1€=10,7 MAD). Tarif indicatif dès.</t>
      </text>
    </comment>
    <comment authorId="0" ref="K147">
      <text>
        <t xml:space="preserve">======
ID#AAACEw7hNTw
Salima Benchekroun    (2026-08-03 10:52:01)
Tags repris d'une fiche comparable (même activité) — à valider</t>
      </text>
    </comment>
    <comment authorId="0" ref="I81">
      <text>
        <t xml:space="preserve">======
ID#AAACEw7hMYA
Salima Benchekroun    (2026-08-03 10:52:00)
Estimation — médiane CRM du type « Ateliers d'artisans » = 42 € (fichier Réconciliation prix ↔ CRM). Expérience parfum/henné. À valider.</t>
      </text>
    </comment>
    <comment authorId="0" ref="J81">
      <text>
        <t xml:space="preserve">======
ID#AAACEw7hN10
    (2026-08-03 10:52:02)
Codé automatiquement par dérivation de l'univers/catégorie + panier — AUTO · à valider</t>
      </text>
    </comment>
    <comment authorId="0" ref="K81">
      <text>
        <t xml:space="preserve">======
ID#AAACEw7hNF8
    (2026-08-03 10:52:01)
Codé automatiquement par dérivation de l'univers/catégorie + panier — AUTO · à valider</t>
      </text>
    </comment>
    <comment authorId="0" ref="I15">
      <text>
        <t xml:space="preserve">======
ID#AAACEw7hMLw
Salima Benchekroun    (2026-08-03 10:52:00)
Prix atypique · exclu du calcul de médiane. Massage / Spa — Standing ultra-luxe (autre tier) (méd. 90 €, HAUT)</t>
      </text>
    </comment>
    <comment authorId="0" ref="J15">
      <text>
        <t xml:space="preserve">======
ID#AAACEw7hOS0
    (2026-08-03 10:52:02)
Codé automatiquement par dérivation de l'univers/catégorie + panier — AUTO · à valider</t>
      </text>
    </comment>
    <comment authorId="0" ref="L81">
      <text>
        <t xml:space="preserve">======
ID#AAACEw7hNcY
    (2026-08-03 10:52:01)
Codé automatiquement par dérivation de l'univers/catégorie + panier — AUTO · à valider</t>
      </text>
    </comment>
    <comment authorId="0" ref="K15">
      <text>
        <t xml:space="preserve">======
ID#AAACEw7hNs4
    (2026-08-03 10:52:01)
Codé automatiquement par dérivation de l'univers/catégorie + panier — AUTO · à valider</t>
      </text>
    </comment>
    <comment authorId="0" ref="M81">
      <text>
        <t xml:space="preserve">======
ID#AAACEw7hMFM
    (2026-08-03 10:52:00)
Codé automatiquement par dérivation de l'univers/catégorie + panier — AUTO · à valider</t>
      </text>
    </comment>
    <comment authorId="0" ref="N81">
      <text>
        <t xml:space="preserve">======
ID#AAACEw7hOI0
    (2026-08-03 10:52:02)
Codé automatiquement par dérivation de l'univers/catégorie + panier — AUTO · à valider</t>
      </text>
    </comment>
    <comment authorId="0" ref="L15">
      <text>
        <t xml:space="preserve">======
ID#AAACEw7hMwU
    (2026-08-03 10:52:01)
Codé automatiquement par dérivation de l'univers/catégorie + panier — AUTO · à valider</t>
      </text>
    </comment>
    <comment authorId="0" ref="M15">
      <text>
        <t xml:space="preserve">======
ID#AAACEw7hNec
    (2026-08-03 10:52:01)
Codé automatiquement par dérivation de l'univers/catégorie + panier — AUTO · à valider</t>
      </text>
    </comment>
    <comment authorId="0" ref="O81">
      <text>
        <t xml:space="preserve">======
ID#AAACEw7hL-4
    (2026-08-03 10:52:00)
Codé automatiquement par dérivation de l'univers/catégorie + panier — AUTO · à valider</t>
      </text>
    </comment>
    <comment authorId="0" ref="N15">
      <text>
        <t xml:space="preserve">======
ID#AAACEw7hOLI
    (2026-08-03 10:52:02)
Codé automatiquement par dérivation de l'univers/catégorie + panier — AUTO · à valider</t>
      </text>
    </comment>
    <comment authorId="0" ref="P81">
      <text>
        <t xml:space="preserve">======
ID#AAACEw7hNOM
    (2026-08-03 10:52:01)
Codé automatiquement par dérivation de l'univers/catégorie + panier — AUTO · à valider</t>
      </text>
    </comment>
    <comment authorId="0" ref="Q81">
      <text>
        <t xml:space="preserve">======
ID#AAACEw7hNDw
    (2026-08-03 10:52:01)
Codé automatiquement par dérivation de l'univers/catégorie + panier — AUTO · à valider</t>
      </text>
    </comment>
    <comment authorId="0" ref="O15">
      <text>
        <t xml:space="preserve">======
ID#AAACEw7hM6Y
    (2026-08-03 10:52:01)
Codé automatiquement par dérivation de l'univers/catégorie + panier — AUTO · à valider</t>
      </text>
    </comment>
    <comment authorId="0" ref="P15">
      <text>
        <t xml:space="preserve">======
ID#AAACEw7hOGc
    (2026-08-03 10:52:02)
Codé automatiquement par dérivation de l'univers/catégorie + panier — AUTO · à valider</t>
      </text>
    </comment>
    <comment authorId="0" ref="R81">
      <text>
        <t xml:space="preserve">======
ID#AAACEw7hMtY
    (2026-08-03 10:52:01)
Codé automatiquement par dérivation de l'univers/catégorie + panier — AUTO · à valider</t>
      </text>
    </comment>
    <comment authorId="0" ref="T147">
      <text>
        <t xml:space="preserve">======
ID#AAACEw7hMQM
Salima Benchekroun    (2026-08-03 10:52:00)
Source: directory · Confiance: medium</t>
      </text>
    </comment>
    <comment authorId="0" ref="Q15">
      <text>
        <t xml:space="preserve">======
ID#AAACEw7hMCY
    (2026-08-03 10:52:00)
Codé automatiquement par dérivation de l'univers/catégorie + panier — AUTO · à valider</t>
      </text>
    </comment>
    <comment authorId="0" ref="R15">
      <text>
        <t xml:space="preserve">======
ID#AAACEw7hNr0
    (2026-08-03 10:52:01)
Codé automatiquement par dérivation de l'univers/catégorie + panier — AUTO · à valider</t>
      </text>
    </comment>
    <comment authorId="0" ref="T15">
      <text>
        <t xml:space="preserve">======
ID#AAACEw7hMQY
    (2026-08-03 10:52:00)
Téléphone via Google Places / établissement (juin 2026)</t>
      </text>
    </comment>
    <comment authorId="0" ref="I148">
      <text>
        <t xml:space="preserve">======
ID#AAACEw7hMhU
Salima Benchekroun    (2026-08-03 10:52:00)
Converti de 500 MAD (1€=10,7 MAD). Tarif indicatif dès.</t>
      </text>
    </comment>
    <comment authorId="0" ref="K148">
      <text>
        <t xml:space="preserve">======
ID#AAACEw7hNvA
Salima Benchekroun    (2026-08-03 10:52:01)
Tags repris d'une fiche comparable (même activité) — à valider</t>
      </text>
    </comment>
    <comment authorId="0" ref="I82">
      <text>
        <t xml:space="preserve">======
ID#AAACEw7hMXo
tc={2611BB82-F605-4555-BA6B-05ED659EC992}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J82">
      <text>
        <t xml:space="preserve">======
ID#AAACEw7hLyE
    (2026-08-03 10:52:00)
Codé automatiquement par dérivation de l'univers/catégorie + panier — AUTO · à valider</t>
      </text>
    </comment>
    <comment authorId="0" ref="K82">
      <text>
        <t xml:space="preserve">======
ID#AAACEw7hN78
    (2026-08-03 10:52:02)
Codé automatiquement par dérivation de l'univers/catégorie + panier — AUTO · à valider</t>
      </text>
    </comment>
    <comment authorId="0" ref="J16">
      <text>
        <t xml:space="preserve">======
ID#AAACEw7hOdU
    (2026-08-03 10:52:02)
Codé automatiquement par dérivation de l'univers/catégorie + panier — AUTO · à valider</t>
      </text>
    </comment>
    <comment authorId="0" ref="L82">
      <text>
        <t xml:space="preserve">======
ID#AAACEw7hN5M
    (2026-08-03 10:52:02)
Codé automatiquement par dérivation de l'univers/catégorie + panier — AUTO · à valider</t>
      </text>
    </comment>
    <comment authorId="0" ref="K16">
      <text>
        <t xml:space="preserve">======
ID#AAACEw7hNfg
    (2026-08-03 10:52:01)
Codé automatiquement par dérivation de l'univers/catégorie + panier — AUTO · à valider</t>
      </text>
    </comment>
    <comment authorId="0" ref="M82">
      <text>
        <t xml:space="preserve">======
ID#AAACEw7hMSc
    (2026-08-03 10:52:00)
Codé automatiquement par dérivation de l'univers/catégorie + panier — AUTO · à valider</t>
      </text>
    </comment>
    <comment authorId="0" ref="N82">
      <text>
        <t xml:space="preserve">======
ID#AAACEw7hNpk
    (2026-08-03 10:52:01)
Codé automatiquement par dérivation de l'univers/catégorie + panier — AUTO · à valider</t>
      </text>
    </comment>
    <comment authorId="0" ref="L16">
      <text>
        <t xml:space="preserve">======
ID#AAACEw7hNcQ
    (2026-08-03 10:52:01)
Codé automatiquement par dérivation de l'univers/catégorie + panier — AUTO · à valider</t>
      </text>
    </comment>
    <comment authorId="0" ref="M16">
      <text>
        <t xml:space="preserve">======
ID#AAACEw7hOXc
    (2026-08-03 10:52:02)
Codé automatiquement par dérivation de l'univers/catégorie + panier — AUTO · à valider</t>
      </text>
    </comment>
    <comment authorId="0" ref="O82">
      <text>
        <t xml:space="preserve">======
ID#AAACEw7hMr4
    (2026-08-03 10:52:01)
Codé automatiquement par dérivation de l'univers/catégorie + panier — AUTO · à valider</t>
      </text>
    </comment>
    <comment authorId="0" ref="P82">
      <text>
        <t xml:space="preserve">======
ID#AAACEw7hNVg
    (2026-08-03 10:52:01)
Codé automatiquement par dérivation de l'univers/catégorie + panier — AUTO · à valider</t>
      </text>
    </comment>
    <comment authorId="0" ref="N16">
      <text>
        <t xml:space="preserve">======
ID#AAACEw7hNvo
    (2026-08-03 10:52:01)
Codé automatiquement par dérivation de l'univers/catégorie + panier — AUTO · à valider</t>
      </text>
    </comment>
    <comment authorId="0" ref="O16">
      <text>
        <t xml:space="preserve">======
ID#AAACEw7hObs
    (2026-08-03 10:52:02)
Codé automatiquement par dérivation de l'univers/catégorie + panier — AUTO · à valider</t>
      </text>
    </comment>
    <comment authorId="0" ref="Q82">
      <text>
        <t xml:space="preserve">======
ID#AAACEw7hOdk
    (2026-08-03 10:52:02)
Codé automatiquement par dérivation de l'univers/catégorie + panier — AUTO · à valider</t>
      </text>
    </comment>
    <comment authorId="0" ref="P16">
      <text>
        <t xml:space="preserve">======
ID#AAACEw7hNN0
    (2026-08-03 10:52:01)
Codé automatiquement par dérivation de l'univers/catégorie + panier — AUTO · à valider</t>
      </text>
    </comment>
    <comment authorId="0" ref="R82">
      <text>
        <t xml:space="preserve">======
ID#AAACEw7hN1I
    (2026-08-03 10:52:01)
Codé automatiquement par dérivation de l'univers/catégorie + panier — AUTO · à valider</t>
      </text>
    </comment>
    <comment authorId="0" ref="Q16">
      <text>
        <t xml:space="preserve">======
ID#AAACEw7hOfo
    (2026-08-03 10:52:02)
Codé automatiquement par dérivation de l'univers/catégorie + panier — AUTO · à valider</t>
      </text>
    </comment>
    <comment authorId="0" ref="R16">
      <text>
        <t xml:space="preserve">======
ID#AAACEw7hNHs
    (2026-08-03 10:52:01)
Codé automatiquement par dérivation de l'univers/catégorie + panier — AUTO · à valider</t>
      </text>
    </comment>
    <comment authorId="0" ref="T16">
      <text>
        <t xml:space="preserve">======
ID#AAACEw7hNz4
    (2026-08-03 10:52:01)
Téléphone via Google Places / établissement (juin 2026)</t>
      </text>
    </comment>
    <comment authorId="0" ref="I149">
      <text>
        <t xml:space="preserve">======
ID#AAACEw7hNcg
Salima Benchekroun    (2026-08-03 10:52:01)
Converti de 600 MAD (1€=10,7 MAD). Tarif indicatif dès.</t>
      </text>
    </comment>
    <comment authorId="0" ref="K149">
      <text>
        <t xml:space="preserve">======
ID#AAACEw7hNt0
Salima Benchekroun    (2026-08-03 10:52:01)
Tags repris d'une fiche comparable (même activité) — à valider</t>
      </text>
    </comment>
    <comment authorId="0" ref="I83">
      <text>
        <t xml:space="preserve">======
ID#AAACEw7hMDI
tc={27D44AEC-52EE-4047-B888-4FB4CA61F2B7}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J83">
      <text>
        <t xml:space="preserve">======
ID#AAACEw7hOYQ
    (2026-08-03 10:52:02)
Codé automatiquement par dérivation de l'univers/catégorie + panier — AUTO · à valider</t>
      </text>
    </comment>
    <comment authorId="0" ref="K83">
      <text>
        <t xml:space="preserve">======
ID#AAACEw7hMT8
    (2026-08-03 10:52:00)
Codé automatiquement par dérivation de l'univers/catégorie + panier — AUTO · à valider</t>
      </text>
    </comment>
    <comment authorId="0" ref="L83">
      <text>
        <t xml:space="preserve">======
ID#AAACEw7hNtU
    (2026-08-03 10:52:01)
Codé automatiquement par dérivation de l'univers/catégorie + panier — AUTO · à valider</t>
      </text>
    </comment>
    <comment authorId="0" ref="J17">
      <text>
        <t xml:space="preserve">======
ID#AAACEw7hNlE
    (2026-08-03 10:52:01)
Codé automatiquement par dérivation de l'univers/catégorie + panier — AUTO · à valider</t>
      </text>
    </comment>
    <comment authorId="0" ref="K17">
      <text>
        <t xml:space="preserve">======
ID#AAACEw7hOZY
    (2026-08-03 10:52:02)
Codé automatiquement par dérivation de l'univers/catégorie + panier — AUTO · à valider</t>
      </text>
    </comment>
    <comment authorId="0" ref="M83">
      <text>
        <t xml:space="preserve">======
ID#AAACEw7hMJs
    (2026-08-03 10:52:00)
Codé automatiquement par dérivation de l'univers/catégorie + panier — AUTO · à valider</t>
      </text>
    </comment>
    <comment authorId="0" ref="L17">
      <text>
        <t xml:space="preserve">======
ID#AAACEw7hNMQ
    (2026-08-03 10:52:01)
Codé automatiquement par dérivation de l'univers/catégorie + panier — AUTO · à valider</t>
      </text>
    </comment>
    <comment authorId="0" ref="N83">
      <text>
        <t xml:space="preserve">======
ID#AAACEw7hMdg
    (2026-08-03 10:52:00)
Codé automatiquement par dérivation de l'univers/catégorie + panier — AUTO · à valider</t>
      </text>
    </comment>
    <comment authorId="0" ref="O83">
      <text>
        <t xml:space="preserve">======
ID#AAACEw7hNyI
    (2026-08-03 10:52:01)
Codé automatiquement par dérivation de l'univers/catégorie + panier — AUTO · à valider</t>
      </text>
    </comment>
    <comment authorId="0" ref="M17">
      <text>
        <t xml:space="preserve">======
ID#AAACEw7hM6c
    (2026-08-03 10:52:01)
Codé automatiquement par dérivation de l'univers/catégorie + panier — AUTO · à valider</t>
      </text>
    </comment>
    <comment authorId="0" ref="N17">
      <text>
        <t xml:space="preserve">======
ID#AAACEw7hOiA
    (2026-08-03 10:52:02)
Codé automatiquement par dérivation de l'univers/catégorie + panier — AUTO · à valider</t>
      </text>
    </comment>
    <comment authorId="0" ref="P83">
      <text>
        <t xml:space="preserve">======
ID#AAACEw7hOXg
    (2026-08-03 10:52:02)
Codé automatiquement par dérivation de l'univers/catégorie + panier — AUTO · à valider</t>
      </text>
    </comment>
    <comment authorId="0" ref="Q83">
      <text>
        <t xml:space="preserve">======
ID#AAACEw7hNuE
    (2026-08-03 10:52:01)
Codé automatiquement par dérivation de l'univers/catégorie + panier — AUTO · à valider</t>
      </text>
    </comment>
    <comment authorId="0" ref="O17">
      <text>
        <t xml:space="preserve">======
ID#AAACEw7hMM8
    (2026-08-03 10:52:00)
Codé automatiquement par dérivation de l'univers/catégorie + panier — AUTO · à valider</t>
      </text>
    </comment>
    <comment authorId="0" ref="T149">
      <text>
        <t xml:space="preserve">======
ID#AAACEw7hMsk
Salima Benchekroun    (2026-08-03 10:52:01)
Source: villa-alassala.com · Confiance: high</t>
      </text>
    </comment>
    <comment authorId="0" ref="P17">
      <text>
        <t xml:space="preserve">======
ID#AAACEw7hMk4
    (2026-08-03 10:52:00)
Codé automatiquement par dérivation de l'univers/catégorie + panier — AUTO · à valider</t>
      </text>
    </comment>
    <comment authorId="0" ref="R83">
      <text>
        <t xml:space="preserve">======
ID#AAACEw7hL54
    (2026-08-03 10:52:00)
Codé automatiquement par dérivation de l'univers/catégorie + panier — AUTO · à valider</t>
      </text>
    </comment>
    <comment authorId="0" ref="Q17">
      <text>
        <t xml:space="preserve">======
ID#AAACEw7hMu8
    (2026-08-03 10:52:01)
Codé automatiquement par dérivation de l'univers/catégorie + panier — AUTO · à valider</t>
      </text>
    </comment>
    <comment authorId="0" ref="R17">
      <text>
        <t xml:space="preserve">======
ID#AAACEw7hM7E
    (2026-08-03 10:52:01)
Codé automatiquement par dérivation de l'univers/catégorie + panier — AUTO · à valider</t>
      </text>
    </comment>
    <comment authorId="0" ref="I150">
      <text>
        <t xml:space="preserve">======
ID#AAACEw7hOEQ
tc={ED81D9C4-D43A-42B2-8CD2-8134FA2463F3}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camelridemarrakech.com / pers</t>
      </text>
    </comment>
    <comment authorId="0" ref="I84">
      <text>
        <t xml:space="preserve">======
ID#AAACEw7hNIE
Salima Benchekroun    (2026-08-03 10:52:01)
Estimation — médiane CRM du type « Cours de cuisine » = 55 € (fichier Réconciliation prix ↔ CRM). ⚠ Prestataire indiqué = Club Equestre Palmeraie (incohérence à vérifier). À valider.</t>
      </text>
    </comment>
    <comment authorId="0" ref="K150">
      <text>
        <t xml:space="preserve">======
ID#AAACEw7hL_g
Salima Benchekroun    (2026-08-03 10:52:00)
Tags repris d'une fiche comparable (même activité) — à valider</t>
      </text>
    </comment>
    <comment authorId="0" ref="J84">
      <text>
        <t xml:space="preserve">======
ID#AAACEw7hOlI
    (2026-08-03 10:52:02)
Codé automatiquement par dérivation de l'univers/catégorie + panier — AUTO · à valider</t>
      </text>
    </comment>
    <comment authorId="0" ref="K84">
      <text>
        <t xml:space="preserve">======
ID#AAACEw7hN_M
    (2026-08-03 10:52:02)
Codé automatiquement par dérivation de l'univers/catégorie + panier — AUTO · à valider</t>
      </text>
    </comment>
    <comment authorId="0" ref="L84">
      <text>
        <t xml:space="preserve">======
ID#AAACEw7hM4Y
    (2026-08-03 10:52:01)
Codé automatiquement par dérivation de l'univers/catégorie + panier — AUTO · à valider</t>
      </text>
    </comment>
    <comment authorId="0" ref="J18">
      <text>
        <t xml:space="preserve">======
ID#AAACEw7hL98
    (2026-08-03 10:52:00)
Codé automatiquement par dérivation de l'univers/catégorie + panier — AUTO · à valider</t>
      </text>
    </comment>
    <comment authorId="0" ref="M84">
      <text>
        <t xml:space="preserve">======
ID#AAACEw7hOK4
    (2026-08-03 10:52:02)
Codé automatiquement par dérivation de l'univers/catégorie + panier — AUTO · à valider</t>
      </text>
    </comment>
    <comment authorId="0" ref="K18">
      <text>
        <t xml:space="preserve">======
ID#AAACEw7hOIQ
    (2026-08-03 10:52:02)
Codé automatiquement par dérivation de l'univers/catégorie + panier — AUTO · à valider</t>
      </text>
    </comment>
    <comment authorId="0" ref="L18">
      <text>
        <t xml:space="preserve">======
ID#AAACEw7hOS4
    (2026-08-03 10:52:02)
Codé automatiquement par dérivation de l'univers/catégorie + panier — AUTO · à valider</t>
      </text>
    </comment>
    <comment authorId="0" ref="N84">
      <text>
        <t xml:space="preserve">======
ID#AAACEw7hL9k
    (2026-08-03 10:52:00)
Codé automatiquement par dérivation de l'univers/catégorie + panier — AUTO · à valider</t>
      </text>
    </comment>
    <comment authorId="0" ref="O84">
      <text>
        <t xml:space="preserve">======
ID#AAACEw7hM8I
    (2026-08-03 10:52:01)
Codé automatiquement par dérivation de l'univers/catégorie + panier — AUTO · à valider</t>
      </text>
    </comment>
    <comment authorId="0" ref="M18">
      <text>
        <t xml:space="preserve">======
ID#AAACEw7hMeE
    (2026-08-03 10:52:00)
Codé automatiquement par dérivation de l'univers/catégorie + panier — AUTO · à valider</t>
      </text>
    </comment>
    <comment authorId="0" ref="N18">
      <text>
        <t xml:space="preserve">======
ID#AAACEw7hMVY
    (2026-08-03 10:52:00)
Codé automatiquement par dérivation de l'univers/catégorie + panier — AUTO · à valider</t>
      </text>
    </comment>
    <comment authorId="0" ref="P84">
      <text>
        <t xml:space="preserve">======
ID#AAACEw7hMTw
    (2026-08-03 10:52:00)
Codé automatiquement par dérivation de l'univers/catégorie + panier — AUTO · à valider</t>
      </text>
    </comment>
    <comment authorId="0" ref="O18">
      <text>
        <t xml:space="preserve">======
ID#AAACEw7hL5A
    (2026-08-03 10:52:00)
Codé automatiquement par dérivation de l'univers/catégorie + panier — AUTO · à valider</t>
      </text>
    </comment>
    <comment authorId="0" ref="Q84">
      <text>
        <t xml:space="preserve">======
ID#AAACEw7hL1o
    (2026-08-03 10:52:00)
Codé automatiquement par dérivation de l'univers/catégorie + panier — AUTO · à valider</t>
      </text>
    </comment>
    <comment authorId="0" ref="R84">
      <text>
        <t xml:space="preserve">======
ID#AAACEw7hNY4
    (2026-08-03 10:52:01)
Codé automatiquement par dérivation de l'univers/catégorie + panier — AUTO · à valider</t>
      </text>
    </comment>
    <comment authorId="0" ref="P18">
      <text>
        <t xml:space="preserve">======
ID#AAACEw7hM44
    (2026-08-03 10:52:01)
Codé automatiquement par dérivation de l'univers/catégorie + panier — AUTO · à valider</t>
      </text>
    </comment>
    <comment authorId="0" ref="Q18">
      <text>
        <t xml:space="preserve">======
ID#AAACEw7hNyM
    (2026-08-03 10:52:01)
Codé automatiquement par dérivation de l'univers/catégorie + panier — AUTO · à valider</t>
      </text>
    </comment>
    <comment authorId="0" ref="R18">
      <text>
        <t xml:space="preserve">======
ID#AAACEw7hNx8
    (2026-08-03 10:52:01)
Codé automatiquement par dérivation de l'univers/catégorie + panier — AUTO · à valider</t>
      </text>
    </comment>
    <comment authorId="0" ref="I151">
      <text>
        <t xml:space="preserve">======
ID#AAACEw7hNoA
Salima Benchekroun    (2026-08-03 10:52:01)
Converti de 300 MAD (1€=10,7 MAD). Tarif indicatif dès.</t>
      </text>
    </comment>
    <comment authorId="0" ref="K151">
      <text>
        <t xml:space="preserve">======
ID#AAACEw7hOJs
Salima Benchekroun    (2026-08-03 10:52:02)
Tags repris d'une fiche comparable (même activité) — à valider</t>
      </text>
    </comment>
    <comment authorId="0" ref="I85">
      <text>
        <t xml:space="preserve">======
ID#AAACEw7hOBM
Salima Benchekroun    (2026-08-03 10:52:02)
Estimation — médiane CRM du type « Ateliers d'artisans » = 42 € (fichier Réconciliation prix ↔ CRM). ⚠ Prestataire = Club Equestre Palmeraie (incohérence). À valider.</t>
      </text>
    </comment>
    <comment authorId="0" ref="J85">
      <text>
        <t xml:space="preserve">======
ID#AAACEw7hN1Y
    (2026-08-03 10:52:01)
Codé automatiquement par dérivation de l'univers/catégorie + panier — AUTO · à valider</t>
      </text>
    </comment>
    <comment authorId="0" ref="K85">
      <text>
        <t xml:space="preserve">======
ID#AAACEw7hMH4
    (2026-08-03 10:52:00)
Codé automatiquement par dérivation de l'univers/catégorie + panier — AUTO · à valider</t>
      </text>
    </comment>
    <comment authorId="0" ref="J19">
      <text>
        <t xml:space="preserve">======
ID#AAACEw7hNM4
    (2026-08-03 10:52:01)
Codé automatiquement par dérivation de l'univers/catégorie + panier — AUTO · à valider</t>
      </text>
    </comment>
    <comment authorId="0" ref="L85">
      <text>
        <t xml:space="preserve">======
ID#AAACEw7hMPU
    (2026-08-03 10:52:00)
Codé automatiquement par dérivation de l'univers/catégorie + panier — AUTO · à valider</t>
      </text>
    </comment>
    <comment authorId="0" ref="M85">
      <text>
        <t xml:space="preserve">======
ID#AAACEw7hOfg
    (2026-08-03 10:52:02)
Codé automatiquement par dérivation de l'univers/catégorie + panier — AUTO · à valider</t>
      </text>
    </comment>
    <comment authorId="0" ref="K19">
      <text>
        <t xml:space="preserve">======
ID#AAACEw7hL_Y
    (2026-08-03 10:52:00)
Codé automatiquement par dérivation de l'univers/catégorie + panier — AUTO · à valider</t>
      </text>
    </comment>
    <comment authorId="0" ref="L19">
      <text>
        <t xml:space="preserve">======
ID#AAACEw7hOEU
    (2026-08-03 10:52:02)
Codé automatiquement par dérivation de l'univers/catégorie + panier — AUTO · à valider</t>
      </text>
    </comment>
    <comment authorId="0" ref="N85">
      <text>
        <t xml:space="preserve">======
ID#AAACEw7hL2A
    (2026-08-03 10:52:00)
Codé automatiquement par dérivation de l'univers/catégorie + panier — AUTO · à valider</t>
      </text>
    </comment>
    <comment authorId="0" ref="M19">
      <text>
        <t xml:space="preserve">======
ID#AAACEw7hN8M
    (2026-08-03 10:52:02)
Codé automatiquement par dérivation de l'univers/catégorie + panier — AUTO · à valider</t>
      </text>
    </comment>
    <comment authorId="0" ref="O85">
      <text>
        <t xml:space="preserve">======
ID#AAACEw7hN8Q
    (2026-08-03 10:52:02)
Codé automatiquement par dérivation de l'univers/catégorie + panier — AUTO · à valider</t>
      </text>
    </comment>
    <comment authorId="0" ref="N19">
      <text>
        <t xml:space="preserve">======
ID#AAACEw7hOIA
    (2026-08-03 10:52:02)
Codé automatiquement par dérivation de l'univers/catégorie + panier — AUTO · à valider</t>
      </text>
    </comment>
    <comment authorId="0" ref="P85">
      <text>
        <t xml:space="preserve">======
ID#AAACEw7hNBI
    (2026-08-03 10:52:01)
Codé automatiquement par dérivation de l'univers/catégorie + panier — AUTO · à valider</t>
      </text>
    </comment>
    <comment authorId="0" ref="Q85">
      <text>
        <t xml:space="preserve">======
ID#AAACEw7hNSg
    (2026-08-03 10:52:01)
Codé automatiquement par dérivation de l'univers/catégorie + panier — AUTO · à valider</t>
      </text>
    </comment>
    <comment authorId="0" ref="O19">
      <text>
        <t xml:space="preserve">======
ID#AAACEw7hLvQ
    (2026-08-03 10:52:00)
Codé automatiquement par dérivation de l'univers/catégorie + panier — AUTO · à valider</t>
      </text>
    </comment>
    <comment authorId="0" ref="R85">
      <text>
        <t xml:space="preserve">======
ID#AAACEw7hNIo
    (2026-08-03 10:52:01)
Codé automatiquement par dérivation de l'univers/catégorie + panier — AUTO · à valider</t>
      </text>
    </comment>
    <comment authorId="0" ref="P19">
      <text>
        <t xml:space="preserve">======
ID#AAACEw7hMD4
    (2026-08-03 10:52:00)
Codé automatiquement par dérivation de l'univers/catégorie + panier — AUTO · à valider</t>
      </text>
    </comment>
    <comment authorId="0" ref="Q19">
      <text>
        <t xml:space="preserve">======
ID#AAACEw7hMNg
    (2026-08-03 10:52:00)
Codé automatiquement par dérivation de l'univers/catégorie + panier — AUTO · à valider</t>
      </text>
    </comment>
    <comment authorId="0" ref="R19">
      <text>
        <t xml:space="preserve">======
ID#AAACEw7hOMU
    (2026-08-03 10:52:02)
Codé automatiquement par dérivation de l'univers/catégorie + panier — AUTO · à valider</t>
      </text>
    </comment>
    <comment authorId="0" ref="I152">
      <text>
        <t xml:space="preserve">======
ID#AAACEw7hNl8
tc={2F4FF859-06E7-4EFB-AFD9-49ECF7CF28E5}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I86">
      <text>
        <t xml:space="preserve">======
ID#AAACEw7hOMg
Salima Benchekroun    (2026-08-03 10:52:02)
Prix repris de « Golf Assoufid » (Assoufid Golf Club, ligne 28).</t>
      </text>
    </comment>
    <comment authorId="0" ref="K152">
      <text>
        <t xml:space="preserve">======
ID#AAACEw7hODE
Salima Benchekroun    (2026-08-03 10:52:02)
Tags repris d'une fiche comparable (même activité) — à valider</t>
      </text>
    </comment>
    <comment authorId="0" ref="J86">
      <text>
        <t xml:space="preserve">======
ID#AAACEw7hMNM
    (2026-08-03 10:52:00)
Codé automatiquement par dérivation de l'univers/catégorie + panier — AUTO · à valider</t>
      </text>
    </comment>
    <comment authorId="0" ref="K86">
      <text>
        <t xml:space="preserve">======
ID#AAACEw7hNDM
    (2026-08-03 10:52:01)
Codé automatiquement par dérivation de l'univers/catégorie + panier — AUTO · à valider</t>
      </text>
    </comment>
    <comment authorId="0" ref="J20">
      <text>
        <t xml:space="preserve">======
ID#AAACEw7hNqE
    (2026-08-03 10:52:01)
Codé automatiquement par dérivation de l'univers/catégorie + panier — AUTO · à valider</t>
      </text>
    </comment>
    <comment authorId="0" ref="L86">
      <text>
        <t xml:space="preserve">======
ID#AAACEw7hOI8
    (2026-08-03 10:52:02)
Codé automatiquement par dérivation de l'univers/catégorie + panier — AUTO · à valider</t>
      </text>
    </comment>
    <comment authorId="0" ref="M86">
      <text>
        <t xml:space="preserve">======
ID#AAACEw7hNFU
    (2026-08-03 10:52:01)
Codé automatiquement par dérivation de l'univers/catégorie + panier — AUTO · à valider</t>
      </text>
    </comment>
    <comment authorId="0" ref="K20">
      <text>
        <t xml:space="preserve">======
ID#AAACEw7hNxE
    (2026-08-03 10:52:01)
Codé automatiquement par dérivation de l'univers/catégorie + panier — AUTO · à valider</t>
      </text>
    </comment>
    <comment authorId="0" ref="L20">
      <text>
        <t xml:space="preserve">======
ID#AAACEw7hN6g
    (2026-08-03 10:52:02)
Codé automatiquement par dérivation de l'univers/catégorie + panier — AUTO · à valider</t>
      </text>
    </comment>
    <comment authorId="0" ref="N86">
      <text>
        <t xml:space="preserve">======
ID#AAACEw7hL8U
    (2026-08-03 10:52:00)
Codé automatiquement par dérivation de l'univers/catégorie + panier — AUTO · à valider</t>
      </text>
    </comment>
    <comment authorId="0" ref="O86">
      <text>
        <t xml:space="preserve">======
ID#AAACEw7hOlo
    (2026-08-03 10:52:02)
Codé automatiquement par dérivation de l'univers/catégorie + panier — AUTO · à valider</t>
      </text>
    </comment>
    <comment authorId="0" ref="M20">
      <text>
        <t xml:space="preserve">======
ID#AAACEw7hMbo
    (2026-08-03 10:52:00)
Codé automatiquement par dérivation de l'univers/catégorie + panier — AUTO · à valider</t>
      </text>
    </comment>
    <comment authorId="0" ref="N20">
      <text>
        <t xml:space="preserve">======
ID#AAACEw7hOIc
    (2026-08-03 10:52:02)
Codé automatiquement par dérivation de l'univers/catégorie + panier — AUTO · à valider</t>
      </text>
    </comment>
    <comment authorId="0" ref="P86">
      <text>
        <t xml:space="preserve">======
ID#AAACEw7hNuw
    (2026-08-03 10:52:01)
Codé automatiquement par dérivation de l'univers/catégorie + panier — AUTO · à valider</t>
      </text>
    </comment>
    <comment authorId="0" ref="O20">
      <text>
        <t xml:space="preserve">======
ID#AAACEw7hNtQ
    (2026-08-03 10:52:01)
Codé automatiquement par dérivation de l'univers/catégorie + panier — AUTO · à valider</t>
      </text>
    </comment>
    <comment authorId="0" ref="Q86">
      <text>
        <t xml:space="preserve">======
ID#AAACEw7hMa4
    (2026-08-03 10:52:00)
Codé automatiquement par dérivation de l'univers/catégorie + panier — AUTO · à valider</t>
      </text>
    </comment>
    <comment authorId="0" ref="R86">
      <text>
        <t xml:space="preserve">======
ID#AAACEw7hOg4
    (2026-08-03 10:52:02)
Codé automatiquement par dérivation de l'univers/catégorie + panier — AUTO · à valider</t>
      </text>
    </comment>
    <comment authorId="0" ref="T152">
      <text>
        <t xml:space="preserve">======
ID#AAACEw7hNho
Salima Benchekroun    (2026-08-03 10:52:01)
Source: inaracollection.com · Confiance: high</t>
      </text>
    </comment>
    <comment authorId="0" ref="P20">
      <text>
        <t xml:space="preserve">======
ID#AAACEw7hLuM
    (2026-08-03 10:52:00)
Codé automatiquement par dérivation de l'univers/catégorie + panier — AUTO · à valider</t>
      </text>
    </comment>
    <comment authorId="0" ref="Q20">
      <text>
        <t xml:space="preserve">======
ID#AAACEw7hOUs
    (2026-08-03 10:52:02)
Codé automatiquement par dérivation de l'univers/catégorie + panier — AUTO · à valider</t>
      </text>
    </comment>
    <comment authorId="0" ref="R20">
      <text>
        <t xml:space="preserve">======
ID#AAACEw7hNew
    (2026-08-03 10:52:01)
Codé automatiquement par dérivation de l'univers/catégorie + panier — AUTO · à valider</t>
      </text>
    </comment>
    <comment authorId="0" ref="I153">
      <text>
        <t xml:space="preserve">======
ID#AAACEw7hM2o
tc={569F21A9-5781-4C9D-8DA2-21B79387735E}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I87">
      <text>
        <t xml:space="preserve">======
ID#AAACEw7hM24
Salima Benchekroun    (2026-08-03 10:52:01)
Estimation — médiane CRM du type « Golf » = 100 € (fichier Réconciliation prix ↔ CRM). Cohérent avec Golf Assoufid/Signature (100 €). À valider.</t>
      </text>
    </comment>
    <comment authorId="0" ref="K153">
      <text>
        <t xml:space="preserve">======
ID#AAACEw7hMjM
Salima Benchekroun    (2026-08-03 10:52:00)
Tags repris d'une fiche comparable (même activité) — à valider</t>
      </text>
    </comment>
    <comment authorId="0" ref="J87">
      <text>
        <t xml:space="preserve">======
ID#AAACEw7hMbU
    (2026-08-03 10:52:00)
Codé automatiquement par dérivation de l'univers/catégorie + panier — AUTO · à valider</t>
      </text>
    </comment>
    <comment authorId="0" ref="K87">
      <text>
        <t xml:space="preserve">======
ID#AAACEw7hMlU
    (2026-08-03 10:52:00)
Codé automatiquement par dérivation de l'univers/catégorie + panier — AUTO · à valider</t>
      </text>
    </comment>
    <comment authorId="0" ref="J21">
      <text>
        <t xml:space="preserve">======
ID#AAACEw7hNpw
    (2026-08-03 10:52:01)
Codé automatiquement par dérivation de l'univers/catégorie + panier — AUTO · à valider</t>
      </text>
    </comment>
    <comment authorId="0" ref="L87">
      <text>
        <t xml:space="preserve">======
ID#AAACEw7hMsw
    (2026-08-03 10:52:01)
Codé automatiquement par dérivation de l'univers/catégorie + panier — AUTO · à valider</t>
      </text>
    </comment>
    <comment authorId="0" ref="M87">
      <text>
        <t xml:space="preserve">======
ID#AAACEw7hOWA
    (2026-08-03 10:52:02)
Codé automatiquement par dérivation de l'univers/catégorie + panier — AUTO · à valider</t>
      </text>
    </comment>
    <comment authorId="0" ref="K21">
      <text>
        <t xml:space="preserve">======
ID#AAACEw7hL60
    (2026-08-03 10:52:00)
Codé automatiquement par dérivation de l'univers/catégorie + panier — AUTO · à valider</t>
      </text>
    </comment>
    <comment authorId="0" ref="N87">
      <text>
        <t xml:space="preserve">======
ID#AAACEw7hODk
    (2026-08-03 10:52:02)
Codé automatiquement par dérivation de l'univers/catégorie + panier — AUTO · à valider</t>
      </text>
    </comment>
    <comment authorId="0" ref="L21">
      <text>
        <t xml:space="preserve">======
ID#AAACEw7hOeE
    (2026-08-03 10:52:02)
Codé automatiquement par dérivation de l'univers/catégorie + panier — AUTO · à valider</t>
      </text>
    </comment>
    <comment authorId="0" ref="M21">
      <text>
        <t xml:space="preserve">======
ID#AAACEw7hOo0
    (2026-08-03 10:52:02)
Codé automatiquement par dérivation de l'univers/catégorie + panier — AUTO · à valider</t>
      </text>
    </comment>
    <comment authorId="0" ref="O87">
      <text>
        <t xml:space="preserve">======
ID#AAACEw7hMhw
    (2026-08-03 10:52:00)
Codé automatiquement par dérivation de l'univers/catégorie + panier — AUTO · à valider</t>
      </text>
    </comment>
    <comment authorId="0" ref="P87">
      <text>
        <t xml:space="preserve">======
ID#AAACEw7hOjU
    (2026-08-03 10:52:02)
Codé automatiquement par dérivation de l'univers/catégorie + panier — AUTO · à valider</t>
      </text>
    </comment>
    <comment authorId="0" ref="N21">
      <text>
        <t xml:space="preserve">======
ID#AAACEw7hOfU
    (2026-08-03 10:52:02)
Codé automatiquement par dérivation de l'univers/catégorie + panier — AUTO · à valider</t>
      </text>
    </comment>
    <comment authorId="0" ref="O21">
      <text>
        <t xml:space="preserve">======
ID#AAACEw7hNgA
    (2026-08-03 10:52:01)
Codé automatiquement par dérivation de l'univers/catégorie + panier — AUTO · à valider</t>
      </text>
    </comment>
    <comment authorId="0" ref="Q87">
      <text>
        <t xml:space="preserve">======
ID#AAACEw7hMCQ
    (2026-08-03 10:52:00)
Codé automatiquement par dérivation de l'univers/catégorie + panier — AUTO · à valider</t>
      </text>
    </comment>
    <comment authorId="0" ref="R87">
      <text>
        <t xml:space="preserve">======
ID#AAACEw7hN-o
    (2026-08-03 10:52:02)
Codé automatiquement par dérivation de l'univers/catégorie + panier — AUTO · à valider</t>
      </text>
    </comment>
    <comment authorId="0" ref="P21">
      <text>
        <t xml:space="preserve">======
ID#AAACEw7hM1o
    (2026-08-03 10:52:01)
Codé automatiquement par dérivation de l'univers/catégorie + panier — AUTO · à valider</t>
      </text>
    </comment>
    <comment authorId="0" ref="T153">
      <text>
        <t xml:space="preserve">======
ID#AAACEw7hL5w
Salima Benchekroun    (2026-08-03 10:52:00)
Source: agafaydesertluxurycamp.com · Confiance: medium</t>
      </text>
    </comment>
    <comment authorId="0" ref="Q21">
      <text>
        <t xml:space="preserve">======
ID#AAACEw7hOmo
    (2026-08-03 10:52:02)
Codé automatiquement par dérivation de l'univers/catégorie + panier — AUTO · à valider</t>
      </text>
    </comment>
    <comment authorId="0" ref="R21">
      <text>
        <t xml:space="preserve">======
ID#AAACEw7hOL0
    (2026-08-03 10:52:02)
Codé automatiquement par dérivation de l'univers/catégorie + panier — AUTO · à valider</t>
      </text>
    </comment>
    <comment authorId="0" ref="I154">
      <text>
        <t xml:space="preserve">======
ID#AAACEw7hM5g
tc={43E2BA4F-8C3F-49C2-B906-3E919196F67F}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K154">
      <text>
        <t xml:space="preserve">======
ID#AAACEw7hM1w
Salima Benchekroun    (2026-08-03 10:52:01)
Tags repris d'une fiche comparable (même activité) — à valider</t>
      </text>
    </comment>
    <comment authorId="0" ref="I88">
      <text>
        <t xml:space="preserve">======
ID#AAACEw7hLy0
tc={0E4CBCDE-35E8-4D79-8A10-542F051E83EA}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J88">
      <text>
        <t xml:space="preserve">======
ID#AAACEw7hNYI
    (2026-08-03 10:52:01)
Codé automatiquement par dérivation de l'univers/catégorie + panier — AUTO · à valider</t>
      </text>
    </comment>
    <comment authorId="0" ref="K88">
      <text>
        <t xml:space="preserve">======
ID#AAACEw7hMMY
    (2026-08-03 10:52:00)
Codé automatiquement par dérivation de l'univers/catégorie + panier — AUTO · à valider</t>
      </text>
    </comment>
    <comment authorId="0" ref="L88">
      <text>
        <t xml:space="preserve">======
ID#AAACEw7hMdA
    (2026-08-03 10:52:00)
Codé automatiquement par dérivation de l'univers/catégorie + panier — AUTO · à valider</t>
      </text>
    </comment>
    <comment authorId="0" ref="J22">
      <text>
        <t xml:space="preserve">======
ID#AAACEw7hLwE
    (2026-08-03 10:52:00)
Codé automatiquement par dérivation de l'univers/catégorie + panier — AUTO · à valider</t>
      </text>
    </comment>
    <comment authorId="0" ref="K22">
      <text>
        <t xml:space="preserve">======
ID#AAACEw7hM2Y
    (2026-08-03 10:52:01)
Codé automatiquement par dérivation de l'univers/catégorie + panier — AUTO · à valider</t>
      </text>
    </comment>
    <comment authorId="0" ref="M88">
      <text>
        <t xml:space="preserve">======
ID#AAACEw7hMYg
    (2026-08-03 10:52:00)
Codé automatiquement par dérivation de l'univers/catégorie + panier — AUTO · à valider</t>
      </text>
    </comment>
    <comment authorId="0" ref="L22">
      <text>
        <t xml:space="preserve">======
ID#AAACEw7hNdk
    (2026-08-03 10:52:01)
Codé automatiquement par dérivation de l'univers/catégorie + panier — AUTO · à valider</t>
      </text>
    </comment>
    <comment authorId="0" ref="N88">
      <text>
        <t xml:space="preserve">======
ID#AAACEw7hNFY
    (2026-08-03 10:52:01)
Codé automatiquement par dérivation de l'univers/catégorie + panier — AUTO · à valider</t>
      </text>
    </comment>
    <comment authorId="0" ref="O88">
      <text>
        <t xml:space="preserve">======
ID#AAACEw7hNoY
    (2026-08-03 10:52:01)
Codé automatiquement par dérivation de l'univers/catégorie + panier — AUTO · à valider</t>
      </text>
    </comment>
    <comment authorId="0" ref="M22">
      <text>
        <t xml:space="preserve">======
ID#AAACEw7hLzs
    (2026-08-03 10:52:00)
Codé automatiquement par dérivation de l'univers/catégorie + panier — AUTO · à valider</t>
      </text>
    </comment>
    <comment authorId="0" ref="P88">
      <text>
        <t xml:space="preserve">======
ID#AAACEw7hNWI
    (2026-08-03 10:52:01)
Codé automatiquement par dérivation de l'univers/catégorie + panier — AUTO · à valider</t>
      </text>
    </comment>
    <comment authorId="0" ref="N22">
      <text>
        <t xml:space="preserve">======
ID#AAACEw7hLzM
    (2026-08-03 10:52:00)
Codé automatiquement par dérivation de l'univers/catégorie + panier — AUTO · à valider</t>
      </text>
    </comment>
    <comment authorId="0" ref="O22">
      <text>
        <t xml:space="preserve">======
ID#AAACEw7hNmk
    (2026-08-03 10:52:01)
Codé automatiquement par dérivation de l'univers/catégorie + panier — AUTO · à valider</t>
      </text>
    </comment>
    <comment authorId="0" ref="Q88">
      <text>
        <t xml:space="preserve">======
ID#AAACEw7hMcI
    (2026-08-03 10:52:00)
Codé automatiquement par dérivation de l'univers/catégorie + panier — AUTO · à valider</t>
      </text>
    </comment>
    <comment authorId="0" ref="P22">
      <text>
        <t xml:space="preserve">======
ID#AAACEw7hNQA
    (2026-08-03 10:52:01)
Codé automatiquement par dérivation de l'univers/catégorie + panier — AUTO · à valider</t>
      </text>
    </comment>
    <comment authorId="0" ref="R88">
      <text>
        <t xml:space="preserve">======
ID#AAACEw7hMpw
    (2026-08-03 10:52:00)
Codé automatiquement par dérivation de l'univers/catégorie + panier — AUTO · à valider</t>
      </text>
    </comment>
    <comment authorId="0" ref="Q22">
      <text>
        <t xml:space="preserve">======
ID#AAACEw7hNKU
    (2026-08-03 10:52:01)
Codé automatiquement par dérivation de l'univers/catégorie + panier — AUTO · à valider</t>
      </text>
    </comment>
    <comment authorId="0" ref="R22">
      <text>
        <t xml:space="preserve">======
ID#AAACEw7hOAM
    (2026-08-03 10:52:02)
Codé automatiquement par dérivation de l'univers/catégorie + panier — AUTO · à valider</t>
      </text>
    </comment>
    <comment authorId="0" ref="I155">
      <text>
        <t xml:space="preserve">======
ID#AAACEw7hNV4
tc={5627A973-5B43-490D-A812-561EE54A88A0}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K155">
      <text>
        <t xml:space="preserve">======
ID#AAACEw7hN2w
Salima Benchekroun    (2026-08-03 10:52:02)
Tags repris d'une fiche comparable (même activité) — à valider</t>
      </text>
    </comment>
    <comment authorId="0" ref="I89">
      <text>
        <t xml:space="preserve">======
ID#AAACEw7hN2E
Salima Benchekroun    (2026-08-03 10:52:02)
Prix repris (tarif prestataire Amal Center, ligne 53).</t>
      </text>
    </comment>
    <comment authorId="0" ref="J89">
      <text>
        <t xml:space="preserve">======
ID#AAACEw7hNP8
    (2026-08-03 10:52:01)
Codé automatiquement par dérivation de l'univers/catégorie + panier — AUTO · à valider</t>
      </text>
    </comment>
    <comment authorId="0" ref="K89">
      <text>
        <t xml:space="preserve">======
ID#AAACEw7hL8E
    (2026-08-03 10:52:00)
Codé automatiquement par dérivation de l'univers/catégorie + panier — AUTO · à valider</t>
      </text>
    </comment>
    <comment authorId="0" ref="L89">
      <text>
        <t xml:space="preserve">======
ID#AAACEw7hNHk
    (2026-08-03 10:52:01)
Codé automatiquement par dérivation de l'univers/catégorie + panier — AUTO · à valider</t>
      </text>
    </comment>
    <comment authorId="0" ref="J23">
      <text>
        <t xml:space="preserve">======
ID#AAACEw7hM20
    (2026-08-03 10:52:01)
Codé automatiquement par dérivation de l'univers/catégorie + panier — AUTO · à valider</t>
      </text>
    </comment>
    <comment authorId="0" ref="K23">
      <text>
        <t xml:space="preserve">======
ID#AAACEw7hNkM
    (2026-08-03 10:52:01)
Codé automatiquement par dérivation de l'univers/catégorie + panier — AUTO · à valider</t>
      </text>
    </comment>
    <comment authorId="0" ref="M89">
      <text>
        <t xml:space="preserve">======
ID#AAACEw7hLyY
    (2026-08-03 10:52:00)
Codé automatiquement par dérivation de l'univers/catégorie + panier — AUTO · à valider</t>
      </text>
    </comment>
    <comment authorId="0" ref="L23">
      <text>
        <t xml:space="preserve">======
ID#AAACEw7hN9U
    (2026-08-03 10:52:02)
Codé automatiquement par dérivation de l'univers/catégorie + panier — AUTO · à valider</t>
      </text>
    </comment>
    <comment authorId="0" ref="N89">
      <text>
        <t xml:space="preserve">======
ID#AAACEw7hMqM
    (2026-08-03 10:52:00)
Codé automatiquement par dérivation de l'univers/catégorie + panier — AUTO · à valider</t>
      </text>
    </comment>
    <comment authorId="0" ref="O89">
      <text>
        <t xml:space="preserve">======
ID#AAACEw7hNCg
    (2026-08-03 10:52:01)
Codé automatiquement par dérivation de l'univers/catégorie + panier — AUTO · à valider</t>
      </text>
    </comment>
    <comment authorId="0" ref="M23">
      <text>
        <t xml:space="preserve">======
ID#AAACEw7hOXU
    (2026-08-03 10:52:02)
Codé automatiquement par dérivation de l'univers/catégorie + panier — AUTO · à valider</t>
      </text>
    </comment>
    <comment authorId="0" ref="P89">
      <text>
        <t xml:space="preserve">======
ID#AAACEw7hNWo
    (2026-08-03 10:52:01)
Codé automatiquement par dérivation de l'univers/catégorie + panier — AUTO · à valider</t>
      </text>
    </comment>
    <comment authorId="0" ref="N23">
      <text>
        <t xml:space="preserve">======
ID#AAACEw7hMTo
    (2026-08-03 10:52:00)
Codé automatiquement par dérivation de l'univers/catégorie + panier — AUTO · à valider</t>
      </text>
    </comment>
    <comment authorId="0" ref="O23">
      <text>
        <t xml:space="preserve">======
ID#AAACEw7hOf8
    (2026-08-03 10:52:02)
Codé automatiquement par dérivation de l'univers/catégorie + panier — AUTO · à valider</t>
      </text>
    </comment>
    <comment authorId="0" ref="Q89">
      <text>
        <t xml:space="preserve">======
ID#AAACEw7hNgk
    (2026-08-03 10:52:01)
Codé automatiquement par dérivation de l'univers/catégorie + panier — AUTO · à valider</t>
      </text>
    </comment>
    <comment authorId="0" ref="R89">
      <text>
        <t xml:space="preserve">======
ID#AAACEw7hNgc
    (2026-08-03 10:52:01)
Codé automatiquement par dérivation de l'univers/catégorie + panier — AUTO · à valider</t>
      </text>
    </comment>
    <comment authorId="0" ref="P23">
      <text>
        <t xml:space="preserve">======
ID#AAACEw7hL5c
    (2026-08-03 10:52:00)
Codé automatiquement par dérivation de l'univers/catégorie + panier — AUTO · à valider</t>
      </text>
    </comment>
    <comment authorId="0" ref="Q23">
      <text>
        <t xml:space="preserve">======
ID#AAACEw7hMGA
    (2026-08-03 10:52:00)
Codé automatiquement par dérivation de l'univers/catégorie + panier — AUTO · à valider</t>
      </text>
    </comment>
    <comment authorId="0" ref="R23">
      <text>
        <t xml:space="preserve">======
ID#AAACEw7hLxo
    (2026-08-03 10:52:00)
Codé automatiquement par dérivation de l'univers/catégorie + panier — AUTO · à valider</t>
      </text>
    </comment>
    <comment authorId="0" ref="I156">
      <text>
        <t xml:space="preserve">======
ID#AAACEw7hOms
tc={4D6BE964-3E8E-4173-939D-B9E4692B70AB}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I90">
      <text>
        <t xml:space="preserve">======
ID#AAACEw7hOJk
tc={E382B35C-D828-403D-9CD9-893C6209187B}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estim. catégorie CRM / pers</t>
      </text>
    </comment>
    <comment authorId="0" ref="K156">
      <text>
        <t xml:space="preserve">======
ID#AAACEw7hN-M
Salima Benchekroun    (2026-08-03 10:52:02)
Tags repris d'une fiche comparable (même activité) — à valider</t>
      </text>
    </comment>
    <comment authorId="0" ref="J90">
      <text>
        <t xml:space="preserve">======
ID#AAACEw7hMQE
    (2026-08-03 10:52:00)
Codé automatiquement par dérivation de l'univers/catégorie + panier — AUTO · à valider</t>
      </text>
    </comment>
    <comment authorId="0" ref="K90">
      <text>
        <t xml:space="preserve">======
ID#AAACEw7hN7c
    (2026-08-03 10:52:02)
Codé automatiquement par dérivation de l'univers/catégorie + panier — AUTO · à valider</t>
      </text>
    </comment>
    <comment authorId="0" ref="I24">
      <text>
        <t xml:space="preserve">======
ID#AAACEw7hMbQ
Salima Benchekroun    (2026-08-03 10:52:00)
Prix atypique · exclu du calcul de médiane. Hammam — Standing ultra-luxe (autre tier) (méd. 70 €, HAUT)</t>
      </text>
    </comment>
    <comment authorId="0" ref="J24">
      <text>
        <t xml:space="preserve">======
ID#AAACEw7hN58
    (2026-08-03 10:52:02)
Codé automatiquement par dérivation de l'univers/catégorie + panier — AUTO · à valider</t>
      </text>
    </comment>
    <comment authorId="0" ref="L90">
      <text>
        <t xml:space="preserve">======
ID#AAACEw7hL2c
    (2026-08-03 10:52:00)
Codé automatiquement par dérivation de l'univers/catégorie + panier — AUTO · à valider</t>
      </text>
    </comment>
    <comment authorId="0" ref="K24">
      <text>
        <t xml:space="preserve">======
ID#AAACEw7hNLc
    (2026-08-03 10:52:01)
Codé automatiquement par dérivation de l'univers/catégorie + panier — AUTO · à valider</t>
      </text>
    </comment>
    <comment authorId="0" ref="M90">
      <text>
        <t xml:space="preserve">======
ID#AAACEw7hML4
    (2026-08-03 10:52:00)
Codé automatiquement par dérivation de l'univers/catégorie + panier — AUTO · à valider</t>
      </text>
    </comment>
    <comment authorId="0" ref="L24">
      <text>
        <t xml:space="preserve">======
ID#AAACEw7hOkk
    (2026-08-03 10:52:02)
Codé automatiquement par dérivation de l'univers/catégorie + panier — AUTO · à valider</t>
      </text>
    </comment>
    <comment authorId="0" ref="N90">
      <text>
        <t xml:space="preserve">======
ID#AAACEw7hOc4
    (2026-08-03 10:52:02)
Codé automatiquement par dérivation de l'univers/catégorie + panier — AUTO · à valider</t>
      </text>
    </comment>
    <comment authorId="0" ref="M24">
      <text>
        <t xml:space="preserve">======
ID#AAACEw7hMCI
    (2026-08-03 10:52:00)
Codé automatiquement par dérivation de l'univers/catégorie + panier — AUTO · à valider</t>
      </text>
    </comment>
    <comment authorId="0" ref="O90">
      <text>
        <t xml:space="preserve">======
ID#AAACEw7hLvY
    (2026-08-03 10:52:00)
Codé automatiquement par dérivation de l'univers/catégorie + panier — AUTO · à valider</t>
      </text>
    </comment>
    <comment authorId="0" ref="N24">
      <text>
        <t xml:space="preserve">======
ID#AAACEw7hNKs
    (2026-08-03 10:52:01)
Codé automatiquement par dérivation de l'univers/catégorie + panier — AUTO · à valider</t>
      </text>
    </comment>
    <comment authorId="0" ref="P90">
      <text>
        <t xml:space="preserve">======
ID#AAACEw7hMmc
    (2026-08-03 10:52:00)
Codé automatiquement par dérivation de l'univers/catégorie + panier — AUTO · à valider</t>
      </text>
    </comment>
    <comment authorId="0" ref="O24">
      <text>
        <t xml:space="preserve">======
ID#AAACEw7hNbo
    (2026-08-03 10:52:01)
Codé automatiquement par dérivation de l'univers/catégorie + panier — AUTO · à valider</t>
      </text>
    </comment>
    <comment authorId="0" ref="Q90">
      <text>
        <t xml:space="preserve">======
ID#AAACEw7hL-8
    (2026-08-03 10:52:00)
Codé automatiquement par dérivation de l'univers/catégorie + panier — AUTO · à valider</t>
      </text>
    </comment>
    <comment authorId="0" ref="R90">
      <text>
        <t xml:space="preserve">======
ID#AAACEw7hN7g
    (2026-08-03 10:52:02)
Codé automatiquement par dérivation de l'univers/catégorie + panier — AUTO · à valider</t>
      </text>
    </comment>
    <comment authorId="0" ref="P24">
      <text>
        <t xml:space="preserve">======
ID#AAACEw7hMZs
    (2026-08-03 10:52:00)
Codé automatiquement par dérivation de l'univers/catégorie + panier — AUTO · à valider</t>
      </text>
    </comment>
    <comment authorId="0" ref="Q24">
      <text>
        <t xml:space="preserve">======
ID#AAACEw7hONA
    (2026-08-03 10:52:02)
Codé automatiquement par dérivation de l'univers/catégorie + panier — AUTO · à valider</t>
      </text>
    </comment>
    <comment authorId="0" ref="R24">
      <text>
        <t xml:space="preserve">======
ID#AAACEw7hOVY
    (2026-08-03 10:52:02)
Codé automatiquement par dérivation de l'univers/catégorie + panier — AUTO · à valider</t>
      </text>
    </comment>
    <comment authorId="0" ref="T24">
      <text>
        <t xml:space="preserve">======
ID#AAACEw7hNIg
    (2026-08-03 10:52:01)
Téléphone via Google Places / établissement (juin 2026)</t>
      </text>
    </comment>
    <comment authorId="0" ref="I157">
      <text>
        <t xml:space="preserve">======
ID#AAACEw7hNxo
tc={AF57FBC8-17C4-434C-8CDB-1BAF602BF8BD}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 | Prix atypique · exclu du calcul de médiane. Ateliers artisans — Standing ultra-luxe (autre tier) (méd. 50 €, HAUT)</t>
      </text>
    </comment>
    <comment authorId="0" ref="K157">
      <text>
        <t xml:space="preserve">======
ID#AAACEw7hNSs
Salima Benchekroun    (2026-08-03 10:52:01)
Tags repris d'une fiche comparable (même activité) — à valider</t>
      </text>
    </comment>
    <comment authorId="0" ref="I91">
      <text>
        <t xml:space="preserve">======
ID#AAACEw7hL9Y
Salima Benchekroun    (2026-08-03 10:52:00)
Hors CRM — à sourcer. Aucun prix exploitable au CRM (fichier Réconciliation prix ↔ CRM, ligne « Parc aquatique »). Tarif à obtenir auprès du prestataire.</t>
      </text>
    </comment>
    <comment authorId="0" ref="J91">
      <text>
        <t xml:space="preserve">======
ID#AAACEw7hMPs
    (2026-08-03 10:52:00)
Codé automatiquement par dérivation de l'univers/catégorie + panier — AUTO · à valider</t>
      </text>
    </comment>
    <comment authorId="0" ref="I25">
      <text>
        <t xml:space="preserve">======
ID#AAACEw7hMKg
Salima Benchekroun    (2026-08-03 10:52:00)
Prix atypique · exclu du calcul de médiane. Hammam &amp; Massage/Spa — Standing ultra-luxe (autre tier) (méd. 70/90 €, HAUT)</t>
      </text>
    </comment>
    <comment authorId="0" ref="K91">
      <text>
        <t xml:space="preserve">======
ID#AAACEw7hL0A
    (2026-08-03 10:52:00)
Codé automatiquement par dérivation de l'univers/catégorie + panier — AUTO · à valider</t>
      </text>
    </comment>
    <comment authorId="0" ref="L91">
      <text>
        <t xml:space="preserve">======
ID#AAACEw7hOP8
    (2026-08-03 10:52:02)
Codé automatiquement par dérivation de l'univers/catégorie + panier — AUTO · à valider</t>
      </text>
    </comment>
    <comment authorId="0" ref="J25">
      <text>
        <t xml:space="preserve">======
ID#AAACEw7hLt8
    (2026-08-03 10:52:00)
Codé automatiquement par dérivation de l'univers/catégorie + panier — AUTO · à valider</t>
      </text>
    </comment>
    <comment authorId="0" ref="K25">
      <text>
        <t xml:space="preserve">======
ID#AAACEw7hNmM
    (2026-08-03 10:52:01)
Codé automatiquement par dérivation de l'univers/catégorie + panier — AUTO · à valider</t>
      </text>
    </comment>
    <comment authorId="0" ref="M91">
      <text>
        <t xml:space="preserve">======
ID#AAACEw7hMN8
    (2026-08-03 10:52:00)
Codé automatiquement par dérivation de l'univers/catégorie + panier — AUTO · à valider</t>
      </text>
    </comment>
    <comment authorId="0" ref="N91">
      <text>
        <t xml:space="preserve">======
ID#AAACEw7hNzc
    (2026-08-03 10:52:01)
Codé automatiquement par dérivation de l'univers/catégorie + panier — AUTO · à valider</t>
      </text>
    </comment>
    <comment authorId="0" ref="L25">
      <text>
        <t xml:space="preserve">======
ID#AAACEw7hNh4
    (2026-08-03 10:52:01)
Codé automatiquement par dérivation de l'univers/catégorie + panier — AUTO · à valider</t>
      </text>
    </comment>
    <comment authorId="0" ref="O91">
      <text>
        <t xml:space="preserve">======
ID#AAACEw7hOQE
    (2026-08-03 10:52:02)
Codé automatiquement par dérivation de l'univers/catégorie + panier — AUTO · à valider</t>
      </text>
    </comment>
    <comment authorId="0" ref="M25">
      <text>
        <t xml:space="preserve">======
ID#AAACEw7hL5E
    (2026-08-03 10:52:00)
Codé automatiquement par dérivation de l'univers/catégorie + panier — AUTO · à valider</t>
      </text>
    </comment>
    <comment authorId="0" ref="P91">
      <text>
        <t xml:space="preserve">======
ID#AAACEw7hMv4
    (2026-08-03 10:52:01)
Codé automatiquement par dérivation de l'univers/catégorie + panier — AUTO · à valider</t>
      </text>
    </comment>
    <comment authorId="0" ref="N25">
      <text>
        <t xml:space="preserve">======
ID#AAACEw7hMA0
    (2026-08-03 10:52:00)
Codé automatiquement par dérivation de l'univers/catégorie + panier — AUTO · à valider</t>
      </text>
    </comment>
    <comment authorId="0" ref="O25">
      <text>
        <t xml:space="preserve">======
ID#AAACEw7hOc0
    (2026-08-03 10:52:02)
Codé automatiquement par dérivation de l'univers/catégorie + panier — AUTO · à valider</t>
      </text>
    </comment>
    <comment authorId="0" ref="Q91">
      <text>
        <t xml:space="preserve">======
ID#AAACEw7hNoM
    (2026-08-03 10:52:01)
Codé automatiquement par dérivation de l'univers/catégorie + panier — AUTO · à valider</t>
      </text>
    </comment>
    <comment authorId="0" ref="P25">
      <text>
        <t xml:space="preserve">======
ID#AAACEw7hNIM
    (2026-08-03 10:52:01)
Codé automatiquement par dérivation de l'univers/catégorie + panier — AUTO · à valider</t>
      </text>
    </comment>
    <comment authorId="0" ref="R91">
      <text>
        <t xml:space="preserve">======
ID#AAACEw7hMfc
    (2026-08-03 10:52:00)
Codé automatiquement par dérivation de l'univers/catégorie + panier — AUTO · à valider</t>
      </text>
    </comment>
    <comment authorId="0" ref="Q25">
      <text>
        <t xml:space="preserve">======
ID#AAACEw7hL78
    (2026-08-03 10:52:00)
Codé automatiquement par dérivation de l'univers/catégorie + panier — AUTO · à valider</t>
      </text>
    </comment>
    <comment authorId="0" ref="R25">
      <text>
        <t xml:space="preserve">======
ID#AAACEw7hN2c
    (2026-08-03 10:52:02)
Codé automatiquement par dérivation de l'univers/catégorie + panier — AUTO · à valider</t>
      </text>
    </comment>
    <comment authorId="0" ref="T25">
      <text>
        <t xml:space="preserve">======
ID#AAACEw7hNrY
    (2026-08-03 10:52:01)
Téléphone via Google Places / établissement (juin 2026)</t>
      </text>
    </comment>
    <comment authorId="0" ref="I158">
      <text>
        <t xml:space="preserve">======
ID#AAACEw7hN1M
tc={EA34CF44-1EDB-4C18-AD73-22D91354AE38}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I92">
      <text>
        <t xml:space="preserve">======
ID#AAACEw7hOPM
Salima Benchekroun    (2026-08-03 10:52:02)
Prix repris (tarif prestataire Les Bains de Marrakech, ligne 16).</t>
      </text>
    </comment>
    <comment authorId="0" ref="K158">
      <text>
        <t xml:space="preserve">======
ID#AAACEw7hM8s
Salima Benchekroun    (2026-08-03 10:52:01)
Tags repris d'une fiche comparable (même activité) — à valider</t>
      </text>
    </comment>
    <comment authorId="0" ref="J92">
      <text>
        <t xml:space="preserve">======
ID#AAACEw7hL94
    (2026-08-03 10:52:00)
Codé automatiquement par dérivation de l'univers/catégorie + panier — AUTO · à valider</t>
      </text>
    </comment>
    <comment authorId="0" ref="K92">
      <text>
        <t xml:space="preserve">======
ID#AAACEw7hLyU
    (2026-08-03 10:52:00)
Codé automatiquement par dérivation de l'univers/catégorie + panier — AUTO · à valider</t>
      </text>
    </comment>
    <comment authorId="0" ref="L92">
      <text>
        <t xml:space="preserve">======
ID#AAACEw7hOp4
    (2026-08-03 10:52:02)
Codé automatiquement par dérivation de l'univers/catégorie + panier — AUTO · à valider</t>
      </text>
    </comment>
    <comment authorId="0" ref="J26">
      <text>
        <t xml:space="preserve">======
ID#AAACEw7hMQI
    (2026-08-03 10:52:00)
Codé automatiquement par dérivation de l'univers/catégorie + panier — AUTO · à valider</t>
      </text>
    </comment>
    <comment authorId="0" ref="M92">
      <text>
        <t xml:space="preserve">======
ID#AAACEw7hNMc
    (2026-08-03 10:52:01)
Codé automatiquement par dérivation de l'univers/catégorie + panier — AUTO · à valider</t>
      </text>
    </comment>
    <comment authorId="0" ref="K26">
      <text>
        <t xml:space="preserve">======
ID#AAACEw7hMus
    (2026-08-03 10:52:01)
Codé automatiquement par dérivation de l'univers/catégorie + panier — AUTO · à valider</t>
      </text>
    </comment>
    <comment authorId="0" ref="L26">
      <text>
        <t xml:space="preserve">======
ID#AAACEw7hMnc
    (2026-08-03 10:52:00)
Codé automatiquement par dérivation de l'univers/catégorie + panier — AUTO · à valider</t>
      </text>
    </comment>
    <comment authorId="0" ref="N92">
      <text>
        <t xml:space="preserve">======
ID#AAACEw7hMWQ
    (2026-08-03 10:52:00)
Codé automatiquement par dérivation de l'univers/catégorie + panier — AUTO · à valider</t>
      </text>
    </comment>
    <comment authorId="0" ref="O92">
      <text>
        <t xml:space="preserve">======
ID#AAACEw7hMSs
    (2026-08-03 10:52:00)
Codé automatiquement par dérivation de l'univers/catégorie + panier — AUTO · à valider</t>
      </text>
    </comment>
    <comment authorId="0" ref="M26">
      <text>
        <t xml:space="preserve">======
ID#AAACEw7hL6c
    (2026-08-03 10:52:00)
Codé automatiquement par dérivation de l'univers/catégorie + panier — AUTO · à valider</t>
      </text>
    </comment>
    <comment authorId="0" ref="P92">
      <text>
        <t xml:space="preserve">======
ID#AAACEw7hN6Y
    (2026-08-03 10:52:02)
Codé automatiquement par dérivation de l'univers/catégorie + panier — AUTO · à valider</t>
      </text>
    </comment>
    <comment authorId="0" ref="N26">
      <text>
        <t xml:space="preserve">======
ID#AAACEw7hOGU
    (2026-08-03 10:52:02)
Codé automatiquement par dérivation de l'univers/catégorie + panier — AUTO · à valider</t>
      </text>
    </comment>
    <comment authorId="0" ref="O26">
      <text>
        <t xml:space="preserve">======
ID#AAACEw7hNsE
    (2026-08-03 10:52:01)
Codé automatiquement par dérivation de l'univers/catégorie + panier — AUTO · à valider</t>
      </text>
    </comment>
    <comment authorId="0" ref="Q92">
      <text>
        <t xml:space="preserve">======
ID#AAACEw7hNA8
    (2026-08-03 10:52:01)
Codé automatiquement par dérivation de l'univers/catégorie + panier — AUTO · à valider</t>
      </text>
    </comment>
    <comment authorId="0" ref="P26">
      <text>
        <t xml:space="preserve">======
ID#AAACEw7hM6A
    (2026-08-03 10:52:01)
Codé automatiquement par dérivation de l'univers/catégorie + panier — AUTO · à valider</t>
      </text>
    </comment>
    <comment authorId="0" ref="R92">
      <text>
        <t xml:space="preserve">======
ID#AAACEw7hMaU
    (2026-08-03 10:52:00)
Codé automatiquement par dérivation de l'univers/catégorie + panier — AUTO · à valider</t>
      </text>
    </comment>
    <comment authorId="0" ref="T158">
      <text>
        <t xml:space="preserve">======
ID#AAACEw7hMF0
Salima Benchekroun    (2026-08-03 10:52:00)
Source: amalnonprofit.org · Confiance: high</t>
      </text>
    </comment>
    <comment authorId="0" ref="Q26">
      <text>
        <t xml:space="preserve">======
ID#AAACEw7hNGg
    (2026-08-03 10:52:01)
Codé automatiquement par dérivation de l'univers/catégorie + panier — AUTO · à valider</t>
      </text>
    </comment>
    <comment authorId="0" ref="R26">
      <text>
        <t xml:space="preserve">======
ID#AAACEw7hNAU
    (2026-08-03 10:52:01)
Codé automatiquement par dérivation de l'univers/catégorie + panier — AUTO · à valider</t>
      </text>
    </comment>
    <comment authorId="0" ref="I159">
      <text>
        <t xml:space="preserve">======
ID#AAACEw7hMdc
tc={1AFB45DD-761B-4F15-BA45-5B894C568635}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viator.com / pers</t>
      </text>
    </comment>
    <comment authorId="0" ref="I93">
      <text>
        <t xml:space="preserve">======
ID#AAACEw7hOjA
Salima Benchekroun    (2026-08-03 10:52:02)
Prix repris (tarif prestataire Agafay Luxury Camp, ligne 64).</t>
      </text>
    </comment>
    <comment authorId="0" ref="K159">
      <text>
        <t xml:space="preserve">======
ID#AAACEw7hOG0
Salima Benchekroun    (2026-08-03 10:52:02)
Tags repris d'une fiche comparable (même activité) — à valider</t>
      </text>
    </comment>
    <comment authorId="0" ref="J93">
      <text>
        <t xml:space="preserve">======
ID#AAACEw7hNGU
    (2026-08-03 10:52:01)
Codé automatiquement par dérivation de l'univers/catégorie + panier — AUTO · à valider</t>
      </text>
    </comment>
    <comment authorId="0" ref="K93">
      <text>
        <t xml:space="preserve">======
ID#AAACEw7hMW0
    (2026-08-03 10:52:00)
Codé automatiquement par dérivation de l'univers/catégorie + panier — AUTO · à valider</t>
      </text>
    </comment>
    <comment authorId="0" ref="L93">
      <text>
        <t xml:space="preserve">======
ID#AAACEw7hM6M
    (2026-08-03 10:52:01)
Codé automatiquement par dérivation de l'univers/catégorie + panier — AUTO · à valider</t>
      </text>
    </comment>
    <comment authorId="0" ref="J27">
      <text>
        <t xml:space="preserve">======
ID#AAACEw7hMtU
    (2026-08-03 10:52:01)
Codé automatiquement par dérivation de l'univers/catégorie + panier — AUTO · à valider</t>
      </text>
    </comment>
    <comment authorId="0" ref="M93">
      <text>
        <t xml:space="preserve">======
ID#AAACEw7hNb0
    (2026-08-03 10:52:01)
Codé automatiquement par dérivation de l'univers/catégorie + panier — AUTO · à valider</t>
      </text>
    </comment>
    <comment authorId="0" ref="K27">
      <text>
        <t xml:space="preserve">======
ID#AAACEw7hL28
    (2026-08-03 10:52:00)
Codé automatiquement par dérivation de l'univers/catégorie + panier — AUTO · à valider</t>
      </text>
    </comment>
    <comment authorId="0" ref="N93">
      <text>
        <t xml:space="preserve">======
ID#AAACEw7hOHY
    (2026-08-03 10:52:02)
Codé automatiquement par dérivation de l'univers/catégorie + panier — AUTO · à valider</t>
      </text>
    </comment>
    <comment authorId="0" ref="L27">
      <text>
        <t xml:space="preserve">======
ID#AAACEw7hNFk
    (2026-08-03 10:52:01)
Codé automatiquement par dérivation de l'univers/catégorie + panier — AUTO · à valider</t>
      </text>
    </comment>
    <comment authorId="0" ref="O93">
      <text>
        <t xml:space="preserve">======
ID#AAACEw7hOjk
    (2026-08-03 10:52:02)
Codé automatiquement par dérivation de l'univers/catégorie + panier — AUTO · à valider</t>
      </text>
    </comment>
    <comment authorId="0" ref="M27">
      <text>
        <t xml:space="preserve">======
ID#AAACEw7hLxw
    (2026-08-03 10:52:00)
Codé automatiquement par dérivation de l'univers/catégorie + panier — AUTO · à valider</t>
      </text>
    </comment>
    <comment authorId="0" ref="P93">
      <text>
        <t xml:space="preserve">======
ID#AAACEw7hOUk
    (2026-08-03 10:52:02)
Codé automatiquement par dérivation de l'univers/catégorie + panier — AUTO · à valider</t>
      </text>
    </comment>
    <comment authorId="0" ref="N27">
      <text>
        <t xml:space="preserve">======
ID#AAACEw7hNIw
    (2026-08-03 10:52:01)
Codé automatiquement par dérivation de l'univers/catégorie + panier — AUTO · à valider</t>
      </text>
    </comment>
    <comment authorId="0" ref="Q93">
      <text>
        <t xml:space="preserve">======
ID#AAACEw7hNPM
    (2026-08-03 10:52:01)
Codé automatiquement par dérivation de l'univers/catégorie + panier — AUTO · à valider</t>
      </text>
    </comment>
    <comment authorId="0" ref="O27">
      <text>
        <t xml:space="preserve">======
ID#AAACEw7hMys
    (2026-08-03 10:52:01)
Codé automatiquement par dérivation de l'univers/catégorie + panier — AUTO · à valider</t>
      </text>
    </comment>
    <comment authorId="0" ref="R93">
      <text>
        <t xml:space="preserve">======
ID#AAACEw7hNzQ
    (2026-08-03 10:52:01)
Codé automatiquement par dérivation de l'univers/catégorie + panier — AUTO · à valider</t>
      </text>
    </comment>
    <comment authorId="0" ref="P27">
      <text>
        <t xml:space="preserve">======
ID#AAACEw7hNGs
    (2026-08-03 10:52:01)
Codé automatiquement par dérivation de l'univers/catégorie + panier — AUTO · à valider</t>
      </text>
    </comment>
    <comment authorId="0" ref="Q27">
      <text>
        <t xml:space="preserve">======
ID#AAACEw7hL6k
    (2026-08-03 10:52:00)
Codé automatiquement par dérivation de l'univers/catégorie + panier — AUTO · à valider</t>
      </text>
    </comment>
    <comment authorId="0" ref="R27">
      <text>
        <t xml:space="preserve">======
ID#AAACEw7hOig
    (2026-08-03 10:52:02)
Codé automatiquement par dérivation de l'univers/catégorie + panier — AUTO · à valider</t>
      </text>
    </comment>
    <comment authorId="0" ref="T27">
      <text>
        <t xml:space="preserve">======
ID#AAACEw7hOe0
    (2026-08-03 10:52:02)
Téléphone via Google Places / établissement (juin 2026)</t>
      </text>
    </comment>
    <comment authorId="0" ref="I160">
      <text>
        <t xml:space="preserve">======
ID#AAACEw7hOkA
tc={BF24523A-5520-4DA6-B281-311A8443748A}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introducingmarrakech.com / calèche·h</t>
      </text>
    </comment>
    <comment authorId="0" ref="K160">
      <text>
        <t xml:space="preserve">======
ID#AAACEw7hN2Q
Salima Benchekroun    (2026-08-03 10:52:02)
Tags repris d'une fiche comparable (même activité) — à valider</t>
      </text>
    </comment>
    <comment authorId="0" ref="I94">
      <text>
        <t xml:space="preserve">======
ID#AAACEw7hLu0
tc={BAFB881D-D2C9-4CE2-95A8-1A6C3A9D12E3}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estim. sur place / pers · sur place</t>
      </text>
    </comment>
    <comment authorId="0" ref="J94">
      <text>
        <t xml:space="preserve">======
ID#AAACEw7hMwA
    (2026-08-03 10:52:01)
Codé automatiquement par dérivation de l'univers/catégorie + panier — AUTO · à valider</t>
      </text>
    </comment>
    <comment authorId="0" ref="K94">
      <text>
        <t xml:space="preserve">======
ID#AAACEw7hNsI
    (2026-08-03 10:52:01)
Codé automatiquement par dérivation de l'univers/catégorie + panier — AUTO · à valider</t>
      </text>
    </comment>
    <comment authorId="0" ref="J28">
      <text>
        <t xml:space="preserve">======
ID#AAACEw7hNd4
    (2026-08-03 10:52:01)
Codé automatiquement par dérivation de l'univers/catégorie + panier — AUTO · à valider</t>
      </text>
    </comment>
    <comment authorId="0" ref="L94">
      <text>
        <t xml:space="preserve">======
ID#AAACEw7hMpU
    (2026-08-03 10:52:00)
Codé automatiquement par dérivation de l'univers/catégorie + panier — AUTO · à valider</t>
      </text>
    </comment>
    <comment authorId="0" ref="M94">
      <text>
        <t xml:space="preserve">======
ID#AAACEw7hMp0
    (2026-08-03 10:52:00)
Codé automatiquement par dérivation de l'univers/catégorie + panier — AUTO · à valider</t>
      </text>
    </comment>
    <comment authorId="0" ref="K28">
      <text>
        <t xml:space="preserve">======
ID#AAACEw7hLz8
    (2026-08-03 10:52:00)
Codé automatiquement par dérivation de l'univers/catégorie + panier — AUTO · à valider</t>
      </text>
    </comment>
    <comment authorId="0" ref="L28">
      <text>
        <t xml:space="preserve">======
ID#AAACEw7hOj4
    (2026-08-03 10:52:02)
Codé automatiquement par dérivation de l'univers/catégorie + panier — AUTO · à valider</t>
      </text>
    </comment>
    <comment authorId="0" ref="N94">
      <text>
        <t xml:space="preserve">======
ID#AAACEw7hL30
    (2026-08-03 10:52:00)
Codé automatiquement par dérivation de l'univers/catégorie + panier — AUTO · à valider</t>
      </text>
    </comment>
    <comment authorId="0" ref="M28">
      <text>
        <t xml:space="preserve">======
ID#AAACEw7hNdQ
    (2026-08-03 10:52:01)
Codé automatiquement par dérivation de l'univers/catégorie + panier — AUTO · à valider</t>
      </text>
    </comment>
    <comment authorId="0" ref="O94">
      <text>
        <t xml:space="preserve">======
ID#AAACEw7hMVQ
    (2026-08-03 10:52:00)
Codé automatiquement par dérivation de l'univers/catégorie + panier — AUTO · à valider</t>
      </text>
    </comment>
    <comment authorId="0" ref="N28">
      <text>
        <t xml:space="preserve">======
ID#AAACEw7hN04
    (2026-08-03 10:52:01)
Codé automatiquement par dérivation de l'univers/catégorie + panier — AUTO · à valider</t>
      </text>
    </comment>
    <comment authorId="0" ref="P94">
      <text>
        <t xml:space="preserve">======
ID#AAACEw7hMFg
    (2026-08-03 10:52:00)
Codé automatiquement par dérivation de l'univers/catégorie + panier — AUTO · à valider</t>
      </text>
    </comment>
    <comment authorId="0" ref="O28">
      <text>
        <t xml:space="preserve">======
ID#AAACEw7hOWc
    (2026-08-03 10:52:02)
Codé automatiquement par dérivation de l'univers/catégorie + panier — AUTO · à valider</t>
      </text>
    </comment>
    <comment authorId="0" ref="Q94">
      <text>
        <t xml:space="preserve">======
ID#AAACEw7hMLI
    (2026-08-03 10:52:00)
Codé automatiquement par dérivation de l'univers/catégorie + panier — AUTO · à valider</t>
      </text>
    </comment>
    <comment authorId="0" ref="T160">
      <text>
        <t xml:space="preserve">======
ID#AAACEw7hOmA
Salima Benchekroun    (2026-08-03 10:52:02)
Source: lrnce.com · Confiance: high</t>
      </text>
    </comment>
    <comment authorId="0" ref="P28">
      <text>
        <t xml:space="preserve">======
ID#AAACEw7hMs4
    (2026-08-03 10:52:01)
Codé automatiquement par dérivation de l'univers/catégorie + panier — AUTO · à valider</t>
      </text>
    </comment>
    <comment authorId="0" ref="R94">
      <text>
        <t xml:space="preserve">======
ID#AAACEw7hMsA
    (2026-08-03 10:52:01)
Codé automatiquement par dérivation de l'univers/catégorie + panier — AUTO · à valider</t>
      </text>
    </comment>
    <comment authorId="0" ref="Q28">
      <text>
        <t xml:space="preserve">======
ID#AAACEw7hMj4
    (2026-08-03 10:52:00)
Codé automatiquement par dérivation de l'univers/catégorie + panier — AUTO · à valider</t>
      </text>
    </comment>
    <comment authorId="0" ref="R28">
      <text>
        <t xml:space="preserve">======
ID#AAACEw7hNDk
    (2026-08-03 10:52:01)
Codé automatiquement par dérivation de l'univers/catégorie + panier — AUTO · à valider</t>
      </text>
    </comment>
    <comment authorId="0" ref="I161">
      <text>
        <t xml:space="preserve">======
ID#AAACEw7hNJI
tc={07258B35-001E-4B28-9D97-CF27D321F462}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introducingmarrakech.com / calèche·h</t>
      </text>
    </comment>
    <comment authorId="0" ref="I95">
      <text>
        <t xml:space="preserve">======
ID#AAACEw7hOls
tc={F647A73E-817D-4FD1-91C2-DF078E7159DC}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estim. sur place / pers · sur place</t>
      </text>
    </comment>
    <comment authorId="0" ref="K161">
      <text>
        <t xml:space="preserve">======
ID#AAACEw7hNgo
Salima Benchekroun    (2026-08-03 10:52:01)
Tags repris d'une fiche comparable (même activité) — à valider</t>
      </text>
    </comment>
    <comment authorId="0" ref="J95">
      <text>
        <t xml:space="preserve">======
ID#AAACEw7hMIU
    (2026-08-03 10:52:00)
Codé automatiquement par dérivation de l'univers/catégorie + panier — AUTO · à valider</t>
      </text>
    </comment>
    <comment authorId="0" ref="K95">
      <text>
        <t xml:space="preserve">======
ID#AAACEw7hM1k
    (2026-08-03 10:52:01)
Codé automatiquement par dérivation de l'univers/catégorie + panier — AUTO · à valider</t>
      </text>
    </comment>
    <comment authorId="0" ref="J29">
      <text>
        <t xml:space="preserve">======
ID#AAACEw7hNX4
    (2026-08-03 10:52:01)
Codé automatiquement par dérivation de l'univers/catégorie + panier — AUTO · à valider</t>
      </text>
    </comment>
    <comment authorId="0" ref="L95">
      <text>
        <t xml:space="preserve">======
ID#AAACEw7hMvQ
    (2026-08-03 10:52:01)
Codé automatiquement par dérivation de l'univers/catégorie + panier — AUTO · à valider</t>
      </text>
    </comment>
    <comment authorId="0" ref="K29">
      <text>
        <t xml:space="preserve">======
ID#AAACEw7hNvk
    (2026-08-03 10:52:01)
Codé automatiquement par dérivation de l'univers/catégorie + panier — AUTO · à valider</t>
      </text>
    </comment>
    <comment authorId="0" ref="M95">
      <text>
        <t xml:space="preserve">======
ID#AAACEw7hNcc
    (2026-08-03 10:52:01)
Codé automatiquement par dérivation de l'univers/catégorie + panier — AUTO · à valider</t>
      </text>
    </comment>
    <comment authorId="0" ref="L29">
      <text>
        <t xml:space="preserve">======
ID#AAACEw7hMWY
    (2026-08-03 10:52:00)
Codé automatiquement par dérivation de l'univers/catégorie + panier — AUTO · à valider</t>
      </text>
    </comment>
    <comment authorId="0" ref="N95">
      <text>
        <t xml:space="preserve">======
ID#AAACEw7hMM4
    (2026-08-03 10:52:00)
Codé automatiquement par dérivation de l'univers/catégorie + panier — AUTO · à valider</t>
      </text>
    </comment>
    <comment authorId="0" ref="O95">
      <text>
        <t xml:space="preserve">======
ID#AAACEw7hNcU
    (2026-08-03 10:52:01)
Codé automatiquement par dérivation de l'univers/catégorie + panier — AUTO · à valider</t>
      </text>
    </comment>
    <comment authorId="0" ref="M29">
      <text>
        <t xml:space="preserve">======
ID#AAACEw7hMn8
    (2026-08-03 10:52:00)
Codé automatiquement par dérivation de l'univers/catégorie + panier — AUTO · à valider</t>
      </text>
    </comment>
    <comment authorId="0" ref="N29">
      <text>
        <t xml:space="preserve">======
ID#AAACEw7hOU4
    (2026-08-03 10:52:02)
Codé automatiquement par dérivation de l'univers/catégorie + panier — AUTO · à valider</t>
      </text>
    </comment>
    <comment authorId="0" ref="P95">
      <text>
        <t xml:space="preserve">======
ID#AAACEw7hOhM
    (2026-08-03 10:52:02)
Codé automatiquement par dérivation de l'univers/catégorie + panier — AUTO · à valider</t>
      </text>
    </comment>
    <comment authorId="0" ref="Q95">
      <text>
        <t xml:space="preserve">======
ID#AAACEw7hNfs
    (2026-08-03 10:52:01)
Codé automatiquement par dérivation de l'univers/catégorie + panier — AUTO · à valider</t>
      </text>
    </comment>
    <comment authorId="0" ref="O29">
      <text>
        <t xml:space="preserve">======
ID#AAACEw7hNu4
    (2026-08-03 10:52:01)
Codé automatiquement par dérivation de l'univers/catégorie + panier — AUTO · à valider</t>
      </text>
    </comment>
    <comment authorId="0" ref="P29">
      <text>
        <t xml:space="preserve">======
ID#AAACEw7hNH4
    (2026-08-03 10:52:01)
Codé automatiquement par dérivation de l'univers/catégorie + panier — AUTO · à valider</t>
      </text>
    </comment>
    <comment authorId="0" ref="R95">
      <text>
        <t xml:space="preserve">======
ID#AAACEw7hMGE
    (2026-08-03 10:52:00)
Codé automatiquement par dérivation de l'univers/catégorie + panier — AUTO · à valider</t>
      </text>
    </comment>
    <comment authorId="0" ref="Q29">
      <text>
        <t xml:space="preserve">======
ID#AAACEw7hOao
    (2026-08-03 10:52:02)
Codé automatiquement par dérivation de l'univers/catégorie + panier — AUTO · à valider</t>
      </text>
    </comment>
    <comment authorId="0" ref="R29">
      <text>
        <t xml:space="preserve">======
ID#AAACEw7hMrQ
    (2026-08-03 10:52:00)
Codé automatiquement par dérivation de l'univers/catégorie + panier — AUTO · à valider</t>
      </text>
    </comment>
    <comment authorId="0" ref="I162">
      <text>
        <t xml:space="preserve">======
ID#AAACEw7hNag
tc={385D20D8-DD72-4B99-A189-569DDE5F7888}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introducingmarrakech.com / calèche·h</t>
      </text>
    </comment>
    <comment authorId="0" ref="I96">
      <text>
        <t xml:space="preserve">======
ID#AAACEw7hM_Q
tc={ACDD4C3B-DBE1-411B-AEBD-103740C7CD76}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estim. sur place / pers · sur place</t>
      </text>
    </comment>
    <comment authorId="0" ref="K162">
      <text>
        <t xml:space="preserve">======
ID#AAACEw7hL-Q
Salima Benchekroun    (2026-08-03 10:52:00)
Tags repris d'une fiche comparable (même activité) — à valider</t>
      </text>
    </comment>
    <comment authorId="0" ref="J96">
      <text>
        <t xml:space="preserve">======
ID#AAACEw7hMwE
    (2026-08-03 10:52:01)
Codé automatiquement par dérivation de l'univers/catégorie + panier — AUTO · à valider</t>
      </text>
    </comment>
    <comment authorId="0" ref="K96">
      <text>
        <t xml:space="preserve">======
ID#AAACEw7hMlc
    (2026-08-03 10:52:00)
Codé automatiquement par dérivation de l'univers/catégorie + panier — AUTO · à valider</t>
      </text>
    </comment>
    <comment authorId="0" ref="L96">
      <text>
        <t xml:space="preserve">======
ID#AAACEw7hOA0
    (2026-08-03 10:52:02)
Codé automatiquement par dérivation de l'univers/catégorie + panier — AUTO · à valider</t>
      </text>
    </comment>
    <comment authorId="0" ref="J30">
      <text>
        <t xml:space="preserve">======
ID#AAACEw7hMA4
    (2026-08-03 10:52:00)
Codé automatiquement par dérivation de l'univers/catégorie + panier — AUTO · à valider</t>
      </text>
    </comment>
    <comment authorId="0" ref="K30">
      <text>
        <t xml:space="preserve">======
ID#AAACEw7hMSw
    (2026-08-03 10:52:00)
Codé automatiquement par dérivation de l'univers/catégorie + panier — AUTO · à valider</t>
      </text>
    </comment>
    <comment authorId="0" ref="M96">
      <text>
        <t xml:space="preserve">======
ID#AAACEw7hL6I
    (2026-08-03 10:52:00)
Codé automatiquement par dérivation de l'univers/catégorie + panier — AUTO · à valider</t>
      </text>
    </comment>
    <comment authorId="0" ref="L30">
      <text>
        <t xml:space="preserve">======
ID#AAACEw7hOCU
    (2026-08-03 10:52:02)
Codé automatiquement par dérivation de l'univers/catégorie + panier — AUTO · à valider</t>
      </text>
    </comment>
    <comment authorId="0" ref="N96">
      <text>
        <t xml:space="preserve">======
ID#AAACEw7hL_Q
    (2026-08-03 10:52:00)
Codé automatiquement par dérivation de l'univers/catégorie + panier — AUTO · à valider</t>
      </text>
    </comment>
    <comment authorId="0" ref="M30">
      <text>
        <t xml:space="preserve">======
ID#AAACEw7hNJE
    (2026-08-03 10:52:01)
Codé automatiquement par dérivation de l'univers/catégorie + panier — AUTO · à valider</t>
      </text>
    </comment>
    <comment authorId="0" ref="O96">
      <text>
        <t xml:space="preserve">======
ID#AAACEw7hNG8
    (2026-08-03 10:52:01)
Codé automatiquement par dérivation de l'univers/catégorie + panier — AUTO · à valider</t>
      </text>
    </comment>
    <comment authorId="0" ref="N30">
      <text>
        <t xml:space="preserve">======
ID#AAACEw7hNqs
    (2026-08-03 10:52:01)
Codé automatiquement par dérivation de l'univers/catégorie + panier — AUTO · à valider</t>
      </text>
    </comment>
    <comment authorId="0" ref="P96">
      <text>
        <t xml:space="preserve">======
ID#AAACEw7hMoA
    (2026-08-03 10:52:00)
Codé automatiquement par dérivation de l'univers/catégorie + panier — AUTO · à valider</t>
      </text>
    </comment>
    <comment authorId="0" ref="Q96">
      <text>
        <t xml:space="preserve">======
ID#AAACEw7hNwk
    (2026-08-03 10:52:01)
Codé automatiquement par dérivation de l'univers/catégorie + panier — AUTO · à valider</t>
      </text>
    </comment>
    <comment authorId="0" ref="O30">
      <text>
        <t xml:space="preserve">======
ID#AAACEw7hMrI
    (2026-08-03 10:52:00)
Codé automatiquement par dérivation de l'univers/catégorie + panier — AUTO · à valider</t>
      </text>
    </comment>
    <comment authorId="0" ref="P30">
      <text>
        <t xml:space="preserve">======
ID#AAACEw7hN8s
    (2026-08-03 10:52:02)
Codé automatiquement par dérivation de l'univers/catégorie + panier — AUTO · à valider</t>
      </text>
    </comment>
    <comment authorId="0" ref="R96">
      <text>
        <t xml:space="preserve">======
ID#AAACEw7hNW0
    (2026-08-03 10:52:01)
Codé automatiquement par dérivation de l'univers/catégorie + panier — AUTO · à valider</t>
      </text>
    </comment>
    <comment authorId="0" ref="Q30">
      <text>
        <t xml:space="preserve">======
ID#AAACEw7hL-E
    (2026-08-03 10:52:00)
Codé automatiquement par dérivation de l'univers/catégorie + panier — AUTO · à valider</t>
      </text>
    </comment>
    <comment authorId="0" ref="R30">
      <text>
        <t xml:space="preserve">======
ID#AAACEw7hOfk
    (2026-08-03 10:52:02)
Codé automatiquement par dérivation de l'univers/catégorie + panier — AUTO · à valider</t>
      </text>
    </comment>
    <comment authorId="0" ref="I163">
      <text>
        <t xml:space="preserve">======
ID#AAACEw7hNAI
tc={7D9FC26E-384D-45BF-90CD-972641A0F3E6}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introducingmarrakech.com / calèche·h</t>
      </text>
    </comment>
    <comment authorId="0" ref="K163">
      <text>
        <t xml:space="preserve">======
ID#AAACEw7hMP8
Salima Benchekroun    (2026-08-03 10:52:00)
Tags repris d'une fiche comparable (même activité) — à valider</t>
      </text>
    </comment>
    <comment authorId="0" ref="I97">
      <text>
        <t xml:space="preserve">======
ID#AAACEw7hLxU
tc={7D3B7718-B894-4841-B848-202C4B47E07F}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estim. sur place / pers · sur place</t>
      </text>
    </comment>
    <comment authorId="0" ref="J97">
      <text>
        <t xml:space="preserve">======
ID#AAACEw7hM5E
    (2026-08-03 10:52:01)
Codé automatiquement par dérivation de l'univers/catégorie + panier — AUTO · à valider</t>
      </text>
    </comment>
    <comment authorId="0" ref="K97">
      <text>
        <t xml:space="preserve">======
ID#AAACEw7hOCs
    (2026-08-03 10:52:02)
Codé automatiquement par dérivation de l'univers/catégorie + panier — AUTO · à valider</t>
      </text>
    </comment>
    <comment authorId="0" ref="J31">
      <text>
        <t xml:space="preserve">======
ID#AAACEw7hNJ0
    (2026-08-03 10:52:01)
Codé automatiquement par dérivation de l'univers/catégorie + panier — AUTO · à valider</t>
      </text>
    </comment>
    <comment authorId="0" ref="L97">
      <text>
        <t xml:space="preserve">======
ID#AAACEw7hNjE
    (2026-08-03 10:52:01)
Codé automatiquement par dérivation de l'univers/catégorie + panier — AUTO · à valider</t>
      </text>
    </comment>
    <comment authorId="0" ref="K31">
      <text>
        <t xml:space="preserve">======
ID#AAACEw7hOW0
    (2026-08-03 10:52:02)
Codé automatiquement par dérivation de l'univers/catégorie + panier — AUTO · à valider</t>
      </text>
    </comment>
    <comment authorId="0" ref="M97">
      <text>
        <t xml:space="preserve">======
ID#AAACEw7hMtI
    (2026-08-03 10:52:01)
Codé automatiquement par dérivation de l'univers/catégorie + panier — AUTO · à valider</t>
      </text>
    </comment>
    <comment authorId="0" ref="L31">
      <text>
        <t xml:space="preserve">======
ID#AAACEw7hOGs
    (2026-08-03 10:52:02)
Codé automatiquement par dérivation de l'univers/catégorie + panier — AUTO · à valider</t>
      </text>
    </comment>
    <comment authorId="0" ref="N97">
      <text>
        <t xml:space="preserve">======
ID#AAACEw7hMaQ
    (2026-08-03 10:52:00)
Codé automatiquement par dérivation de l'univers/catégorie + panier — AUTO · à valider</t>
      </text>
    </comment>
    <comment authorId="0" ref="M31">
      <text>
        <t xml:space="preserve">======
ID#AAACEw7hOBk
    (2026-08-03 10:52:02)
Codé automatiquement par dérivation de l'univers/catégorie + panier — AUTO · à valider</t>
      </text>
    </comment>
    <comment authorId="0" ref="O97">
      <text>
        <t xml:space="preserve">======
ID#AAACEw7hN-U
    (2026-08-03 10:52:02)
Codé automatiquement par dérivation de l'univers/catégorie + panier — AUTO · à valider</t>
      </text>
    </comment>
    <comment authorId="0" ref="P97">
      <text>
        <t xml:space="preserve">======
ID#AAACEw7hOWI
    (2026-08-03 10:52:02)
Codé automatiquement par dérivation de l'univers/catégorie + panier — AUTO · à valider</t>
      </text>
    </comment>
    <comment authorId="0" ref="N31">
      <text>
        <t xml:space="preserve">======
ID#AAACEw7hMAc
    (2026-08-03 10:52:00)
Codé automatiquement par dérivation de l'univers/catégorie + panier — AUTO · à valider</t>
      </text>
    </comment>
    <comment authorId="0" ref="Q97">
      <text>
        <t xml:space="preserve">======
ID#AAACEw7hNE4
    (2026-08-03 10:52:01)
Codé automatiquement par dérivation de l'univers/catégorie + panier — AUTO · à valider</t>
      </text>
    </comment>
    <comment authorId="0" ref="O31">
      <text>
        <t xml:space="preserve">======
ID#AAACEw7hL6o
    (2026-08-03 10:52:00)
Codé automatiquement par dérivation de l'univers/catégorie + panier — AUTO · à valider</t>
      </text>
    </comment>
    <comment authorId="0" ref="R97">
      <text>
        <t xml:space="preserve">======
ID#AAACEw7hNt8
    (2026-08-03 10:52:01)
Codé automatiquement par dérivation de l'univers/catégorie + panier — AUTO · à valider</t>
      </text>
    </comment>
    <comment authorId="0" ref="T163">
      <text>
        <t xml:space="preserve">======
ID#AAACEw7hMUU
Salima Benchekroun    (2026-08-03 10:52:00)
Source: maisondelaphotographie.ma · Confiance: high</t>
      </text>
    </comment>
    <comment authorId="0" ref="P31">
      <text>
        <t xml:space="preserve">======
ID#AAACEw7hMQ0
    (2026-08-03 10:52:00)
Codé automatiquement par dérivation de l'univers/catégorie + panier — AUTO · à valider</t>
      </text>
    </comment>
    <comment authorId="0" ref="Q31">
      <text>
        <t xml:space="preserve">======
ID#AAACEw7hN4A
    (2026-08-03 10:52:02)
Codé automatiquement par dérivation de l'univers/catégorie + panier — AUTO · à valider</t>
      </text>
    </comment>
    <comment authorId="0" ref="R31">
      <text>
        <t xml:space="preserve">======
ID#AAACEw7hMaA
    (2026-08-03 10:52:00)
Codé automatiquement par dérivation de l'univers/catégorie + panier — AUTO · à valider</t>
      </text>
    </comment>
    <comment authorId="0" ref="I164">
      <text>
        <t xml:space="preserve">======
ID#AAACEw7hL3g
tc={77CD6CBB-CCF1-491F-B713-B294F8CCFD27}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introducingmarrakech.com / calèche·h</t>
      </text>
    </comment>
    <comment authorId="0" ref="K164">
      <text>
        <t xml:space="preserve">======
ID#AAACEw7hNSM
Salima Benchekroun    (2026-08-03 10:52:01)
Tags repris d'une fiche comparable (même activité) — à valider</t>
      </text>
    </comment>
    <comment authorId="0" ref="I98">
      <text>
        <t xml:space="preserve">======
ID#AAACEw7hM6Q
tc={D6FDFC68-049E-4B36-BEDB-3F9A107C578F}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estim. sur place / pers · sur place</t>
      </text>
    </comment>
    <comment authorId="0" ref="J98">
      <text>
        <t xml:space="preserve">======
ID#AAACEw7hMDk
    (2026-08-03 10:52:00)
Codé automatiquement par dérivation de l'univers/catégorie + panier — AUTO · à valider</t>
      </text>
    </comment>
    <comment authorId="0" ref="K98">
      <text>
        <t xml:space="preserve">======
ID#AAACEw7hMY0
    (2026-08-03 10:52:00)
Codé automatiquement par dérivation de l'univers/catégorie + panier — AUTO · à valider</t>
      </text>
    </comment>
    <comment authorId="0" ref="J32">
      <text>
        <t xml:space="preserve">======
ID#AAACEw7hNYQ
    (2026-08-03 10:52:01)
Codé automatiquement par dérivation de l'univers/catégorie + panier — AUTO · à valider</t>
      </text>
    </comment>
    <comment authorId="0" ref="L98">
      <text>
        <t xml:space="preserve">======
ID#AAACEw7hL0I
    (2026-08-03 10:52:00)
Codé automatiquement par dérivation de l'univers/catégorie + panier — AUTO · à valider</t>
      </text>
    </comment>
    <comment authorId="0" ref="M98">
      <text>
        <t xml:space="preserve">======
ID#AAACEw7hOcY
    (2026-08-03 10:52:02)
Codé automatiquement par dérivation de l'univers/catégorie + panier — AUTO · à valider</t>
      </text>
    </comment>
    <comment authorId="0" ref="K32">
      <text>
        <t xml:space="preserve">======
ID#AAACEw7hNkU
    (2026-08-03 10:52:01)
Codé automatiquement par dérivation de l'univers/catégorie + panier — AUTO · à valider</t>
      </text>
    </comment>
    <comment authorId="0" ref="N98">
      <text>
        <t xml:space="preserve">======
ID#AAACEw7hMo4
    (2026-08-03 10:52:00)
Codé automatiquement par dérivation de l'univers/catégorie + panier — AUTO · à valider</t>
      </text>
    </comment>
    <comment authorId="0" ref="L32">
      <text>
        <t xml:space="preserve">======
ID#AAACEw7hMUY
    (2026-08-03 10:52:00)
Codé automatiquement par dérivation de l'univers/catégorie + panier — AUTO · à valider</t>
      </text>
    </comment>
    <comment authorId="0" ref="M32">
      <text>
        <t xml:space="preserve">======
ID#AAACEw7hOqA
    (2026-08-03 10:52:02)
Codé automatiquement par dérivation de l'univers/catégorie + panier — AUTO · à valider</t>
      </text>
    </comment>
    <comment authorId="0" ref="O98">
      <text>
        <t xml:space="preserve">======
ID#AAACEw7hMyo
    (2026-08-03 10:52:01)
Codé automatiquement par dérivation de l'univers/catégorie + panier — AUTO · à valider</t>
      </text>
    </comment>
    <comment authorId="0" ref="P98">
      <text>
        <t xml:space="preserve">======
ID#AAACEw7hOjM
    (2026-08-03 10:52:02)
Codé automatiquement par dérivation de l'univers/catégorie + panier — AUTO · à valider</t>
      </text>
    </comment>
    <comment authorId="0" ref="N32">
      <text>
        <t xml:space="preserve">======
ID#AAACEw7hMkk
    (2026-08-03 10:52:00)
Codé automatiquement par dérivation de l'univers/catégorie + panier — AUTO · à valider</t>
      </text>
    </comment>
    <comment authorId="0" ref="Q98">
      <text>
        <t xml:space="preserve">======
ID#AAACEw7hNow
    (2026-08-03 10:52:01)
Codé automatiquement par dérivation de l'univers/catégorie + panier — AUTO · à valider</t>
      </text>
    </comment>
    <comment authorId="0" ref="O32">
      <text>
        <t xml:space="preserve">======
ID#AAACEw7hMS4
    (2026-08-03 10:52:00)
Codé automatiquement par dérivation de l'univers/catégorie + panier — AUTO · à valider</t>
      </text>
    </comment>
    <comment authorId="0" ref="R98">
      <text>
        <t xml:space="preserve">======
ID#AAACEw7hM6I
    (2026-08-03 10:52:01)
Codé automatiquement par dérivation de l'univers/catégorie + panier — AUTO · à valider</t>
      </text>
    </comment>
    <comment authorId="0" ref="P32">
      <text>
        <t xml:space="preserve">======
ID#AAACEw7hOBs
    (2026-08-03 10:52:02)
Codé automatiquement par dérivation de l'univers/catégorie + panier — AUTO · à valider</t>
      </text>
    </comment>
    <comment authorId="0" ref="Q32">
      <text>
        <t xml:space="preserve">======
ID#AAACEw7hNHA
    (2026-08-03 10:52:01)
Codé automatiquement par dérivation de l'univers/catégorie + panier — AUTO · à valider</t>
      </text>
    </comment>
    <comment authorId="0" ref="R32">
      <text>
        <t xml:space="preserve">======
ID#AAACEw7hNio
    (2026-08-03 10:52:01)
Codé automatiquement par dérivation de l'univers/catégorie + panier — AUTO · à valider</t>
      </text>
    </comment>
    <comment authorId="0" ref="I165">
      <text>
        <t xml:space="preserve">======
ID#AAACEw7hMRk
Salima Benchekroun    (2026-08-03 10:52:00)
Converti de 450 MAD (1€=10,7 MAD). Tarif indicatif dès.</t>
      </text>
    </comment>
    <comment authorId="0" ref="K165">
      <text>
        <t xml:space="preserve">======
ID#AAACEw7hOUg
Salima Benchekroun    (2026-08-03 10:52:02)
Tags repris d'une fiche comparable (même activité) — à valider</t>
      </text>
    </comment>
    <comment authorId="0" ref="K99">
      <text>
        <t xml:space="preserve">======
ID#AAACEw7hM1I
Salima Benchekroun    (2026-08-03 10:52:01)
Codé automatiquement par dérivation de l'univers/catégorie + panier — AUTO · à valider</t>
      </text>
    </comment>
    <comment authorId="0" ref="L99">
      <text>
        <t xml:space="preserve">======
ID#AAACEw7hOAU
    (2026-08-03 10:52:02)
Codé automatiquement par dérivation de l'univers/catégorie + panier — AUTO · à valider</t>
      </text>
    </comment>
    <comment authorId="0" ref="J33">
      <text>
        <t xml:space="preserve">======
ID#AAACEw7hLuw
    (2026-08-03 10:52:00)
Codé automatiquement par dérivation de l'univers/catégorie + panier — AUTO · à valider</t>
      </text>
    </comment>
    <comment authorId="0" ref="M99">
      <text>
        <t xml:space="preserve">======
ID#AAACEw7hOUU
    (2026-08-03 10:52:02)
Codé automatiquement par dérivation de l'univers/catégorie + panier — AUTO · à valider</t>
      </text>
    </comment>
    <comment authorId="0" ref="K33">
      <text>
        <t xml:space="preserve">======
ID#AAACEw7hMLY
    (2026-08-03 10:52:00)
Codé automatiquement par dérivation de l'univers/catégorie + panier — AUTO · à valider</t>
      </text>
    </comment>
    <comment authorId="0" ref="L33">
      <text>
        <t xml:space="preserve">======
ID#AAACEw7hN5c
    (2026-08-03 10:52:02)
Codé automatiquement par dérivation de l'univers/catégorie + panier — AUTO · à valider</t>
      </text>
    </comment>
    <comment authorId="0" ref="N99">
      <text>
        <t xml:space="preserve">======
ID#AAACEw7hN98
    (2026-08-03 10:52:02)
Codé automatiquement par dérivation de l'univers/catégorie + panier — AUTO · à valider</t>
      </text>
    </comment>
    <comment authorId="0" ref="O99">
      <text>
        <t xml:space="preserve">======
ID#AAACEw7hMZI
    (2026-08-03 10:52:00)
Codé automatiquement par dérivation de l'univers/catégorie + panier — AUTO · à valider</t>
      </text>
    </comment>
    <comment authorId="0" ref="M33">
      <text>
        <t xml:space="preserve">======
ID#AAACEw7hMR0
    (2026-08-03 10:52:00)
Codé automatiquement par dérivation de l'univers/catégorie + panier — AUTO · à valider</t>
      </text>
    </comment>
    <comment authorId="0" ref="P99">
      <text>
        <t xml:space="preserve">======
ID#AAACEw7hMYk
    (2026-08-03 10:52:00)
Codé automatiquement par dérivation de l'univers/catégorie + panier — AUTO · à valider</t>
      </text>
    </comment>
    <comment authorId="0" ref="N33">
      <text>
        <t xml:space="preserve">======
ID#AAACEw7hLzI
    (2026-08-03 10:52:00)
Codé automatiquement par dérivation de l'univers/catégorie + panier — AUTO · à valider</t>
      </text>
    </comment>
    <comment authorId="0" ref="O33">
      <text>
        <t xml:space="preserve">======
ID#AAACEw7hNAg
    (2026-08-03 10:52:01)
Codé automatiquement par dérivation de l'univers/catégorie + panier — AUTO · à valider</t>
      </text>
    </comment>
    <comment authorId="0" ref="Q99">
      <text>
        <t xml:space="preserve">======
ID#AAACEw7hNfk
    (2026-08-03 10:52:01)
Codé automatiquement par dérivation de l'univers/catégorie + panier — AUTO · à valider</t>
      </text>
    </comment>
    <comment authorId="0" ref="R99">
      <text>
        <t xml:space="preserve">======
ID#AAACEw7hOeM
    (2026-08-03 10:52:02)
Codé automatiquement par dérivation de l'univers/catégorie + panier — AUTO · à valider</t>
      </text>
    </comment>
    <comment authorId="0" ref="P33">
      <text>
        <t xml:space="preserve">======
ID#AAACEw7hNgI
    (2026-08-03 10:52:01)
Codé automatiquement par dérivation de l'univers/catégorie + panier — AUTO · à valider</t>
      </text>
    </comment>
    <comment authorId="0" ref="T165">
      <text>
        <t xml:space="preserve">======
ID#AAACEw7hMm8
Salima Benchekroun    (2026-08-03 10:52:00)
Source: benchaabane.com · Confiance: high</t>
      </text>
    </comment>
    <comment authorId="0" ref="Q33">
      <text>
        <t xml:space="preserve">======
ID#AAACEw7hM5w
    (2026-08-03 10:52:01)
Codé automatiquement par dérivation de l'univers/catégorie + panier — AUTO · à valider</t>
      </text>
    </comment>
    <comment authorId="0" ref="R33">
      <text>
        <t xml:space="preserve">======
ID#AAACEw7hMik
    (2026-08-03 10:52:00)
Codé automatiquement par dérivation de l'univers/catégorie + panier — AUTO · à valider</t>
      </text>
    </comment>
    <comment authorId="0" ref="T99">
      <text>
        <t xml:space="preserve">======
ID#AAACEw7hL2k
    (2026-08-03 10:52:00)
Téléphone via Google Places / établissement (juin 2026)</t>
      </text>
    </comment>
    <comment authorId="0" ref="I166">
      <text>
        <t xml:space="preserve">======
ID#AAACEw7hLzY
tc={CE99FF65-F9EA-42E0-B68E-628AFDD27F94}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K166">
      <text>
        <t xml:space="preserve">======
ID#AAACEw7hOmU
Salima Benchekroun    (2026-08-03 10:52:02)
Tags repris d'une fiche comparable (même activité) — à valider</t>
      </text>
    </comment>
    <comment authorId="0" ref="I100">
      <text>
        <t xml:space="preserve">======
ID#AAACEw7hNxM
tc={D2FFFC86-1C28-4BDF-8FFB-323E4E6EC0DF}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estim. sur place / pers · sur place</t>
      </text>
    </comment>
    <comment authorId="0" ref="J100">
      <text>
        <t xml:space="preserve">======
ID#AAACEw7hM7g
    (2026-08-03 10:52:01)
Codé automatiquement par dérivation de l'univers/catégorie + panier — AUTO · à valider</t>
      </text>
    </comment>
    <comment authorId="0" ref="K100">
      <text>
        <t xml:space="preserve">======
ID#AAACEw7hOPs
    (2026-08-03 10:52:02)
Codé automatiquement par dérivation de l'univers/catégorie + panier — AUTO · à valider</t>
      </text>
    </comment>
    <comment authorId="0" ref="J34">
      <text>
        <t xml:space="preserve">======
ID#AAACEw7hNg4
    (2026-08-03 10:52:01)
Codé automatiquement par dérivation de l'univers/catégorie + panier — AUTO · à valider</t>
      </text>
    </comment>
    <comment authorId="0" ref="L100">
      <text>
        <t xml:space="preserve">======
ID#AAACEw7hM6g
    (2026-08-03 10:52:01)
Codé automatiquement par dérivation de l'univers/catégorie + panier — AUTO · à valider</t>
      </text>
    </comment>
    <comment authorId="0" ref="M100">
      <text>
        <t xml:space="preserve">======
ID#AAACEw7hOKY
    (2026-08-03 10:52:02)
Codé automatiquement par dérivation de l'univers/catégorie + panier — AUTO · à valider</t>
      </text>
    </comment>
    <comment authorId="0" ref="K34">
      <text>
        <t xml:space="preserve">======
ID#AAACEw7hNYs
    (2026-08-03 10:52:01)
Codé automatiquement par dérivation de l'univers/catégorie + panier — AUTO · à valider</t>
      </text>
    </comment>
    <comment authorId="0" ref="N100">
      <text>
        <t xml:space="preserve">======
ID#AAACEw7hOGY
    (2026-08-03 10:52:02)
Codé automatiquement par dérivation de l'univers/catégorie + panier — AUTO · à valider</t>
      </text>
    </comment>
    <comment authorId="0" ref="L34">
      <text>
        <t xml:space="preserve">======
ID#AAACEw7hN6A
    (2026-08-03 10:52:02)
Codé automatiquement par dérivation de l'univers/catégorie + panier — AUTO · à valider</t>
      </text>
    </comment>
    <comment authorId="0" ref="O100">
      <text>
        <t xml:space="preserve">======
ID#AAACEw7hN7k
    (2026-08-03 10:52:02)
Codé automatiquement par dérivation de l'univers/catégorie + panier — AUTO · à valider</t>
      </text>
    </comment>
    <comment authorId="0" ref="M34">
      <text>
        <t xml:space="preserve">======
ID#AAACEw7hM9o
    (2026-08-03 10:52:01)
Codé automatiquement par dérivation de l'univers/catégorie + panier — AUTO · à valider</t>
      </text>
    </comment>
    <comment authorId="0" ref="P100">
      <text>
        <t xml:space="preserve">======
ID#AAACEw7hOHo
    (2026-08-03 10:52:02)
Codé automatiquement par dérivation de l'univers/catégorie + panier — AUTO · à valider</t>
      </text>
    </comment>
    <comment authorId="0" ref="N34">
      <text>
        <t xml:space="preserve">======
ID#AAACEw7hOVk
    (2026-08-03 10:52:02)
Codé automatiquement par dérivation de l'univers/catégorie + panier — AUTO · à valider</t>
      </text>
    </comment>
    <comment authorId="0" ref="O34">
      <text>
        <t xml:space="preserve">======
ID#AAACEw7hNSI
    (2026-08-03 10:52:01)
Codé automatiquement par dérivation de l'univers/catégorie + panier — AUTO · à valider</t>
      </text>
    </comment>
    <comment authorId="0" ref="Q100">
      <text>
        <t xml:space="preserve">======
ID#AAACEw7hMMA
    (2026-08-03 10:52:00)
Codé automatiquement par dérivation de l'univers/catégorie + panier — AUTO · à valider</t>
      </text>
    </comment>
    <comment authorId="0" ref="P34">
      <text>
        <t xml:space="preserve">======
ID#AAACEw7hMcQ
    (2026-08-03 10:52:00)
Codé automatiquement par dérivation de l'univers/catégorie + panier — AUTO · à valider</t>
      </text>
    </comment>
    <comment authorId="0" ref="T166">
      <text>
        <t xml:space="preserve">======
ID#AAACEw7hMQk
Salima Benchekroun    (2026-08-03 10:52:00)
Source: caleche.ma · Confiance: medium</t>
      </text>
    </comment>
    <comment authorId="0" ref="R100">
      <text>
        <t xml:space="preserve">======
ID#AAACEw7hMKM
    (2026-08-03 10:52:00)
Codé automatiquement par dérivation de l'univers/catégorie + panier — AUTO · à valider</t>
      </text>
    </comment>
    <comment authorId="0" ref="Q34">
      <text>
        <t xml:space="preserve">======
ID#AAACEw7hOZE
    (2026-08-03 10:52:02)
Codé automatiquement par dérivation de l'univers/catégorie + panier — AUTO · à valider</t>
      </text>
    </comment>
    <comment authorId="0" ref="R34">
      <text>
        <t xml:space="preserve">======
ID#AAACEw7hMwk
    (2026-08-03 10:52:01)
Codé automatiquement par dérivation de l'univers/catégorie + panier — AUTO · à valider</t>
      </text>
    </comment>
    <comment authorId="0" ref="F101">
      <text>
        <t xml:space="preserve">======
ID#AAACEw7hOVA
tc={A1FDA2D9-EB71-41BD-A591-A6FF226D74F8}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https://www.tripadvisor.com/Attraction_Review-g293734-d17398491-Reviews-Atelier_Lamsaty-Marrakech_Marrakech_Safi.html</t>
      </text>
    </comment>
    <comment authorId="0" ref="I167">
      <text>
        <t xml:space="preserve">======
ID#AAACEw7hNqc
tc={6B29040A-144E-49A9-903F-644626214329}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K167">
      <text>
        <t xml:space="preserve">======
ID#AAACEw7hNjI
Salima Benchekroun    (2026-08-03 10:52:01)
Tags repris d'une fiche comparable (même activité) — à valider</t>
      </text>
    </comment>
    <comment authorId="0" ref="J35">
      <text>
        <t xml:space="preserve">======
ID#AAACEw7hOog
    (2026-08-03 10:52:02)
Codé automatiquement par dérivation de l'univers/catégorie + panier — AUTO · à valider</t>
      </text>
    </comment>
    <comment authorId="0" ref="K35">
      <text>
        <t xml:space="preserve">======
ID#AAACEw7hLug
    (2026-08-03 10:52:00)
Codé automatiquement par dérivation de l'univers/catégorie + panier — AUTO · à valider</t>
      </text>
    </comment>
    <comment authorId="0" ref="L35">
      <text>
        <t xml:space="preserve">======
ID#AAACEw7hOA4
    (2026-08-03 10:52:02)
Codé automatiquement par dérivation de l'univers/catégorie + panier — AUTO · à valider</t>
      </text>
    </comment>
    <comment authorId="0" ref="M35">
      <text>
        <t xml:space="preserve">======
ID#AAACEw7hMY8
    (2026-08-03 10:52:00)
Codé automatiquement par dérivation de l'univers/catégorie + panier — AUTO · à valider</t>
      </text>
    </comment>
    <comment authorId="0" ref="N35">
      <text>
        <t xml:space="preserve">======
ID#AAACEw7hOmg
    (2026-08-03 10:52:02)
Codé automatiquement par dérivation de l'univers/catégorie + panier — AUTO · à valider</t>
      </text>
    </comment>
    <comment authorId="0" ref="O35">
      <text>
        <t xml:space="preserve">======
ID#AAACEw7hM68
    (2026-08-03 10:52:01)
Codé automatiquement par dérivation de l'univers/catégorie + panier — AUTO · à valider</t>
      </text>
    </comment>
    <comment authorId="0" ref="P35">
      <text>
        <t xml:space="preserve">======
ID#AAACEw7hMHs
    (2026-08-03 10:52:00)
Codé automatiquement par dérivation de l'univers/catégorie + panier — AUTO · à valider</t>
      </text>
    </comment>
    <comment authorId="0" ref="Q35">
      <text>
        <t xml:space="preserve">======
ID#AAACEw7hL4Q
    (2026-08-03 10:52:00)
Codé automatiquement par dérivation de l'univers/catégorie + panier — AUTO · à valider</t>
      </text>
    </comment>
    <comment authorId="0" ref="R35">
      <text>
        <t xml:space="preserve">======
ID#AAACEw7hONw
    (2026-08-03 10:52:02)
Codé automatiquement par dérivation de l'univers/catégorie + panier — AUTO · à valider</t>
      </text>
    </comment>
    <comment authorId="0" ref="F102">
      <text>
        <t xml:space="preserve">======
ID#AAACEw7hMKU
tc={7A84321E-54E8-4180-A954-E88D077760AE}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https://www.ateliersdailleurs.com/ateliers_enfants_marrakech-fr.html</t>
      </text>
    </comment>
    <comment authorId="0" ref="I168">
      <text>
        <t xml:space="preserve">======
ID#AAACEw7hMvw
tc={8D8397E5-DC12-46F6-894B-A81B87D37F32}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K168">
      <text>
        <t xml:space="preserve">======
ID#AAACEw7hMig
Salima Benchekroun    (2026-08-03 10:52:00)
Tags repris d'une fiche comparable (même activité) — à valider</t>
      </text>
    </comment>
    <comment authorId="0" ref="J36">
      <text>
        <t xml:space="preserve">======
ID#AAACEw7hMpc
    (2026-08-03 10:52:00)
Codé automatiquement par dérivation de l'univers/catégorie + panier — AUTO · à valider</t>
      </text>
    </comment>
    <comment authorId="0" ref="K36">
      <text>
        <t xml:space="preserve">======
ID#AAACEw7hObQ
    (2026-08-03 10:52:02)
Codé automatiquement par dérivation de l'univers/catégorie + panier — AUTO · à valider</t>
      </text>
    </comment>
    <comment authorId="0" ref="L36">
      <text>
        <t xml:space="preserve">======
ID#AAACEw7hMrk
    (2026-08-03 10:52:01)
Codé automatiquement par dérivation de l'univers/catégorie + panier — AUTO · à valider</t>
      </text>
    </comment>
    <comment authorId="0" ref="M36">
      <text>
        <t xml:space="preserve">======
ID#AAACEw7hMLs
    (2026-08-03 10:52:00)
Codé automatiquement par dérivation de l'univers/catégorie + panier — AUTO · à valider</t>
      </text>
    </comment>
    <comment authorId="0" ref="N36">
      <text>
        <t xml:space="preserve">======
ID#AAACEw7hMsI
    (2026-08-03 10:52:01)
Codé automatiquement par dérivation de l'univers/catégorie + panier — AUTO · à valider</t>
      </text>
    </comment>
    <comment authorId="0" ref="O36">
      <text>
        <t xml:space="preserve">======
ID#AAACEw7hNlU
    (2026-08-03 10:52:01)
Codé automatiquement par dérivation de l'univers/catégorie + panier — AUTO · à valider</t>
      </text>
    </comment>
    <comment authorId="0" ref="P36">
      <text>
        <t xml:space="preserve">======
ID#AAACEw7hM6w
    (2026-08-03 10:52:01)
Codé automatiquement par dérivation de l'univers/catégorie + panier — AUTO · à valider</t>
      </text>
    </comment>
    <comment authorId="0" ref="Q36">
      <text>
        <t xml:space="preserve">======
ID#AAACEw7hOZo
    (2026-08-03 10:52:02)
Codé automatiquement par dérivation de l'univers/catégorie + panier — AUTO · à valider</t>
      </text>
    </comment>
    <comment authorId="0" ref="R36">
      <text>
        <t xml:space="preserve">======
ID#AAACEw7hM3k
    (2026-08-03 10:52:01)
Codé automatiquement par dérivation de l'univers/catégorie + panier — AUTO · à valider</t>
      </text>
    </comment>
    <comment authorId="0" ref="F103">
      <text>
        <t xml:space="preserve">======
ID#AAACEw7hOnA
tc={624B5AFF-5FB5-4D9B-BDAD-1A08672C1F51}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https://potteryclassmarrakech.ma/</t>
      </text>
    </comment>
    <comment authorId="0" ref="I169">
      <text>
        <t xml:space="preserve">======
ID#AAACEw7hMBY
tc={9512F46B-FEB9-41D0-85C1-05617E832707}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K169">
      <text>
        <t xml:space="preserve">======
ID#AAACEw7hMBI
Salima Benchekroun    (2026-08-03 10:52:00)
Tags repris d'une fiche comparable (même activité) — à valider</t>
      </text>
    </comment>
    <comment authorId="0" ref="J37">
      <text>
        <t xml:space="preserve">======
ID#AAACEw7hMbM
    (2026-08-03 10:52:00)
Codé automatiquement par dérivation de l'univers/catégorie + panier — AUTO · à valider</t>
      </text>
    </comment>
    <comment authorId="0" ref="K37">
      <text>
        <t xml:space="preserve">======
ID#AAACEw7hL3I
    (2026-08-03 10:52:00)
Codé automatiquement par dérivation de l'univers/catégorie + panier — AUTO · à valider</t>
      </text>
    </comment>
    <comment authorId="0" ref="L37">
      <text>
        <t xml:space="preserve">======
ID#AAACEw7hMVc
    (2026-08-03 10:52:00)
Codé automatiquement par dérivation de l'univers/catégorie + panier — AUTO · à valider</t>
      </text>
    </comment>
    <comment authorId="0" ref="M37">
      <text>
        <t xml:space="preserve">======
ID#AAACEw7hMl0
    (2026-08-03 10:52:00)
Codé automatiquement par dérivation de l'univers/catégorie + panier — AUTO · à valider</t>
      </text>
    </comment>
    <comment authorId="0" ref="N37">
      <text>
        <t xml:space="preserve">======
ID#AAACEw7hL6M
    (2026-08-03 10:52:00)
Codé automatiquement par dérivation de l'univers/catégorie + panier — AUTO · à valider</t>
      </text>
    </comment>
    <comment authorId="0" ref="O37">
      <text>
        <t xml:space="preserve">======
ID#AAACEw7hOIk
    (2026-08-03 10:52:02)
Codé automatiquement par dérivation de l'univers/catégorie + panier — AUTO · à valider</t>
      </text>
    </comment>
    <comment authorId="0" ref="P37">
      <text>
        <t xml:space="preserve">======
ID#AAACEw7hMhA
    (2026-08-03 10:52:00)
Codé automatiquement par dérivation de l'univers/catégorie + panier — AUTO · à valider</t>
      </text>
    </comment>
    <comment authorId="0" ref="Q37">
      <text>
        <t xml:space="preserve">======
ID#AAACEw7hORo
    (2026-08-03 10:52:02)
Codé automatiquement par dérivation de l'univers/catégorie + panier — AUTO · à valider</t>
      </text>
    </comment>
    <comment authorId="0" ref="R37">
      <text>
        <t xml:space="preserve">======
ID#AAACEw7hON0
    (2026-08-03 10:52:02)
Codé automatiquement par dérivation de l'univers/catégorie + panier — AUTO · à valider</t>
      </text>
    </comment>
    <comment authorId="0" ref="T37">
      <text>
        <t xml:space="preserve">======
ID#AAACEw7hL8A
    (2026-08-03 10:52:00)
Téléphone via Google Places / établissement (juin 2026)</t>
      </text>
    </comment>
    <comment authorId="0" ref="F104">
      <text>
        <t xml:space="preserve">======
ID#AAACEw7hNT4
tc={0C77F629-9AA9-4BED-ACBD-F5423A790996}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https://www.viator.com/Marrakech-tours/Pottery-Classes/d5408-g26051-c32012</t>
      </text>
    </comment>
    <comment authorId="0" ref="I170">
      <text>
        <t xml:space="preserve">======
ID#AAACEw7hLyg
tc={A5B6D09A-B10F-47BC-AA60-04B032BEFF48}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K170">
      <text>
        <t xml:space="preserve">======
ID#AAACEw7hNjs
Salima Benchekroun    (2026-08-03 10:52:01)
Tags repris d'une fiche comparable (même activité) — à valider</t>
      </text>
    </comment>
    <comment authorId="0" ref="J38">
      <text>
        <t xml:space="preserve">======
ID#AAACEw7hMOg
    (2026-08-03 10:52:00)
Codé automatiquement par dérivation de l'univers/catégorie + panier — AUTO · à valider</t>
      </text>
    </comment>
    <comment authorId="0" ref="K38">
      <text>
        <t xml:space="preserve">======
ID#AAACEw7hM7c
    (2026-08-03 10:52:01)
Codé automatiquement par dérivation de l'univers/catégorie + panier — AUTO · à valider</t>
      </text>
    </comment>
    <comment authorId="0" ref="L38">
      <text>
        <t xml:space="preserve">======
ID#AAACEw7hNcE
    (2026-08-03 10:52:01)
Codé automatiquement par dérivation de l'univers/catégorie + panier — AUTO · à valider</t>
      </text>
    </comment>
    <comment authorId="0" ref="M38">
      <text>
        <t xml:space="preserve">======
ID#AAACEw7hOe4
    (2026-08-03 10:52:02)
Codé automatiquement par dérivation de l'univers/catégorie + panier — AUTO · à valider</t>
      </text>
    </comment>
    <comment authorId="0" ref="N38">
      <text>
        <t xml:space="preserve">======
ID#AAACEw7hNXs
    (2026-08-03 10:52:01)
Codé automatiquement par dérivation de l'univers/catégorie + panier — AUTO · à valider</t>
      </text>
    </comment>
    <comment authorId="0" ref="O38">
      <text>
        <t xml:space="preserve">======
ID#AAACEw7hN_c
    (2026-08-03 10:52:02)
Codé automatiquement par dérivation de l'univers/catégorie + panier — AUTO · à valider</t>
      </text>
    </comment>
    <comment authorId="0" ref="P38">
      <text>
        <t xml:space="preserve">======
ID#AAACEw7hMAk
    (2026-08-03 10:52:00)
Codé automatiquement par dérivation de l'univers/catégorie + panier — AUTO · à valider</t>
      </text>
    </comment>
    <comment authorId="0" ref="Q38">
      <text>
        <t xml:space="preserve">======
ID#AAACEw7hMlk
    (2026-08-03 10:52:00)
Codé automatiquement par dérivation de l'univers/catégorie + panier — AUTO · à valider</t>
      </text>
    </comment>
    <comment authorId="0" ref="R38">
      <text>
        <t xml:space="preserve">======
ID#AAACEw7hMuc
    (2026-08-03 10:52:01)
Codé automatiquement par dérivation de l'univers/catégorie + panier — AUTO · à valider</t>
      </text>
    </comment>
    <comment authorId="0" ref="F105">
      <text>
        <t xml:space="preserve">======
ID#AAACEw7hOTQ
tc={36AB04A6-1D92-46E6-AAAA-420CB82CEA11}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https://chouetteworld.com/marrakech-en-famille/</t>
      </text>
    </comment>
    <comment authorId="0" ref="I171">
      <text>
        <t xml:space="preserve">======
ID#AAACEw7hMrE
tc={5C8D5FE7-1F29-494F-AF3B-E8BB9BA7157F}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I105">
      <text>
        <t xml:space="preserve">======
ID#AAACEw7hNzg
Salima Benchekroun    (2026-08-03 10:52:01)
Prix atypique · exclu du calcul de médiane. Jardins &amp; Musées — Entrée/teaser (autre produit) (méd. 55 €, BAS)</t>
      </text>
    </comment>
    <comment authorId="0" ref="K171">
      <text>
        <t xml:space="preserve">======
ID#AAACEw7hMNo
Salima Benchekroun    (2026-08-03 10:52:00)
Tags repris d'une fiche comparable (même activité) — à valider</t>
      </text>
    </comment>
    <comment authorId="0" ref="J39">
      <text>
        <t xml:space="preserve">======
ID#AAACEw7hNok
    (2026-08-03 10:52:01)
Codé automatiquement par dérivation de l'univers/catégorie + panier — AUTO · à valider</t>
      </text>
    </comment>
    <comment authorId="0" ref="K39">
      <text>
        <t xml:space="preserve">======
ID#AAACEw7hNvM
    (2026-08-03 10:52:01)
Codé automatiquement par dérivation de l'univers/catégorie + panier — AUTO · à valider</t>
      </text>
    </comment>
    <comment authorId="0" ref="L39">
      <text>
        <t xml:space="preserve">======
ID#AAACEw7hNJc
    (2026-08-03 10:52:01)
Codé automatiquement par dérivation de l'univers/catégorie + panier — AUTO · à valider</t>
      </text>
    </comment>
    <comment authorId="0" ref="M39">
      <text>
        <t xml:space="preserve">======
ID#AAACEw7hOoc
    (2026-08-03 10:52:02)
Codé automatiquement par dérivation de l'univers/catégorie + panier — AUTO · à valider</t>
      </text>
    </comment>
    <comment authorId="0" ref="N39">
      <text>
        <t xml:space="preserve">======
ID#AAACEw7hLv8
    (2026-08-03 10:52:00)
Codé automatiquement par dérivation de l'univers/catégorie + panier — AUTO · à valider</t>
      </text>
    </comment>
    <comment authorId="0" ref="O39">
      <text>
        <t xml:space="preserve">======
ID#AAACEw7hMvs
    (2026-08-03 10:52:01)
Codé automatiquement par dérivation de l'univers/catégorie + panier — AUTO · à valider</t>
      </text>
    </comment>
    <comment authorId="0" ref="P39">
      <text>
        <t xml:space="preserve">======
ID#AAACEw7hNjY
    (2026-08-03 10:52:01)
Codé automatiquement par dérivation de l'univers/catégorie + panier — AUTO · à valider</t>
      </text>
    </comment>
    <comment authorId="0" ref="T171">
      <text>
        <t xml:space="preserve">======
ID#AAACEw7hL-Y
Salima Benchekroun    (2026-08-03 10:52:00)
Source: amalnonprofit.org · Confiance: high</t>
      </text>
    </comment>
    <comment authorId="0" ref="Q39">
      <text>
        <t xml:space="preserve">======
ID#AAACEw7hOgk
    (2026-08-03 10:52:02)
Codé automatiquement par dérivation de l'univers/catégorie + panier — AUTO · à valider</t>
      </text>
    </comment>
    <comment authorId="0" ref="T105">
      <text>
        <t xml:space="preserve">======
ID#AAACEw7hMPE
Salima Benchekroun    (2026-08-03 10:52:00)
Source: anima-garden.com · Confiance: high</t>
      </text>
    </comment>
    <comment authorId="0" ref="R39">
      <text>
        <t xml:space="preserve">======
ID#AAACEw7hMKc
    (2026-08-03 10:52:00)
Codé automatiquement par dérivation de l'univers/catégorie + panier — AUTO · à valider</t>
      </text>
    </comment>
    <comment authorId="0" ref="F106">
      <text>
        <t xml:space="preserve">======
ID#AAACEw7hM7Q
tc={D17B4544-8143-43B0-8682-592D2E4DD80F}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https://mylittlekech.com/activites-enfants-marrakech/</t>
      </text>
    </comment>
    <comment authorId="0" ref="I172">
      <text>
        <t xml:space="preserve">======
ID#AAACEw7hM_s
tc={685F3117-6CF3-4D40-B1DD-162F1E9C8CB1}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K172">
      <text>
        <t xml:space="preserve">======
ID#AAACEw7hM28
Salima Benchekroun    (2026-08-03 10:52:01)
Tags repris d'une fiche comparable (même activité) — à valider</t>
      </text>
    </comment>
    <comment authorId="0" ref="J40">
      <text>
        <t xml:space="preserve">======
ID#AAACEw7hMIM
    (2026-08-03 10:52:00)
Codé automatiquement par dérivation de l'univers/catégorie + panier — AUTO · à valider</t>
      </text>
    </comment>
    <comment authorId="0" ref="K40">
      <text>
        <t xml:space="preserve">======
ID#AAACEw7hM3c
    (2026-08-03 10:52:01)
Codé automatiquement par dérivation de l'univers/catégorie + panier — AUTO · à valider</t>
      </text>
    </comment>
    <comment authorId="0" ref="L40">
      <text>
        <t xml:space="preserve">======
ID#AAACEw7hM1Y
    (2026-08-03 10:52:01)
Codé automatiquement par dérivation de l'univers/catégorie + panier — AUTO · à valider</t>
      </text>
    </comment>
    <comment authorId="0" ref="M40">
      <text>
        <t xml:space="preserve">======
ID#AAACEw7hM9w
    (2026-08-03 10:52:01)
Codé automatiquement par dérivation de l'univers/catégorie + panier — AUTO · à valider</t>
      </text>
    </comment>
    <comment authorId="0" ref="N40">
      <text>
        <t xml:space="preserve">======
ID#AAACEw7hOpc
    (2026-08-03 10:52:02)
Codé automatiquement par dérivation de l'univers/catégorie + panier — AUTO · à valider</t>
      </text>
    </comment>
    <comment authorId="0" ref="O40">
      <text>
        <t xml:space="preserve">======
ID#AAACEw7hNq4
    (2026-08-03 10:52:01)
Codé automatiquement par dérivation de l'univers/catégorie + panier — AUTO · à valider</t>
      </text>
    </comment>
    <comment authorId="0" ref="P40">
      <text>
        <t xml:space="preserve">======
ID#AAACEw7hNSc
    (2026-08-03 10:52:01)
Codé automatiquement par dérivation de l'univers/catégorie + panier — AUTO · à valider</t>
      </text>
    </comment>
    <comment authorId="0" ref="Q40">
      <text>
        <t xml:space="preserve">======
ID#AAACEw7hMt0
    (2026-08-03 10:52:01)
Codé automatiquement par dérivation de l'univers/catégorie + panier — AUTO · à valider</t>
      </text>
    </comment>
    <comment authorId="0" ref="R40">
      <text>
        <t xml:space="preserve">======
ID#AAACEw7hMps
    (2026-08-03 10:52:00)
Codé automatiquement par dérivation de l'univers/catégorie + panier — AUTO · à valider</t>
      </text>
    </comment>
    <comment authorId="0" ref="F107">
      <text>
        <t xml:space="preserve">======
ID#AAACEw7hOIo
tc={B2262C22-B727-4C07-963C-91C870619AAD}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https://mylittlekech.com/activites-enfants-marrakech/</t>
      </text>
    </comment>
    <comment authorId="0" ref="I173">
      <text>
        <t xml:space="preserve">======
ID#AAACEw7hM40
tc={370DE1AA-D0DC-4D0B-8474-3C7A70B32FE9}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K173">
      <text>
        <t xml:space="preserve">======
ID#AAACEw7hLzo
Salima Benchekroun    (2026-08-03 10:52:00)
Tags repris d'une fiche comparable (même activité) — à valider</t>
      </text>
    </comment>
    <comment authorId="0" ref="J41">
      <text>
        <t xml:space="preserve">======
ID#AAACEw7hMsU
    (2026-08-03 10:52:01)
Codé automatiquement par dérivation de l'univers/catégorie + panier — AUTO · à valider</t>
      </text>
    </comment>
    <comment authorId="0" ref="K41">
      <text>
        <t xml:space="preserve">======
ID#AAACEw7hNyY
    (2026-08-03 10:52:01)
Codé automatiquement par dérivation de l'univers/catégorie + panier — AUTO · à valider</t>
      </text>
    </comment>
    <comment authorId="0" ref="L41">
      <text>
        <t xml:space="preserve">======
ID#AAACEw7hLzQ
    (2026-08-03 10:52:00)
Codé automatiquement par dérivation de l'univers/catégorie + panier — AUTO · à valider</t>
      </text>
    </comment>
    <comment authorId="0" ref="M41">
      <text>
        <t xml:space="preserve">======
ID#AAACEw7hNsM
    (2026-08-03 10:52:01)
Codé automatiquement par dérivation de l'univers/catégorie + panier — AUTO · à valider</t>
      </text>
    </comment>
    <comment authorId="0" ref="N41">
      <text>
        <t xml:space="preserve">======
ID#AAACEw7hN-Q
    (2026-08-03 10:52:02)
Codé automatiquement par dérivation de l'univers/catégorie + panier — AUTO · à valider</t>
      </text>
    </comment>
    <comment authorId="0" ref="O41">
      <text>
        <t xml:space="preserve">======
ID#AAACEw7hLuY
    (2026-08-03 10:52:00)
Codé automatiquement par dérivation de l'univers/catégorie + panier — AUTO · à valider</t>
      </text>
    </comment>
    <comment authorId="0" ref="T173">
      <text>
        <t xml:space="preserve">======
ID#AAACEw7hMrU
Salima Benchekroun    (2026-08-03 10:52:00)
Source: findinmarrakech.com · Confiance: medium</t>
      </text>
    </comment>
    <comment authorId="0" ref="P41">
      <text>
        <t xml:space="preserve">======
ID#AAACEw7hMHk
    (2026-08-03 10:52:00)
Codé automatiquement par dérivation de l'univers/catégorie + panier — AUTO · à valider</t>
      </text>
    </comment>
    <comment authorId="0" ref="Q41">
      <text>
        <t xml:space="preserve">======
ID#AAACEw7hNM8
    (2026-08-03 10:52:01)
Codé automatiquement par dérivation de l'univers/catégorie + panier — AUTO · à valider</t>
      </text>
    </comment>
    <comment authorId="0" ref="R41">
      <text>
        <t xml:space="preserve">======
ID#AAACEw7hOlE
    (2026-08-03 10:52:02)
Codé automatiquement par dérivation de l'univers/catégorie + panier — AUTO · à valider</t>
      </text>
    </comment>
    <comment authorId="0" ref="F108">
      <text>
        <t xml:space="preserve">======
ID#AAACEw7hMto
tc={B8A7DE5E-A66A-4D6B-A53F-8EF118F4BCC6}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https://mesloisirs.ma/blog/guide-activites-enfants-maroc-parcs-ateliers-famille</t>
      </text>
    </comment>
    <comment authorId="0" ref="I174">
      <text>
        <t xml:space="preserve">======
ID#AAACEw7hORQ
tc={02020F70-8586-49B2-9152-E39153BACF93}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K174">
      <text>
        <t xml:space="preserve">======
ID#AAACEw7hL0Y
Salima Benchekroun    (2026-08-03 10:52:00)
Tags repris d'une fiche comparable (même activité) — à valider</t>
      </text>
    </comment>
    <comment authorId="0" ref="J42">
      <text>
        <t xml:space="preserve">======
ID#AAACEw7hObU
    (2026-08-03 10:52:02)
Codé automatiquement par dérivation de l'univers/catégorie + panier — AUTO · à valider</t>
      </text>
    </comment>
    <comment authorId="0" ref="K42">
      <text>
        <t xml:space="preserve">======
ID#AAACEw7hNhU
    (2026-08-03 10:52:01)
Codé automatiquement par dérivation de l'univers/catégorie + panier — AUTO · à valider</t>
      </text>
    </comment>
    <comment authorId="0" ref="L42">
      <text>
        <t xml:space="preserve">======
ID#AAACEw7hNaI
    (2026-08-03 10:52:01)
Codé automatiquement par dérivation de l'univers/catégorie + panier — AUTO · à valider</t>
      </text>
    </comment>
    <comment authorId="0" ref="M42">
      <text>
        <t xml:space="preserve">======
ID#AAACEw7hNQU
    (2026-08-03 10:52:01)
Codé automatiquement par dérivation de l'univers/catégorie + panier — AUTO · à valider</t>
      </text>
    </comment>
    <comment authorId="0" ref="N42">
      <text>
        <t xml:space="preserve">======
ID#AAACEw7hL0s
    (2026-08-03 10:52:00)
Codé automatiquement par dérivation de l'univers/catégorie + panier — AUTO · à valider</t>
      </text>
    </comment>
    <comment authorId="0" ref="O42">
      <text>
        <t xml:space="preserve">======
ID#AAACEw7hM7U
    (2026-08-03 10:52:01)
Codé automatiquement par dérivation de l'univers/catégorie + panier — AUTO · à valider</t>
      </text>
    </comment>
    <comment authorId="0" ref="P42">
      <text>
        <t xml:space="preserve">======
ID#AAACEw7hMpk
    (2026-08-03 10:52:00)
Codé automatiquement par dérivation de l'univers/catégorie + panier — AUTO · à valider</t>
      </text>
    </comment>
    <comment authorId="0" ref="Q42">
      <text>
        <t xml:space="preserve">======
ID#AAACEw7hMNc
    (2026-08-03 10:52:00)
Codé automatiquement par dérivation de l'univers/catégorie + panier — AUTO · à valider</t>
      </text>
    </comment>
    <comment authorId="0" ref="T108">
      <text>
        <t xml:space="preserve">======
ID#AAACEw7hOng
Salima Benchekroun    (2026-08-03 10:52:02)
Source: paloozaland.com · Confiance: high</t>
      </text>
    </comment>
    <comment authorId="0" ref="R42">
      <text>
        <t xml:space="preserve">======
ID#AAACEw7hNUo
    (2026-08-03 10:52:01)
Codé automatiquement par dérivation de l'univers/catégorie + panier — AUTO · à valider</t>
      </text>
    </comment>
    <comment authorId="0" ref="F109">
      <text>
        <t xml:space="preserve">======
ID#AAACEw7hN1k
tc={E5D91BF0-359F-4E67-A950-43A2679D33C2}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https://mylittlekech.com/activites-enfants-marrakech/</t>
      </text>
    </comment>
    <comment authorId="0" ref="I175">
      <text>
        <t xml:space="preserve">======
ID#AAACEw7hL9E
tc={DE97195B-B5F9-4920-BBE3-A00E9A7CA8E2}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K175">
      <text>
        <t xml:space="preserve">======
ID#AAACEw7hMt8
Salima Benchekroun    (2026-08-03 10:52:01)
Tags repris d'une fiche comparable (même activité) — à valider</t>
      </text>
    </comment>
    <comment authorId="0" ref="J43">
      <text>
        <t xml:space="preserve">======
ID#AAACEw7hMMM
    (2026-08-03 10:52:00)
Codé automatiquement par dérivation de l'univers/catégorie + panier — AUTO · à valider</t>
      </text>
    </comment>
    <comment authorId="0" ref="K43">
      <text>
        <t xml:space="preserve">======
ID#AAACEw7hNDc
    (2026-08-03 10:52:01)
Codé automatiquement par dérivation de l'univers/catégorie + panier — AUTO · à valider</t>
      </text>
    </comment>
    <comment authorId="0" ref="L43">
      <text>
        <t xml:space="preserve">======
ID#AAACEw7hOho
    (2026-08-03 10:52:02)
Codé automatiquement par dérivation de l'univers/catégorie + panier — AUTO · à valider</t>
      </text>
    </comment>
    <comment authorId="0" ref="M43">
      <text>
        <t xml:space="preserve">======
ID#AAACEw7hNLQ
    (2026-08-03 10:52:01)
Codé automatiquement par dérivation de l'univers/catégorie + panier — AUTO · à valider</t>
      </text>
    </comment>
    <comment authorId="0" ref="N43">
      <text>
        <t xml:space="preserve">======
ID#AAACEw7hMTg
    (2026-08-03 10:52:00)
Codé automatiquement par dérivation de l'univers/catégorie + panier — AUTO · à valider</t>
      </text>
    </comment>
    <comment authorId="0" ref="O43">
      <text>
        <t xml:space="preserve">======
ID#AAACEw7hNjk
    (2026-08-03 10:52:01)
Codé automatiquement par dérivation de l'univers/catégorie + panier — AUTO · à valider</t>
      </text>
    </comment>
    <comment authorId="0" ref="T175">
      <text>
        <t xml:space="preserve">======
ID#AAACEw7hN1A
Salima Benchekroun    (2026-08-03 10:52:01)
Source: villadesorangers.com · Confiance: high</t>
      </text>
    </comment>
    <comment authorId="0" ref="P43">
      <text>
        <t xml:space="preserve">======
ID#AAACEw7hORk
    (2026-08-03 10:52:02)
Codé automatiquement par dérivation de l'univers/catégorie + panier — AUTO · à valider</t>
      </text>
    </comment>
    <comment authorId="0" ref="Q43">
      <text>
        <t xml:space="preserve">======
ID#AAACEw7hOIw
    (2026-08-03 10:52:02)
Codé automatiquement par dérivation de l'univers/catégorie + panier — AUTO · à valider</t>
      </text>
    </comment>
    <comment authorId="0" ref="R43">
      <text>
        <t xml:space="preserve">======
ID#AAACEw7hNLw
    (2026-08-03 10:52:01)
Codé automatiquement par dérivation de l'univers/catégorie + panier — AUTO · à valider</t>
      </text>
    </comment>
    <comment authorId="0" ref="F110">
      <text>
        <t xml:space="preserve">======
ID#AAACEw7hLvM
tc={86852905-7DA1-4E6B-BBD5-415B3D78AAF8}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https://mylittlekech.com/activites-enfants-marrakech/</t>
      </text>
    </comment>
    <comment authorId="0" ref="I176">
      <text>
        <t xml:space="preserve">======
ID#AAACEw7hNb4
Salima Benchekroun    (2026-08-03 10:52:01)
Converti de 250–450 MAD (médiane 350, 1€=10,7 MAD). Tarif day pass indicatif. | Prix atypique · exclu du calcul de médiane. Beach / Pool — Entrée/teaser (autre produit) (méd. 110 €, BAS)</t>
      </text>
    </comment>
    <comment authorId="0" ref="K176">
      <text>
        <t xml:space="preserve">======
ID#AAACEw7hMg4
Salima Benchekroun    (2026-08-03 10:52:00)
Tags repris d'une fiche comparable (même activité) — à valider</t>
      </text>
    </comment>
    <comment authorId="0" ref="J44">
      <text>
        <t xml:space="preserve">======
ID#AAACEw7hOds
    (2026-08-03 10:52:02)
Codé automatiquement par dérivation de l'univers/catégorie + panier — AUTO · à valider</t>
      </text>
    </comment>
    <comment authorId="0" ref="K44">
      <text>
        <t xml:space="preserve">======
ID#AAACEw7hOUA
    (2026-08-03 10:52:02)
Codé automatiquement par dérivation de l'univers/catégorie + panier — AUTO · à valider</t>
      </text>
    </comment>
    <comment authorId="0" ref="L44">
      <text>
        <t xml:space="preserve">======
ID#AAACEw7hMoY
    (2026-08-03 10:52:00)
Codé automatiquement par dérivation de l'univers/catégorie + panier — AUTO · à valider</t>
      </text>
    </comment>
    <comment authorId="0" ref="M44">
      <text>
        <t xml:space="preserve">======
ID#AAACEw7hNrE
    (2026-08-03 10:52:01)
Codé automatiquement par dérivation de l'univers/catégorie + panier — AUTO · à valider</t>
      </text>
    </comment>
    <comment authorId="0" ref="N44">
      <text>
        <t xml:space="preserve">======
ID#AAACEw7hL9M
    (2026-08-03 10:52:00)
Codé automatiquement par dérivation de l'univers/catégorie + panier — AUTO · à valider</t>
      </text>
    </comment>
    <comment authorId="0" ref="O44">
      <text>
        <t xml:space="preserve">======
ID#AAACEw7hNHY
    (2026-08-03 10:52:01)
Codé automatiquement par dérivation de l'univers/catégorie + panier — AUTO · à valider</t>
      </text>
    </comment>
    <comment authorId="0" ref="P44">
      <text>
        <t xml:space="preserve">======
ID#AAACEw7hMFw
    (2026-08-03 10:52:00)
Codé automatiquement par dérivation de l'univers/catégorie + panier — AUTO · à valider</t>
      </text>
    </comment>
    <comment authorId="0" ref="Q44">
      <text>
        <t xml:space="preserve">======
ID#AAACEw7hOaQ
    (2026-08-03 10:52:02)
Codé automatiquement par dérivation de l'univers/catégorie + panier — AUTO · à valider</t>
      </text>
    </comment>
    <comment authorId="0" ref="T110">
      <text>
        <t xml:space="preserve">======
ID#AAACEw7hM8c
Salima Benchekroun    (2026-08-03 10:52:01)
Source: terresdamanar.com · Confiance: high</t>
      </text>
    </comment>
    <comment authorId="0" ref="R44">
      <text>
        <t xml:space="preserve">======
ID#AAACEw7hLz4
    (2026-08-03 10:52:00)
Codé automatiquement par dérivation de l'univers/catégorie + panier — AUTO · à valider</t>
      </text>
    </comment>
    <comment authorId="0" ref="I177">
      <text>
        <t xml:space="preserve">======
ID#AAACEw7hLu8
Salima Benchekroun    (2026-08-03 10:52:00)
Tarif indicatif dès 250 € (source : fiche prestataire fournie)</t>
      </text>
    </comment>
    <comment authorId="0" ref="K177">
      <text>
        <t xml:space="preserve">======
ID#AAACEw7hOfI
Salima Benchekroun    (2026-08-03 10:52:02)
Tags repris d'une fiche comparable (même activité) — à valider</t>
      </text>
    </comment>
    <comment authorId="0" ref="I111">
      <text>
        <t xml:space="preserve">======
ID#AAACEw7hOHw
tc={3AFE3A94-B436-421E-8DB7-881E7F517D4C}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11">
      <text>
        <t xml:space="preserve">======
ID#AAACEw7hNN4
Salima Benchekroun    (2026-08-03 10:52:01)
Tags repris d'une fiche comparable (même activité) — à valider</t>
      </text>
    </comment>
    <comment authorId="0" ref="J45">
      <text>
        <t xml:space="preserve">======
ID#AAACEw7hNYE
    (2026-08-03 10:52:01)
Codé automatiquement par dérivation de l'univers/catégorie + panier — AUTO · à valider</t>
      </text>
    </comment>
    <comment authorId="0" ref="K45">
      <text>
        <t xml:space="preserve">======
ID#AAACEw7hNkk
    (2026-08-03 10:52:01)
Codé automatiquement par dérivation de l'univers/catégorie + panier — AUTO · à valider</t>
      </text>
    </comment>
    <comment authorId="0" ref="L45">
      <text>
        <t xml:space="preserve">======
ID#AAACEw7hL9g
    (2026-08-03 10:52:00)
Codé automatiquement par dérivation de l'univers/catégorie + panier — AUTO · à valider</t>
      </text>
    </comment>
    <comment authorId="0" ref="M45">
      <text>
        <t xml:space="preserve">======
ID#AAACEw7hOLU
    (2026-08-03 10:52:02)
Codé automatiquement par dérivation de l'univers/catégorie + panier — AUTO · à valider</t>
      </text>
    </comment>
    <comment authorId="0" ref="N45">
      <text>
        <t xml:space="preserve">======
ID#AAACEw7hMbs
    (2026-08-03 10:52:00)
Codé automatiquement par dérivation de l'univers/catégorie + panier — AUTO · à valider</t>
      </text>
    </comment>
    <comment authorId="0" ref="O45">
      <text>
        <t xml:space="preserve">======
ID#AAACEw7hNa8
    (2026-08-03 10:52:01)
Codé automatiquement par dérivation de l'univers/catégorie + panier — AUTO · à valider</t>
      </text>
    </comment>
    <comment authorId="0" ref="T177">
      <text>
        <t xml:space="preserve">======
ID#AAACEw7hOFM
Salima Benchekroun    (2026-08-03 10:52:02)
Source: directory · Confiance: medium</t>
      </text>
    </comment>
    <comment authorId="0" ref="P45">
      <text>
        <t xml:space="preserve">======
ID#AAACEw7hOmM
    (2026-08-03 10:52:02)
Codé automatiquement par dérivation de l'univers/catégorie + panier — AUTO · à valider</t>
      </text>
    </comment>
    <comment authorId="0" ref="Q45">
      <text>
        <t xml:space="preserve">======
ID#AAACEw7hMc4
    (2026-08-03 10:52:00)
Codé automatiquement par dérivation de l'univers/catégorie + panier — AUTO · à valider</t>
      </text>
    </comment>
    <comment authorId="0" ref="T111">
      <text>
        <t xml:space="preserve">======
ID#AAACEw7hOA8
Salima Benchekroun    (2026-08-03 10:52:02)
Source: fairmont.com · Confiance: medium</t>
      </text>
    </comment>
    <comment authorId="0" ref="R45">
      <text>
        <t xml:space="preserve">======
ID#AAACEw7hOHQ
    (2026-08-03 10:52:02)
Codé automatiquement par dérivation de l'univers/catégorie + panier — AUTO · à valider</t>
      </text>
    </comment>
    <comment authorId="0" ref="I178">
      <text>
        <t xml:space="preserve">======
ID#AAACEw7hOQg
Salima Benchekroun    (2026-08-03 10:52:02)
Tarif indicatif dès 35 € (source : fiche prestataire fournie) | Prix atypique · exclu du calcul de médiane. Shooting — Entrée/teaser (autre produit) (méd. 255 €, BAS)</t>
      </text>
    </comment>
    <comment authorId="0" ref="I112">
      <text>
        <t xml:space="preserve">======
ID#AAACEw7hOXI
tc={CAD3135C-F152-475E-B838-EE9902CAAC4F}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78">
      <text>
        <t xml:space="preserve">======
ID#AAACEw7hL4w
Salima Benchekroun    (2026-08-03 10:52:00)
Tags repris d'une fiche comparable (même activité) — à valider</t>
      </text>
    </comment>
    <comment authorId="0" ref="K112">
      <text>
        <t xml:space="preserve">======
ID#AAACEw7hM0k
Salima Benchekroun    (2026-08-03 10:52:01)
Tags repris d'une fiche comparable (même activité) — à valider</t>
      </text>
    </comment>
    <comment authorId="0" ref="J46">
      <text>
        <t xml:space="preserve">======
ID#AAACEw7hOO4
    (2026-08-03 10:52:02)
Codé automatiquement par dérivation de l'univers/catégorie + panier — AUTO · à valider</t>
      </text>
    </comment>
    <comment authorId="0" ref="K46">
      <text>
        <t xml:space="preserve">======
ID#AAACEw7hMSo
    (2026-08-03 10:52:00)
Codé automatiquement par dérivation de l'univers/catégorie + panier — AUTO · à valider</t>
      </text>
    </comment>
    <comment authorId="0" ref="L46">
      <text>
        <t xml:space="preserve">======
ID#AAACEw7hLuc
    (2026-08-03 10:52:00)
Codé automatiquement par dérivation de l'univers/catégorie + panier — AUTO · à valider</t>
      </text>
    </comment>
    <comment authorId="0" ref="M46">
      <text>
        <t xml:space="preserve">======
ID#AAACEw7hMxQ
    (2026-08-03 10:52:01)
Codé automatiquement par dérivation de l'univers/catégorie + panier — AUTO · à valider</t>
      </text>
    </comment>
    <comment authorId="0" ref="N46">
      <text>
        <t xml:space="preserve">======
ID#AAACEw7hL-w
    (2026-08-03 10:52:00)
Codé automatiquement par dérivation de l'univers/catégorie + panier — AUTO · à valider</t>
      </text>
    </comment>
    <comment authorId="0" ref="O46">
      <text>
        <t xml:space="preserve">======
ID#AAACEw7hOj8
    (2026-08-03 10:52:02)
Codé automatiquement par dérivation de l'univers/catégorie + panier — AUTO · à valider</t>
      </text>
    </comment>
    <comment authorId="0" ref="T178">
      <text>
        <t xml:space="preserve">======
ID#AAACEw7hOBQ
Salima Benchekroun    (2026-08-03 10:52:02)
Source: fairmont.com · Confiance: medium</t>
      </text>
    </comment>
    <comment authorId="0" ref="P46">
      <text>
        <t xml:space="preserve">======
ID#AAACEw7hNmU
    (2026-08-03 10:52:01)
Codé automatiquement par dérivation de l'univers/catégorie + panier — AUTO · à valider</t>
      </text>
    </comment>
    <comment authorId="0" ref="Q46">
      <text>
        <t xml:space="preserve">======
ID#AAACEw7hNVE
    (2026-08-03 10:52:01)
Codé automatiquement par dérivation de l'univers/catégorie + panier — AUTO · à valider</t>
      </text>
    </comment>
    <comment authorId="0" ref="R46">
      <text>
        <t xml:space="preserve">======
ID#AAACEw7hOBw
    (2026-08-03 10:52:02)
Codé automatiquement par dérivation de l'univers/catégorie + panier — AUTO · à valider</t>
      </text>
    </comment>
    <comment authorId="0" ref="T112">
      <text>
        <t xml:space="preserve">======
ID#AAACEw7hMtE
Salima Benchekroun    (2026-08-03 10:52:01)
Source: oberoihotels.com · Confiance: medium</t>
      </text>
    </comment>
    <comment authorId="0" ref="I179">
      <text>
        <t xml:space="preserve">======
ID#AAACEw7hON8
tc={9BC0D646-A0AA-4810-B429-F7BADDF85CB2}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sur devis</t>
      </text>
    </comment>
    <comment authorId="0" ref="K179">
      <text>
        <t xml:space="preserve">======
ID#AAACEw7hNaM
Salima Benchekroun    (2026-08-03 10:52:01)
Tags repris d'une fiche comparable (même activité) — à valider</t>
      </text>
    </comment>
    <comment authorId="0" ref="I113">
      <text>
        <t xml:space="preserve">======
ID#AAACEw7hNKo
tc={845B4F51-EF87-4003-BE6B-41D28BD2BFB8}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13">
      <text>
        <t xml:space="preserve">======
ID#AAACEw7hNQQ
Salima Benchekroun    (2026-08-03 10:52:01)
Tags repris d'une fiche comparable (même activité) — à valider</t>
      </text>
    </comment>
    <comment authorId="0" ref="J47">
      <text>
        <t xml:space="preserve">======
ID#AAACEw7hNKk
    (2026-08-03 10:52:01)
Codé automatiquement par dérivation de l'univers/catégorie + panier — AUTO · à valider</t>
      </text>
    </comment>
    <comment authorId="0" ref="K47">
      <text>
        <t xml:space="preserve">======
ID#AAACEw7hMj8
    (2026-08-03 10:52:00)
Codé automatiquement par dérivation de l'univers/catégorie + panier — AUTO · à valider</t>
      </text>
    </comment>
    <comment authorId="0" ref="L47">
      <text>
        <t xml:space="preserve">======
ID#AAACEw7hOQ0
    (2026-08-03 10:52:02)
Codé automatiquement par dérivation de l'univers/catégorie + panier — AUTO · à valider</t>
      </text>
    </comment>
    <comment authorId="0" ref="M47">
      <text>
        <t xml:space="preserve">======
ID#AAACEw7hL5g
    (2026-08-03 10:52:00)
Codé automatiquement par dérivation de l'univers/catégorie + panier — AUTO · à valider</t>
      </text>
    </comment>
    <comment authorId="0" ref="N47">
      <text>
        <t xml:space="preserve">======
ID#AAACEw7hNwY
    (2026-08-03 10:52:01)
Codé automatiquement par dérivation de l'univers/catégorie + panier — AUTO · à valider</t>
      </text>
    </comment>
    <comment authorId="0" ref="O47">
      <text>
        <t xml:space="preserve">======
ID#AAACEw7hN3s
    (2026-08-03 10:52:02)
Codé automatiquement par dérivation de l'univers/catégorie + panier — AUTO · à valider</t>
      </text>
    </comment>
    <comment authorId="0" ref="T179">
      <text>
        <t xml:space="preserve">======
ID#AAACEw7hNxY
Salima Benchekroun    (2026-08-03 10:52:01)
Source: palaisnamaskar.com · Confiance: high</t>
      </text>
    </comment>
    <comment authorId="0" ref="P47">
      <text>
        <t xml:space="preserve">======
ID#AAACEw7hMbg
    (2026-08-03 10:52:00)
Codé automatiquement par dérivation de l'univers/catégorie + panier — AUTO · à valider</t>
      </text>
    </comment>
    <comment authorId="0" ref="Q47">
      <text>
        <t xml:space="preserve">======
ID#AAACEw7hMOo
    (2026-08-03 10:52:00)
Codé automatiquement par dérivation de l'univers/catégorie + panier — AUTO · à valider</t>
      </text>
    </comment>
    <comment authorId="0" ref="R47">
      <text>
        <t xml:space="preserve">======
ID#AAACEw7hMNI
    (2026-08-03 10:52:00)
Codé automatiquement par dérivation de l'univers/catégorie + panier — AUTO · à valider</t>
      </text>
    </comment>
    <comment authorId="0" ref="I180">
      <text>
        <t xml:space="preserve">======
ID#AAACEw7hNCs
tc={5015DCC0-A165-4AA0-BD2C-330ACE8B6541}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 | Prix atypique · exclu du calcul de médiane. Shooting — Standing ultra-luxe (autre tier) (méd. 255 €, HAUT)</t>
      </text>
    </comment>
    <comment authorId="0" ref="K180">
      <text>
        <t xml:space="preserve">======
ID#AAACEw7hOF4
Salima Benchekroun    (2026-08-03 10:52:02)
Tags repris d'une fiche comparable (même activité) — à valider</t>
      </text>
    </comment>
    <comment authorId="0" ref="I114">
      <text>
        <t xml:space="preserve">======
ID#AAACEw7hNZU
tc={9A582097-EAD6-4338-8A94-145F8102A4F3}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14">
      <text>
        <t xml:space="preserve">======
ID#AAACEw7hNXU
Salima Benchekroun    (2026-08-03 10:52:01)
Tags repris d'une fiche comparable (même activité) — à valider</t>
      </text>
    </comment>
    <comment authorId="0" ref="J48">
      <text>
        <t xml:space="preserve">======
ID#AAACEw7hL_4
    (2026-08-03 10:52:00)
Codé automatiquement par dérivation de l'univers/catégorie + panier — AUTO · à valider</t>
      </text>
    </comment>
    <comment authorId="0" ref="K48">
      <text>
        <t xml:space="preserve">======
ID#AAACEw7hOPA
    (2026-08-03 10:52:02)
Codé automatiquement par dérivation de l'univers/catégorie + panier — AUTO · à valider</t>
      </text>
    </comment>
    <comment authorId="0" ref="L48">
      <text>
        <t xml:space="preserve">======
ID#AAACEw7hMPc
    (2026-08-03 10:52:00)
Codé automatiquement par dérivation de l'univers/catégorie + panier — AUTO · à valider</t>
      </text>
    </comment>
    <comment authorId="0" ref="M48">
      <text>
        <t xml:space="preserve">======
ID#AAACEw7hNOo
    (2026-08-03 10:52:01)
Codé automatiquement par dérivation de l'univers/catégorie + panier — AUTO · à valider</t>
      </text>
    </comment>
    <comment authorId="0" ref="N48">
      <text>
        <t xml:space="preserve">======
ID#AAACEw7hN3o
    (2026-08-03 10:52:02)
Codé automatiquement par dérivation de l'univers/catégorie + panier — AUTO · à valider</t>
      </text>
    </comment>
    <comment authorId="0" ref="O48">
      <text>
        <t xml:space="preserve">======
ID#AAACEw7hOG8
    (2026-08-03 10:52:02)
Codé automatiquement par dérivation de l'univers/catégorie + panier — AUTO · à valider</t>
      </text>
    </comment>
    <comment authorId="0" ref="T180">
      <text>
        <t xml:space="preserve">======
ID#AAACEw7hNGY
Salima Benchekroun    (2026-08-03 10:52:01)
Source: mandarinoriental.com · Confiance: high</t>
      </text>
    </comment>
    <comment authorId="0" ref="P48">
      <text>
        <t xml:space="preserve">======
ID#AAACEw7hMQc
    (2026-08-03 10:52:00)
Codé automatiquement par dérivation de l'univers/catégorie + panier — AUTO · à valider</t>
      </text>
    </comment>
    <comment authorId="0" ref="Q48">
      <text>
        <t xml:space="preserve">======
ID#AAACEw7hMXc
    (2026-08-03 10:52:00)
Codé automatiquement par dérivation de l'univers/catégorie + panier — AUTO · à valider</t>
      </text>
    </comment>
    <comment authorId="0" ref="R48">
      <text>
        <t xml:space="preserve">======
ID#AAACEw7hMac
    (2026-08-03 10:52:00)
Codé automatiquement par dérivation de l'univers/catégorie + panier — AUTO · à valider</t>
      </text>
    </comment>
    <comment authorId="0" ref="I181">
      <text>
        <t xml:space="preserve">======
ID#AAACEw7hMxA
Salima Benchekroun    (2026-08-03 10:52:01)
Converti de 700 MAD (1€=10,7 MAD). Tarif indicatif dès. | Prix atypique · exclu du calcul de médiane. Shooting — Entrée/teaser (autre produit) (méd. 255 €, BAS)</t>
      </text>
    </comment>
    <comment authorId="0" ref="K181">
      <text>
        <t xml:space="preserve">======
ID#AAACEw7hNfE
Salima Benchekroun    (2026-08-03 10:52:01)
Tags repris d'une fiche comparable (même activité) — à valider</t>
      </text>
    </comment>
    <comment authorId="0" ref="I115">
      <text>
        <t xml:space="preserve">======
ID#AAACEw7hMhg
tc={04763E4A-B75C-49C0-8312-4815F88277CB}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15">
      <text>
        <t xml:space="preserve">======
ID#AAACEw7hL_I
Salima Benchekroun    (2026-08-03 10:52:00)
Tags repris d'une fiche comparable (même activité) — à valider</t>
      </text>
    </comment>
    <comment authorId="0" ref="J49">
      <text>
        <t xml:space="preserve">======
ID#AAACEw7hNrQ
    (2026-08-03 10:52:01)
Codé automatiquement par dérivation de l'univers/catégorie + panier — AUTO · à valider</t>
      </text>
    </comment>
    <comment authorId="0" ref="K49">
      <text>
        <t xml:space="preserve">======
ID#AAACEw7hMDY
    (2026-08-03 10:52:00)
Codé automatiquement par dérivation de l'univers/catégorie + panier — AUTO · à valider</t>
      </text>
    </comment>
    <comment authorId="0" ref="L49">
      <text>
        <t xml:space="preserve">======
ID#AAACEw7hNBQ
    (2026-08-03 10:52:01)
Codé automatiquement par dérivation de l'univers/catégorie + panier — AUTO · à valider</t>
      </text>
    </comment>
    <comment authorId="0" ref="M49">
      <text>
        <t xml:space="preserve">======
ID#AAACEw7hMVE
    (2026-08-03 10:52:00)
Codé automatiquement par dérivation de l'univers/catégorie + panier — AUTO · à valider</t>
      </text>
    </comment>
    <comment authorId="0" ref="N49">
      <text>
        <t xml:space="preserve">======
ID#AAACEw7hNdo
    (2026-08-03 10:52:01)
Codé automatiquement par dérivation de l'univers/catégorie + panier — AUTO · à valider</t>
      </text>
    </comment>
    <comment authorId="0" ref="O49">
      <text>
        <t xml:space="preserve">======
ID#AAACEw7hMxc
    (2026-08-03 10:52:01)
Codé automatiquement par dérivation de l'univers/catégorie + panier — AUTO · à valider</t>
      </text>
    </comment>
    <comment authorId="0" ref="P49">
      <text>
        <t xml:space="preserve">======
ID#AAACEw7hNjU
    (2026-08-03 10:52:01)
Codé automatiquement par dérivation de l'univers/catégorie + panier — AUTO · à valider</t>
      </text>
    </comment>
    <comment authorId="0" ref="T181">
      <text>
        <t xml:space="preserve">======
ID#AAACEw7hNRU
Salima Benchekroun    (2026-08-03 10:52:01)
Source: accor.com · Confiance: high</t>
      </text>
    </comment>
    <comment authorId="0" ref="Q49">
      <text>
        <t xml:space="preserve">======
ID#AAACEw7hM60
    (2026-08-03 10:52:01)
Codé automatiquement par dérivation de l'univers/catégorie + panier — AUTO · à valider</t>
      </text>
    </comment>
    <comment authorId="0" ref="R49">
      <text>
        <t xml:space="preserve">======
ID#AAACEw7hNzo
    (2026-08-03 10:52:01)
Codé automatiquement par dérivation de l'univers/catégorie + panier — AUTO · à valider</t>
      </text>
    </comment>
    <comment authorId="0" ref="I248">
      <text>
        <t xml:space="preserve">======
ID#AAACEw7hM4s
Salima Benchekroun    (2026-08-03 10:52:01)
Source: royalpalmtennismarrakech.com (site officiel) · prix indicatif à valider (non publié)</t>
      </text>
    </comment>
    <comment authorId="0" ref="I182">
      <text>
        <t xml:space="preserve">======
ID#AAACEw7hOHk
tc={97EC1E03-F097-4546-8AE9-A8A34195D4A0}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 | Prix atypique · exclu du calcul de médiane. Shooting — Standing ultra-luxe (autre tier) (méd. 255 €, HAUT)</t>
      </text>
    </comment>
    <comment authorId="0" ref="K182">
      <text>
        <t xml:space="preserve">======
ID#AAACEw7hNqg
Salima Benchekroun    (2026-08-03 10:52:01)
Tags repris d'une fiche comparable (même activité) — à valider</t>
      </text>
    </comment>
    <comment authorId="0" ref="I116">
      <text>
        <t xml:space="preserve">======
ID#AAACEw7hNcA
tc={3DABD001-2FC6-4F81-84FD-654094CD828B}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16">
      <text>
        <t xml:space="preserve">======
ID#AAACEw7hN6o
Salima Benchekroun    (2026-08-03 10:52:02)
Tags repris d'une fiche comparable (même activité) — à valider</t>
      </text>
    </comment>
    <comment authorId="0" ref="J50">
      <text>
        <t xml:space="preserve">======
ID#AAACEw7hNKw
    (2026-08-03 10:52:01)
Codé automatiquement par dérivation de l'univers/catégorie + panier — AUTO · à valider</t>
      </text>
    </comment>
    <comment authorId="0" ref="K50">
      <text>
        <t xml:space="preserve">======
ID#AAACEw7hOhw
    (2026-08-03 10:52:02)
Codé automatiquement par dérivation de l'univers/catégorie + panier — AUTO · à valider</t>
      </text>
    </comment>
    <comment authorId="0" ref="L50">
      <text>
        <t xml:space="preserve">======
ID#AAACEw7hMeI
    (2026-08-03 10:52:00)
Codé automatiquement par dérivation de l'univers/catégorie + panier — AUTO · à valider</t>
      </text>
    </comment>
    <comment authorId="0" ref="M50">
      <text>
        <t xml:space="preserve">======
ID#AAACEw7hMmo
    (2026-08-03 10:52:00)
Codé automatiquement par dérivation de l'univers/catégorie + panier — AUTO · à valider</t>
      </text>
    </comment>
    <comment authorId="0" ref="N50">
      <text>
        <t xml:space="preserve">======
ID#AAACEw7hLuU
    (2026-08-03 10:52:00)
Codé automatiquement par dérivation de l'univers/catégorie + panier — AUTO · à valider</t>
      </text>
    </comment>
    <comment authorId="0" ref="O50">
      <text>
        <t xml:space="preserve">======
ID#AAACEw7hOfM
    (2026-08-03 10:52:02)
Codé automatiquement par dérivation de l'univers/catégorie + panier — AUTO · à valider</t>
      </text>
    </comment>
    <comment authorId="0" ref="P50">
      <text>
        <t xml:space="preserve">======
ID#AAACEw7hMAM
    (2026-08-03 10:52:00)
Codé automatiquement par dérivation de l'univers/catégorie + panier — AUTO · à valider</t>
      </text>
    </comment>
    <comment authorId="0" ref="Q50">
      <text>
        <t xml:space="preserve">======
ID#AAACEw7hOEA
    (2026-08-03 10:52:02)
Codé automatiquement par dérivation de l'univers/catégorie + panier — AUTO · à valider</t>
      </text>
    </comment>
    <comment authorId="0" ref="R50">
      <text>
        <t xml:space="preserve">======
ID#AAACEw7hOSw
    (2026-08-03 10:52:02)
Codé automatiquement par dérivation de l'univers/catégorie + panier — AUTO · à valider</t>
      </text>
    </comment>
    <comment authorId="0" ref="I249">
      <text>
        <t xml:space="preserve">======
ID#AAACEw7hN_E
Salima Benchekroun    (2026-08-03 10:52:02)
Source officielle : oberoihotels.com (The Oberoi, Marrakech). Tarif officiel location court padel 400 MAD/60 min (~40 €) ; leçon privée 900 MAD.</t>
      </text>
    </comment>
    <comment authorId="0" ref="I183">
      <text>
        <t xml:space="preserve">======
ID#AAACEw7hNGc
Salima Benchekroun    (2026-08-03 10:52:01)
Converti de 650 MAD (1€=10,7 MAD). Tarif indicatif dès.</t>
      </text>
    </comment>
    <comment authorId="0" ref="K183">
      <text>
        <t xml:space="preserve">======
ID#AAACEw7hOFk
Salima Benchekroun    (2026-08-03 10:52:02)
Tags repris d'une fiche comparable (même activité) — à valider</t>
      </text>
    </comment>
    <comment authorId="0" ref="I117">
      <text>
        <t xml:space="preserve">======
ID#AAACEw7hL24
tc={319C0EDC-A6C4-4785-BE7D-7D2E9EDC01DC}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17">
      <text>
        <t xml:space="preserve">======
ID#AAACEw7hMUw
Salima Benchekroun    (2026-08-03 10:52:00)
Tags repris d'une fiche comparable (même activité) — à valider</t>
      </text>
    </comment>
    <comment authorId="0" ref="J51">
      <text>
        <t xml:space="preserve">======
ID#AAACEw7hN2o
    (2026-08-03 10:52:02)
Codé automatiquement par dérivation de l'univers/catégorie + panier — AUTO · à valider</t>
      </text>
    </comment>
    <comment authorId="0" ref="K51">
      <text>
        <t xml:space="preserve">======
ID#AAACEw7hNQE
    (2026-08-03 10:52:01)
Codé automatiquement par dérivation de l'univers/catégorie + panier — AUTO · à valider</t>
      </text>
    </comment>
    <comment authorId="0" ref="L51">
      <text>
        <t xml:space="preserve">======
ID#AAACEw7hMSE
    (2026-08-03 10:52:00)
Codé automatiquement par dérivation de l'univers/catégorie + panier — AUTO · à valider</t>
      </text>
    </comment>
    <comment authorId="0" ref="M51">
      <text>
        <t xml:space="preserve">======
ID#AAACEw7hNMM
    (2026-08-03 10:52:01)
Codé automatiquement par dérivation de l'univers/catégorie + panier — AUTO · à valider</t>
      </text>
    </comment>
    <comment authorId="0" ref="N51">
      <text>
        <t xml:space="preserve">======
ID#AAACEw7hMhE
    (2026-08-03 10:52:00)
Codé automatiquement par dérivation de l'univers/catégorie + panier — AUTO · à valider</t>
      </text>
    </comment>
    <comment authorId="0" ref="O51">
      <text>
        <t xml:space="preserve">======
ID#AAACEw7hOIg
    (2026-08-03 10:52:02)
Codé automatiquement par dérivation de l'univers/catégorie + panier — AUTO · à valider</t>
      </text>
    </comment>
    <comment authorId="0" ref="P51">
      <text>
        <t xml:space="preserve">======
ID#AAACEw7hMsM
    (2026-08-03 10:52:01)
Codé automatiquement par dérivation de l'univers/catégorie + panier — AUTO · à valider</t>
      </text>
    </comment>
    <comment authorId="0" ref="Q51">
      <text>
        <t xml:space="preserve">======
ID#AAACEw7hMV8
    (2026-08-03 10:52:00)
Codé automatiquement par dérivation de l'univers/catégorie + panier — AUTO · à valider</t>
      </text>
    </comment>
    <comment authorId="0" ref="R51">
      <text>
        <t xml:space="preserve">======
ID#AAACEw7hNyo
    (2026-08-03 10:52:01)
Codé automatiquement par dérivation de l'univers/catégorie + panier — AUTO · à valider</t>
      </text>
    </comment>
    <comment authorId="0" ref="T117">
      <text>
        <t xml:space="preserve">======
ID#AAACEw7hOnc
Salima Benchekroun    (2026-08-03 10:52:02)
Source: omyoga.ma · Confiance: high</t>
      </text>
    </comment>
    <comment authorId="0" ref="I250">
      <text>
        <t xml:space="preserve">======
ID#AAACEw7hMHY
Salima Benchekroun    (2026-08-03 10:52:00)
Source: atlastennispadelmarrakech.com (site officiel) · prix indicatif à valider (non publié)</t>
      </text>
    </comment>
    <comment authorId="0" ref="I184">
      <text>
        <t xml:space="preserve">======
ID#AAACEw7hNWQ
tc={F01B5112-D7D5-4A51-9C7B-3EFD61F71C0F}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I118">
      <text>
        <t xml:space="preserve">======
ID#AAACEw7hNz8
tc={91C1304E-CB08-4018-AACC-B3C9F1D4D223}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84">
      <text>
        <t xml:space="preserve">======
ID#AAACEw7hMEg
Salima Benchekroun    (2026-08-03 10:52:00)
Tags repris d'une fiche comparable (même activité) — à valider</t>
      </text>
    </comment>
    <comment authorId="0" ref="K118">
      <text>
        <t xml:space="preserve">======
ID#AAACEw7hMiQ
Salima Benchekroun    (2026-08-03 10:52:00)
Tags repris d'une fiche comparable (même activité) — à valider</t>
      </text>
    </comment>
    <comment authorId="0" ref="J52">
      <text>
        <t xml:space="preserve">======
ID#AAACEw7hMXY
    (2026-08-03 10:52:00)
Codé automatiquement par dérivation de l'univers/catégorie + panier — AUTO · à valider</t>
      </text>
    </comment>
    <comment authorId="0" ref="K52">
      <text>
        <t xml:space="preserve">======
ID#AAACEw7hNVc
    (2026-08-03 10:52:01)
Codé automatiquement par dérivation de l'univers/catégorie + panier — AUTO · à valider</t>
      </text>
    </comment>
    <comment authorId="0" ref="L52">
      <text>
        <t xml:space="preserve">======
ID#AAACEw7hNJs
    (2026-08-03 10:52:01)
Codé automatiquement par dérivation de l'univers/catégorie + panier — AUTO · à valider</t>
      </text>
    </comment>
    <comment authorId="0" ref="M52">
      <text>
        <t xml:space="preserve">======
ID#AAACEw7hL1k
    (2026-08-03 10:52:00)
Codé automatiquement par dérivation de l'univers/catégorie + panier — AUTO · à valider</t>
      </text>
    </comment>
    <comment authorId="0" ref="N52">
      <text>
        <t xml:space="preserve">======
ID#AAACEw7hNZE
    (2026-08-03 10:52:01)
Codé automatiquement par dérivation de l'univers/catégorie + panier — AUTO · à valider</t>
      </text>
    </comment>
    <comment authorId="0" ref="O52">
      <text>
        <t xml:space="preserve">======
ID#AAACEw7hOeo
    (2026-08-03 10:52:02)
Codé automatiquement par dérivation de l'univers/catégorie + panier — AUTO · à valider</t>
      </text>
    </comment>
    <comment authorId="0" ref="P52">
      <text>
        <t xml:space="preserve">======
ID#AAACEw7hOCY
    (2026-08-03 10:52:02)
Codé automatiquement par dérivation de l'univers/catégorie + panier — AUTO · à valider</t>
      </text>
    </comment>
    <comment authorId="0" ref="Q52">
      <text>
        <t xml:space="preserve">======
ID#AAACEw7hNDE
    (2026-08-03 10:52:01)
Codé automatiquement par dérivation de l'univers/catégorie + panier — AUTO · à valider</t>
      </text>
    </comment>
    <comment authorId="0" ref="R52">
      <text>
        <t xml:space="preserve">======
ID#AAACEw7hOnY
    (2026-08-03 10:52:02)
Codé automatiquement par dérivation de l'univers/catégorie + panier — AUTO · à valider</t>
      </text>
    </comment>
    <comment authorId="0" ref="I251">
      <text>
        <t xml:space="preserve">======
ID#AAACEw7hM2Q
Salima Benchekroun    (2026-08-03 10:52:01)
Source: urbanpadelmarrakech.com (site officiel) · prix indicatif à valider (non publié)</t>
      </text>
    </comment>
    <comment authorId="0" ref="I185">
      <text>
        <t xml:space="preserve">======
ID#AAACEw7hMiE
tc={A73B0BAC-4097-4A78-B151-F2F03606340C}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I119">
      <text>
        <t xml:space="preserve">======
ID#AAACEw7hNaA
tc={6B2386E3-FB66-4EBA-8D89-3CA54F29352F}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85">
      <text>
        <t xml:space="preserve">======
ID#AAACEw7hNNQ
Salima Benchekroun    (2026-08-03 10:52:01)
Tags repris d'une fiche comparable (même activité) — à valider</t>
      </text>
    </comment>
    <comment authorId="0" ref="K119">
      <text>
        <t xml:space="preserve">======
ID#AAACEw7hOgA
Salima Benchekroun    (2026-08-03 10:52:02)
Tags repris d'une fiche comparable (même activité) — à valider</t>
      </text>
    </comment>
    <comment authorId="0" ref="J53">
      <text>
        <t xml:space="preserve">======
ID#AAACEw7hM3g
    (2026-08-03 10:52:01)
Codé automatiquement par dérivation de l'univers/catégorie + panier — AUTO · à valider</t>
      </text>
    </comment>
    <comment authorId="0" ref="K53">
      <text>
        <t xml:space="preserve">======
ID#AAACEw7hNDI
    (2026-08-03 10:52:01)
Codé automatiquement par dérivation de l'univers/catégorie + panier — AUTO · à valider</t>
      </text>
    </comment>
    <comment authorId="0" ref="L53">
      <text>
        <t xml:space="preserve">======
ID#AAACEw7hMx8
    (2026-08-03 10:52:01)
Codé automatiquement par dérivation de l'univers/catégorie + panier — AUTO · à valider</t>
      </text>
    </comment>
    <comment authorId="0" ref="M53">
      <text>
        <t xml:space="preserve">======
ID#AAACEw7hNus
    (2026-08-03 10:52:01)
Codé automatiquement par dérivation de l'univers/catégorie + panier — AUTO · à valider</t>
      </text>
    </comment>
    <comment authorId="0" ref="N53">
      <text>
        <t xml:space="preserve">======
ID#AAACEw7hNYg
    (2026-08-03 10:52:01)
Codé automatiquement par dérivation de l'univers/catégorie + panier — AUTO · à valider</t>
      </text>
    </comment>
    <comment authorId="0" ref="O53">
      <text>
        <t xml:space="preserve">======
ID#AAACEw7hOOw
    (2026-08-03 10:52:02)
Codé automatiquement par dérivation de l'univers/catégorie + panier — AUTO · à valider</t>
      </text>
    </comment>
    <comment authorId="0" ref="P53">
      <text>
        <t xml:space="preserve">======
ID#AAACEw7hOe8
    (2026-08-03 10:52:02)
Codé automatiquement par dérivation de l'univers/catégorie + panier — AUTO · à valider</t>
      </text>
    </comment>
    <comment authorId="0" ref="Q53">
      <text>
        <t xml:space="preserve">======
ID#AAACEw7hOaA
    (2026-08-03 10:52:02)
Codé automatiquement par dérivation de l'univers/catégorie + panier — AUTO · à valider</t>
      </text>
    </comment>
    <comment authorId="0" ref="R53">
      <text>
        <t xml:space="preserve">======
ID#AAACEw7hL7U
    (2026-08-03 10:52:00)
Codé automatiquement par dérivation de l'univers/catégorie + panier — AUTO · à valider</t>
      </text>
    </comment>
    <comment authorId="0" ref="I252">
      <text>
        <t xml:space="preserve">======
ID#AAACEw7hMS0
Salima Benchekroun    (2026-08-03 10:52:00)
Source officielle : facebook.com/palmtennisclub &amp; openresa.com/club/palmtennisclub (Palmeraie, Rocade Nord). Prix indicatif à valider (non publié).</t>
      </text>
    </comment>
    <comment authorId="0" ref="I186">
      <text>
        <t xml:space="preserve">======
ID#AAACEw7hOcQ
tc={FBADE16E-936F-4AA2-BAE1-2D3416EBF389}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cookly.me (2026)</t>
      </text>
    </comment>
    <comment authorId="0" ref="I120">
      <text>
        <t xml:space="preserve">======
ID#AAACEw7hNMs
tc={0BC850E3-924B-4EA4-8DFD-062CD22EB3D6}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kiozeyoga.com (2026)</t>
      </text>
    </comment>
    <comment authorId="0" ref="K186">
      <text>
        <t xml:space="preserve">======
ID#AAACEw7hMPI
Salima Benchekroun    (2026-08-03 10:52:00)
Tags repris d'une fiche comparable (même activité) — à valider</t>
      </text>
    </comment>
    <comment authorId="0" ref="K120">
      <text>
        <t xml:space="preserve">======
ID#AAACEw7hNzs
Salima Benchekroun    (2026-08-03 10:52:01)
Tags repris d'une fiche comparable (même activité) — à valider</t>
      </text>
    </comment>
    <comment authorId="0" ref="J54">
      <text>
        <t xml:space="preserve">======
ID#AAACEw7hNso
    (2026-08-03 10:52:01)
Codé automatiquement par dérivation de l'univers/catégorie + panier — AUTO · à valider</t>
      </text>
    </comment>
    <comment authorId="0" ref="K54">
      <text>
        <t xml:space="preserve">======
ID#AAACEw7hNaw
    (2026-08-03 10:52:01)
Codé automatiquement par dérivation de l'univers/catégorie + panier — AUTO · à valider</t>
      </text>
    </comment>
    <comment authorId="0" ref="L54">
      <text>
        <t xml:space="preserve">======
ID#AAACEw7hOH4
    (2026-08-03 10:52:02)
Codé automatiquement par dérivation de l'univers/catégorie + panier — AUTO · à valider</t>
      </text>
    </comment>
    <comment authorId="0" ref="M54">
      <text>
        <t xml:space="preserve">======
ID#AAACEw7hNE8
    (2026-08-03 10:52:01)
Codé automatiquement par dérivation de l'univers/catégorie + panier — AUTO · à valider</t>
      </text>
    </comment>
    <comment authorId="0" ref="N54">
      <text>
        <t xml:space="preserve">======
ID#AAACEw7hMmU
    (2026-08-03 10:52:00)
Codé automatiquement par dérivation de l'univers/catégorie + panier — AUTO · à valider</t>
      </text>
    </comment>
    <comment authorId="0" ref="O54">
      <text>
        <t xml:space="preserve">======
ID#AAACEw7hNPU
    (2026-08-03 10:52:01)
Codé automatiquement par dérivation de l'univers/catégorie + panier — AUTO · à valider</t>
      </text>
    </comment>
    <comment authorId="0" ref="P54">
      <text>
        <t xml:space="preserve">======
ID#AAACEw7hN70
    (2026-08-03 10:52:02)
Codé automatiquement par dérivation de l'univers/catégorie + panier — AUTO · à valider</t>
      </text>
    </comment>
    <comment authorId="0" ref="Q54">
      <text>
        <t xml:space="preserve">======
ID#AAACEw7hMDg
    (2026-08-03 10:52:00)
Codé automatiquement par dérivation de l'univers/catégorie + panier — AUTO · à valider</t>
      </text>
    </comment>
    <comment authorId="0" ref="R54">
      <text>
        <t xml:space="preserve">======
ID#AAACEw7hNDU
    (2026-08-03 10:52:01)
Codé automatiquement par dérivation de l'univers/catégorie + panier — AUTO · à valider</t>
      </text>
    </comment>
    <comment authorId="0" ref="H253">
      <text>
        <t xml:space="preserve">======
ID#AAACEw7hMyc
Salima Benchekroun    (2026-08-03 10:52:01)
Source officielle : marrakechgrandprix.com/marrakech-kart-racing</t>
      </text>
    </comment>
    <comment authorId="0" ref="I253">
      <text>
        <t xml:space="preserve">======
ID#AAACEw7hLvc
Salima Benchekroun    (2026-08-03 10:52:00)
Source officielle : marrakechgrandprix.com (Circuit Automobile Marrakech, tél +212 660 10 15 13). Prix indicatif à valider (non publié sur le site officiel).</t>
      </text>
    </comment>
    <comment authorId="0" ref="I187">
      <text>
        <t xml:space="preserve">======
ID#AAACEw7hNjc
Salima Benchekroun    (2026-08-03 10:52:01)
Converti de 350 MAD (1€=10,7 MAD). Tarif indicatif dès.</t>
      </text>
    </comment>
    <comment authorId="0" ref="K187">
      <text>
        <t xml:space="preserve">======
ID#AAACEw7hOKA
Salima Benchekroun    (2026-08-03 10:52:02)
Tags repris d'une fiche comparable (même activité) — à valider</t>
      </text>
    </comment>
    <comment authorId="0" ref="I121">
      <text>
        <t xml:space="preserve">======
ID#AAACEw7hOD0
tc={182D6E7D-6BEB-47C4-A1C9-BEDB45DC06B1}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21">
      <text>
        <t xml:space="preserve">======
ID#AAACEw7hMG8
Salima Benchekroun    (2026-08-03 10:52:00)
Tags repris d'une fiche comparable (même activité) — à valider</t>
      </text>
    </comment>
    <comment authorId="0" ref="J55">
      <text>
        <t xml:space="preserve">======
ID#AAACEw7hN2s
    (2026-08-03 10:52:02)
Codé automatiquement par dérivation de l'univers/catégorie + panier — AUTO · à valider</t>
      </text>
    </comment>
    <comment authorId="0" ref="K55">
      <text>
        <t xml:space="preserve">======
ID#AAACEw7hMOY
    (2026-08-03 10:52:00)
Codé automatiquement par dérivation de l'univers/catégorie + panier — AUTO · à valider</t>
      </text>
    </comment>
    <comment authorId="0" ref="L55">
      <text>
        <t xml:space="preserve">======
ID#AAACEw7hNhI
    (2026-08-03 10:52:01)
Codé automatiquement par dérivation de l'univers/catégorie + panier — AUTO · à valider</t>
      </text>
    </comment>
    <comment authorId="0" ref="M55">
      <text>
        <t xml:space="preserve">======
ID#AAACEw7hNW4
    (2026-08-03 10:52:01)
Codé automatiquement par dérivation de l'univers/catégorie + panier — AUTO · à valider</t>
      </text>
    </comment>
    <comment authorId="0" ref="N55">
      <text>
        <t xml:space="preserve">======
ID#AAACEw7hL3M
    (2026-08-03 10:52:00)
Codé automatiquement par dérivation de l'univers/catégorie + panier — AUTO · à valider</t>
      </text>
    </comment>
    <comment authorId="0" ref="O55">
      <text>
        <t xml:space="preserve">======
ID#AAACEw7hN4M
    (2026-08-03 10:52:02)
Codé automatiquement par dérivation de l'univers/catégorie + panier — AUTO · à valider</t>
      </text>
    </comment>
    <comment authorId="0" ref="P55">
      <text>
        <t xml:space="preserve">======
ID#AAACEw7hMbw
    (2026-08-03 10:52:00)
Codé automatiquement par dérivation de l'univers/catégorie + panier — AUTO · à valider</t>
      </text>
    </comment>
    <comment authorId="0" ref="Q55">
      <text>
        <t xml:space="preserve">======
ID#AAACEw7hOBI
    (2026-08-03 10:52:02)
Codé automatiquement par dérivation de l'univers/catégorie + panier — AUTO · à valider</t>
      </text>
    </comment>
    <comment authorId="0" ref="R55">
      <text>
        <t xml:space="preserve">======
ID#AAACEw7hL1Y
    (2026-08-03 10:52:00)
Codé automatiquement par dérivation de l'univers/catégorie + panier — AUTO · à valider</t>
      </text>
    </comment>
    <comment authorId="0" ref="I188">
      <text>
        <t xml:space="preserve">======
ID#AAACEw7hMng
tc={AA2E5989-43F5-41AF-AE29-92E1123EAE2D}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I122">
      <text>
        <t xml:space="preserve">======
ID#AAACEw7hNCE
tc={FCE2D9BF-59A0-45FC-9876-3F157DD96D49}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88">
      <text>
        <t xml:space="preserve">======
ID#AAACEw7hL7M
Salima Benchekroun    (2026-08-03 10:52:00)
Tags repris d'une fiche comparable (même activité) — à valider</t>
      </text>
    </comment>
    <comment authorId="0" ref="K122">
      <text>
        <t xml:space="preserve">======
ID#AAACEw7hLxc
Salima Benchekroun    (2026-08-03 10:52:00)
Tags repris d'une fiche comparable (même activité) — à valider</t>
      </text>
    </comment>
    <comment authorId="0" ref="J56">
      <text>
        <t xml:space="preserve">======
ID#AAACEw7hMMc
    (2026-08-03 10:52:00)
Codé automatiquement par dérivation de l'univers/catégorie + panier — AUTO · à valider</t>
      </text>
    </comment>
    <comment authorId="0" ref="K56">
      <text>
        <t xml:space="preserve">======
ID#AAACEw7hL3Y
    (2026-08-03 10:52:00)
Codé automatiquement par dérivation de l'univers/catégorie + panier — AUTO · à valider</t>
      </text>
    </comment>
    <comment authorId="0" ref="L56">
      <text>
        <t xml:space="preserve">======
ID#AAACEw7hOH0
    (2026-08-03 10:52:02)
Codé automatiquement par dérivation de l'univers/catégorie + panier — AUTO · à valider</t>
      </text>
    </comment>
    <comment authorId="0" ref="M56">
      <text>
        <t xml:space="preserve">======
ID#AAACEw7hOSY
    (2026-08-03 10:52:02)
Codé automatiquement par dérivation de l'univers/catégorie + panier — AUTO · à valider</t>
      </text>
    </comment>
    <comment authorId="0" ref="N56">
      <text>
        <t xml:space="preserve">======
ID#AAACEw7hM0w
    (2026-08-03 10:52:01)
Codé automatiquement par dérivation de l'univers/catégorie + panier — AUTO · à valider</t>
      </text>
    </comment>
    <comment authorId="0" ref="O56">
      <text>
        <t xml:space="preserve">======
ID#AAACEw7hNPo
    (2026-08-03 10:52:01)
Codé automatiquement par dérivation de l'univers/catégorie + panier — AUTO · à valider</t>
      </text>
    </comment>
    <comment authorId="0" ref="P56">
      <text>
        <t xml:space="preserve">======
ID#AAACEw7hMAg
    (2026-08-03 10:52:00)
Codé automatiquement par dérivation de l'univers/catégorie + panier — AUTO · à valider</t>
      </text>
    </comment>
    <comment authorId="0" ref="Q56">
      <text>
        <t xml:space="preserve">======
ID#AAACEw7hMlY
    (2026-08-03 10:52:00)
Codé automatiquement par dérivation de l'univers/catégorie + panier — AUTO · à valider</t>
      </text>
    </comment>
    <comment authorId="0" ref="T122">
      <text>
        <t xml:space="preserve">======
ID#AAACEw7hNdE
Salima Benchekroun    (2026-08-03 10:52:01)
Source: hyatt.com · Confiance: high</t>
      </text>
    </comment>
    <comment authorId="0" ref="R56">
      <text>
        <t xml:space="preserve">======
ID#AAACEw7hNQY
    (2026-08-03 10:52:01)
Codé automatiquement par dérivation de l'univers/catégorie + panier — AUTO · à valider</t>
      </text>
    </comment>
    <comment authorId="0" ref="T56">
      <text>
        <t xml:space="preserve">======
ID#AAACEw7hNIU
    (2026-08-03 10:52:01)
Téléphone via Google Places / établissement (juin 2026)</t>
      </text>
    </comment>
    <comment authorId="0" ref="I189">
      <text>
        <t xml:space="preserve">======
ID#AAACEw7hNaQ
tc={37353E87-D67B-4EC0-94F2-B59A03648F37}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I123">
      <text>
        <t xml:space="preserve">======
ID#AAACEw7hM6k
tc={32CBB5CB-D394-4C54-B4AC-A10936DA334E}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89">
      <text>
        <t xml:space="preserve">======
ID#AAACEw7hMXM
Salima Benchekroun    (2026-08-03 10:52:00)
Tags repris d'une fiche comparable (même activité) — à valider</t>
      </text>
    </comment>
    <comment authorId="0" ref="K123">
      <text>
        <t xml:space="preserve">======
ID#AAACEw7hNK8
Salima Benchekroun    (2026-08-03 10:52:01)
Tags repris d'une fiche comparable (même activité) — à valider</t>
      </text>
    </comment>
    <comment authorId="0" ref="J57">
      <text>
        <t xml:space="preserve">======
ID#AAACEw7hODg
    (2026-08-03 10:52:02)
Codé automatiquement par dérivation de l'univers/catégorie + panier — AUTO · à valider</t>
      </text>
    </comment>
    <comment authorId="0" ref="K57">
      <text>
        <t xml:space="preserve">======
ID#AAACEw7hMlw
    (2026-08-03 10:52:00)
Codé automatiquement par dérivation de l'univers/catégorie + panier — AUTO · à valider</t>
      </text>
    </comment>
    <comment authorId="0" ref="L57">
      <text>
        <t xml:space="preserve">======
ID#AAACEw7hNsY
    (2026-08-03 10:52:01)
Codé automatiquement par dérivation de l'univers/catégorie + panier — AUTO · à valider</t>
      </text>
    </comment>
    <comment authorId="0" ref="M57">
      <text>
        <t xml:space="preserve">======
ID#AAACEw7hMEU
    (2026-08-03 10:52:00)
Codé automatiquement par dérivation de l'univers/catégorie + panier — AUTO · à valider</t>
      </text>
    </comment>
    <comment authorId="0" ref="N57">
      <text>
        <t xml:space="preserve">======
ID#AAACEw7hM48
    (2026-08-03 10:52:01)
Codé automatiquement par dérivation de l'univers/catégorie + panier — AUTO · à valider</t>
      </text>
    </comment>
    <comment authorId="0" ref="O57">
      <text>
        <t xml:space="preserve">======
ID#AAACEw7hNbc
    (2026-08-03 10:52:01)
Codé automatiquement par dérivation de l'univers/catégorie + panier — AUTO · à valider</t>
      </text>
    </comment>
    <comment authorId="0" ref="P57">
      <text>
        <t xml:space="preserve">======
ID#AAACEw7hN9s
    (2026-08-03 10:52:02)
Codé automatiquement par dérivation de l'univers/catégorie + panier — AUTO · à valider</t>
      </text>
    </comment>
    <comment authorId="0" ref="Q57">
      <text>
        <t xml:space="preserve">======
ID#AAACEw7hNFw
    (2026-08-03 10:52:01)
Codé automatiquement par dérivation de l'univers/catégorie + panier — AUTO · à valider</t>
      </text>
    </comment>
    <comment authorId="0" ref="T123">
      <text>
        <t xml:space="preserve">======
ID#AAACEw7hOHs
Salima Benchekroun    (2026-08-03 10:52:02)
Source: oberoihotels.com · Confiance: medium</t>
      </text>
    </comment>
    <comment authorId="0" ref="R57">
      <text>
        <t xml:space="preserve">======
ID#AAACEw7hMRE
    (2026-08-03 10:52:00)
Codé automatiquement par dérivation de l'univers/catégorie + panier — AUTO · à valider</t>
      </text>
    </comment>
    <comment authorId="0" ref="T57">
      <text>
        <t xml:space="preserve">======
ID#AAACEw7hNZo
    (2026-08-03 10:52:01)
Téléphone via Google Places / établissement (juin 2026)</t>
      </text>
    </comment>
    <comment authorId="0" ref="I190">
      <text>
        <t xml:space="preserve">======
ID#AAACEw7hOT4
tc={EC136DBC-17DB-4F99-AC43-B07C4384F406}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marrakechprivate.com (2026) / pers</t>
      </text>
    </comment>
    <comment authorId="0" ref="I124">
      <text>
        <t xml:space="preserve">======
ID#AAACEw7hNxs
tc={489B2747-E883-4090-9310-7F5887013CC0}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90">
      <text>
        <t xml:space="preserve">======
ID#AAACEw7hM7o
Salima Benchekroun    (2026-08-03 10:52:01)
Tags repris d'une fiche comparable (même activité) — à valider</t>
      </text>
    </comment>
    <comment authorId="0" ref="K124">
      <text>
        <t xml:space="preserve">======
ID#AAACEw7hNys
Salima Benchekroun    (2026-08-03 10:52:01)
Tags repris d'une fiche comparable (même activité) — à valider</t>
      </text>
    </comment>
    <comment authorId="0" ref="J58">
      <text>
        <t xml:space="preserve">======
ID#AAACEw7hNhY
    (2026-08-03 10:52:01)
Codé automatiquement par dérivation de l'univers/catégorie + panier — AUTO · à valider</t>
      </text>
    </comment>
    <comment authorId="0" ref="K58">
      <text>
        <t xml:space="preserve">======
ID#AAACEw7hMjw
    (2026-08-03 10:52:00)
Codé automatiquement par dérivation de l'univers/catégorie + panier — AUTO · à valider</t>
      </text>
    </comment>
    <comment authorId="0" ref="L58">
      <text>
        <t xml:space="preserve">======
ID#AAACEw7hOKs
    (2026-08-03 10:52:02)
Codé automatiquement par dérivation de l'univers/catégorie + panier — AUTO · à valider</t>
      </text>
    </comment>
    <comment authorId="0" ref="M58">
      <text>
        <t xml:space="preserve">======
ID#AAACEw7hNmQ
    (2026-08-03 10:52:01)
Codé automatiquement par dérivation de l'univers/catégorie + panier — AUTO · à valider</t>
      </text>
    </comment>
    <comment authorId="0" ref="N58">
      <text>
        <t xml:space="preserve">======
ID#AAACEw7hMmI
    (2026-08-03 10:52:00)
Codé automatiquement par dérivation de l'univers/catégorie + panier — AUTO · à valider</t>
      </text>
    </comment>
    <comment authorId="0" ref="O58">
      <text>
        <t xml:space="preserve">======
ID#AAACEw7hNog
    (2026-08-03 10:52:01)
Codé automatiquement par dérivation de l'univers/catégorie + panier — AUTO · à valider</t>
      </text>
    </comment>
    <comment authorId="0" ref="P58">
      <text>
        <t xml:space="preserve">======
ID#AAACEw7hNyA
    (2026-08-03 10:52:01)
Codé automatiquement par dérivation de l'univers/catégorie + panier — AUTO · à valider</t>
      </text>
    </comment>
    <comment authorId="0" ref="T190">
      <text>
        <t xml:space="preserve">======
ID#AAACEw7hMjA
Salima Benchekroun    (2026-08-03 10:52:00)
Source: fairmont.com · Confiance: medium</t>
      </text>
    </comment>
    <comment authorId="0" ref="Q58">
      <text>
        <t xml:space="preserve">======
ID#AAACEw7hMyU
    (2026-08-03 10:52:01)
Codé automatiquement par dérivation de l'univers/catégorie + panier — AUTO · à valider</t>
      </text>
    </comment>
    <comment authorId="0" ref="R58">
      <text>
        <t xml:space="preserve">======
ID#AAACEw7hMe8
    (2026-08-03 10:52:00)
Codé automatiquement par dérivation de l'univers/catégorie + panier — AUTO · à valider</t>
      </text>
    </comment>
    <comment authorId="0" ref="T58">
      <text>
        <t xml:space="preserve">======
ID#AAACEw7hOYY
    (2026-08-03 10:52:02)
Téléphone via Google Places / établissement (juin 2026)</t>
      </text>
    </comment>
    <comment authorId="0" ref="I191">
      <text>
        <t xml:space="preserve">======
ID#AAACEw7hNTA
Salima Benchekroun    (2026-08-03 10:52:01)
Converti de 250–450 MAD (médiane 350, 1€=10,7 MAD). Tarif day pass indicatif. | Prix atypique · exclu du calcul de médiane. Beach / Pool — Entrée/teaser (autre produit) (méd. 110 €, BAS)</t>
      </text>
    </comment>
    <comment authorId="0" ref="K191">
      <text>
        <t xml:space="preserve">======
ID#AAACEw7hNwc
Salima Benchekroun    (2026-08-03 10:52:01)
Tags repris d'une fiche comparable (même activité) — à valider</t>
      </text>
    </comment>
    <comment authorId="0" ref="I125">
      <text>
        <t xml:space="preserve">======
ID#AAACEw7hMQQ
tc={ACFD7900-B6FD-4596-90F9-1226877D408B}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25">
      <text>
        <t xml:space="preserve">======
ID#AAACEw7hNao
Salima Benchekroun    (2026-08-03 10:52:01)
Tags repris d'une fiche comparable (même activité) — à valider</t>
      </text>
    </comment>
    <comment authorId="0" ref="J59">
      <text>
        <t xml:space="preserve">======
ID#AAACEw7hN9g
    (2026-08-03 10:52:02)
Codé automatiquement par dérivation de l'univers/catégorie + panier — AUTO · à valider</t>
      </text>
    </comment>
    <comment authorId="0" ref="K59">
      <text>
        <t xml:space="preserve">======
ID#AAACEw7hOCA
    (2026-08-03 10:52:02)
Codé automatiquement par dérivation de l'univers/catégorie + panier — AUTO · à valider</t>
      </text>
    </comment>
    <comment authorId="0" ref="L59">
      <text>
        <t xml:space="preserve">======
ID#AAACEw7hNp0
    (2026-08-03 10:52:01)
Codé automatiquement par dérivation de l'univers/catégorie + panier — AUTO · à valider</t>
      </text>
    </comment>
    <comment authorId="0" ref="M59">
      <text>
        <t xml:space="preserve">======
ID#AAACEw7hL1E
    (2026-08-03 10:52:00)
Codé automatiquement par dérivation de l'univers/catégorie + panier — AUTO · à valider</t>
      </text>
    </comment>
    <comment authorId="0" ref="N59">
      <text>
        <t xml:space="preserve">======
ID#AAACEw7hM1Q
    (2026-08-03 10:52:01)
Codé automatiquement par dérivation de l'univers/catégorie + panier — AUTO · à valider</t>
      </text>
    </comment>
    <comment authorId="0" ref="O59">
      <text>
        <t xml:space="preserve">======
ID#AAACEw7hNjQ
    (2026-08-03 10:52:01)
Codé automatiquement par dérivation de l'univers/catégorie + panier — AUTO · à valider</t>
      </text>
    </comment>
    <comment authorId="0" ref="T191">
      <text>
        <t xml:space="preserve">======
ID#AAACEw7hNrc
Salima Benchekroun    (2026-08-03 10:52:01)
Source: mandarinoriental.com · Confiance: high</t>
      </text>
    </comment>
    <comment authorId="0" ref="P59">
      <text>
        <t xml:space="preserve">======
ID#AAACEw7hOm4
    (2026-08-03 10:52:02)
Codé automatiquement par dérivation de l'univers/catégorie + panier — AUTO · à valider</t>
      </text>
    </comment>
    <comment authorId="0" ref="Q59">
      <text>
        <t xml:space="preserve">======
ID#AAACEw7hMVg
    (2026-08-03 10:52:00)
Codé automatiquement par dérivation de l'univers/catégorie + panier — AUTO · à valider</t>
      </text>
    </comment>
    <comment authorId="0" ref="R59">
      <text>
        <t xml:space="preserve">======
ID#AAACEw7hNTk
    (2026-08-03 10:52:01)
Codé automatiquement par dérivation de l'univers/catégorie + panier — AUTO · à valider</t>
      </text>
    </comment>
    <comment authorId="0" ref="I192">
      <text>
        <t xml:space="preserve">======
ID#AAACEw7hMJ8
Salima Benchekroun    (2026-08-03 10:52:00)
Converti de 850 MAD green fee (1€=10,7 MAD). Tarif indicatif dès.</t>
      </text>
    </comment>
    <comment authorId="0" ref="K192">
      <text>
        <t xml:space="preserve">======
ID#AAACEw7hMhk
Salima Benchekroun    (2026-08-03 10:52:00)
Tags repris d'une fiche comparable (même activité) — à valider</t>
      </text>
    </comment>
    <comment authorId="0" ref="I126">
      <text>
        <t xml:space="preserve">======
ID#AAACEw7hMg8
tc={52BB1613-1894-4E61-B3F7-CB7574F26004}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26">
      <text>
        <t xml:space="preserve">======
ID#AAACEw7hL_c
Salima Benchekroun    (2026-08-03 10:52:00)
Tags repris d'une fiche comparable (même activité) — à valider</t>
      </text>
    </comment>
    <comment authorId="0" ref="J60">
      <text>
        <t xml:space="preserve">======
ID#AAACEw7hL2U
    (2026-08-03 10:52:00)
Codé automatiquement par dérivation de l'univers/catégorie + panier — AUTO · à valider</t>
      </text>
    </comment>
    <comment authorId="0" ref="K60">
      <text>
        <t xml:space="preserve">======
ID#AAACEw7hOiY
    (2026-08-03 10:52:02)
Codé automatiquement par dérivation de l'univers/catégorie + panier — AUTO · à valider</t>
      </text>
    </comment>
    <comment authorId="0" ref="L60">
      <text>
        <t xml:space="preserve">======
ID#AAACEw7hOYw
    (2026-08-03 10:52:02)
Codé automatiquement par dérivation de l'univers/catégorie + panier — AUTO · à valider</t>
      </text>
    </comment>
    <comment authorId="0" ref="M60">
      <text>
        <t xml:space="preserve">======
ID#AAACEw7hNos
    (2026-08-03 10:52:01)
Codé automatiquement par dérivation de l'univers/catégorie + panier — AUTO · à valider</t>
      </text>
    </comment>
    <comment authorId="0" ref="N60">
      <text>
        <t xml:space="preserve">======
ID#AAACEw7hMMs
    (2026-08-03 10:52:00)
Codé automatiquement par dérivation de l'univers/catégorie + panier — AUTO · à valider</t>
      </text>
    </comment>
    <comment authorId="0" ref="O60">
      <text>
        <t xml:space="preserve">======
ID#AAACEw7hNgg
    (2026-08-03 10:52:01)
Codé automatiquement par dérivation de l'univers/catégorie + panier — AUTO · à valider</t>
      </text>
    </comment>
    <comment authorId="0" ref="T192">
      <text>
        <t xml:space="preserve">======
ID#AAACEw7hMl4
Salima Benchekroun    (2026-08-03 10:52:00)
Source: oberoihotels.com · Confiance: medium</t>
      </text>
    </comment>
    <comment authorId="0" ref="P60">
      <text>
        <t xml:space="preserve">======
ID#AAACEw7hMUQ
    (2026-08-03 10:52:00)
Codé automatiquement par dérivation de l'univers/catégorie + panier — AUTO · à valider</t>
      </text>
    </comment>
    <comment authorId="0" ref="Q60">
      <text>
        <t xml:space="preserve">======
ID#AAACEw7hNNs
    (2026-08-03 10:52:01)
Codé automatiquement par dérivation de l'univers/catégorie + panier — AUTO · à valider</t>
      </text>
    </comment>
    <comment authorId="0" ref="R60">
      <text>
        <t xml:space="preserve">======
ID#AAACEw7hNlk
    (2026-08-03 10:52:01)
Codé automatiquement par dérivation de l'univers/catégorie + panier — AUTO · à valider</t>
      </text>
    </comment>
    <comment authorId="0" ref="I193">
      <text>
        <t xml:space="preserve">======
ID#AAACEw7hL_U
Salima Benchekroun    (2026-08-03 10:52:00)
Converti de 850 MAD green fee (1€=10,7 MAD). Tarif indicatif dès.</t>
      </text>
    </comment>
    <comment authorId="0" ref="K193">
      <text>
        <t xml:space="preserve">======
ID#AAACEw7hN80
Salima Benchekroun    (2026-08-03 10:52:02)
Tags repris d'une fiche comparable (même activité) — à valider</t>
      </text>
    </comment>
    <comment authorId="0" ref="I127">
      <text>
        <t xml:space="preserve">======
ID#AAACEw7hMjc
tc={F13DB73F-B985-470B-8C97-5A7C62F626AA}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27">
      <text>
        <t xml:space="preserve">======
ID#AAACEw7hNUA
Salima Benchekroun    (2026-08-03 10:52:01)
Tags repris d'une fiche comparable (même activité) — à valider</t>
      </text>
    </comment>
    <comment authorId="0" ref="J61">
      <text>
        <t xml:space="preserve">======
ID#AAACEw7hM3Q
    (2026-08-03 10:52:01)
Codé automatiquement par dérivation de l'univers/catégorie + panier — AUTO · à valider</t>
      </text>
    </comment>
    <comment authorId="0" ref="K61">
      <text>
        <t xml:space="preserve">======
ID#AAACEw7hNT8
    (2026-08-03 10:52:01)
Codé automatiquement par dérivation de l'univers/catégorie + panier — AUTO · à valider</t>
      </text>
    </comment>
    <comment authorId="0" ref="L61">
      <text>
        <t xml:space="preserve">======
ID#AAACEw7hNGI
    (2026-08-03 10:52:01)
Codé automatiquement par dérivation de l'univers/catégorie + panier — AUTO · à valider</t>
      </text>
    </comment>
    <comment authorId="0" ref="M61">
      <text>
        <t xml:space="preserve">======
ID#AAACEw7hOQc
    (2026-08-03 10:52:02)
Codé automatiquement par dérivation de l'univers/catégorie + panier — AUTO · à valider</t>
      </text>
    </comment>
    <comment authorId="0" ref="N61">
      <text>
        <t xml:space="preserve">======
ID#AAACEw7hOcA
    (2026-08-03 10:52:02)
Codé automatiquement par dérivation de l'univers/catégorie + panier — AUTO · à valider</t>
      </text>
    </comment>
    <comment authorId="0" ref="O61">
      <text>
        <t xml:space="preserve">======
ID#AAACEw7hMws
    (2026-08-03 10:52:01)
Codé automatiquement par dérivation de l'univers/catégorie + panier — AUTO · à valider</t>
      </text>
    </comment>
    <comment authorId="0" ref="P61">
      <text>
        <t xml:space="preserve">======
ID#AAACEw7hN_I
    (2026-08-03 10:52:02)
Codé automatiquement par dérivation de l'univers/catégorie + panier — AUTO · à valider</t>
      </text>
    </comment>
    <comment authorId="0" ref="T193">
      <text>
        <t xml:space="preserve">======
ID#AAACEw7hNfM
Salima Benchekroun    (2026-08-03 10:52:01)
Source: marrakech-desert-trips.com · Confiance: high</t>
      </text>
    </comment>
    <comment authorId="0" ref="Q61">
      <text>
        <t xml:space="preserve">======
ID#AAACEw7hNKI
    (2026-08-03 10:52:01)
Codé automatiquement par dérivation de l'univers/catégorie + panier — AUTO · à valider</t>
      </text>
    </comment>
    <comment authorId="0" ref="R61">
      <text>
        <t xml:space="preserve">======
ID#AAACEw7hOhY
    (2026-08-03 10:52:02)
Codé automatiquement par dérivation de l'univers/catégorie + panier — AUTO · à valider</t>
      </text>
    </comment>
    <comment authorId="0" ref="T127">
      <text>
        <t xml:space="preserve">======
ID#AAACEw7hMUc
Salima Benchekroun    (2026-08-03 10:52:00)
Source: omyoga.ma · Confiance: high</t>
      </text>
    </comment>
    <comment authorId="0" ref="I194">
      <text>
        <t xml:space="preserve">======
ID#AAACEw7hOYk
Salima Benchekroun    (2026-08-03 10:52:02)
Converti de 2000 MAD (1€=10,7 MAD). Tarif indicatif dès.</t>
      </text>
    </comment>
    <comment authorId="0" ref="I128">
      <text>
        <t xml:space="preserve">======
ID#AAACEw7hOos
tc={BBE80223-95DE-4859-BD19-8D67A64EBCC2}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thebeautifulmarrakech.com (2026)</t>
      </text>
    </comment>
    <comment authorId="0" ref="K194">
      <text>
        <t xml:space="preserve">======
ID#AAACEw7hN9c
Salima Benchekroun    (2026-08-03 10:52:02)
Tags repris d'une fiche comparable (même activité) — à valider</t>
      </text>
    </comment>
    <comment authorId="0" ref="K128">
      <text>
        <t xml:space="preserve">======
ID#AAACEw7hNWg
Salima Benchekroun    (2026-08-03 10:52:01)
Tags repris d'une fiche comparable (même activité) — à valider</t>
      </text>
    </comment>
    <comment authorId="0" ref="J62">
      <text>
        <t xml:space="preserve">======
ID#AAACEw7hOQ8
    (2026-08-03 10:52:02)
Codé automatiquement par dérivation de l'univers/catégorie + panier — AUTO · à valider</t>
      </text>
    </comment>
    <comment authorId="0" ref="K62">
      <text>
        <t xml:space="preserve">======
ID#AAACEw7hOJc
    (2026-08-03 10:52:02)
Codé automatiquement par dérivation de l'univers/catégorie + panier — AUTO · à valider</t>
      </text>
    </comment>
    <comment authorId="0" ref="L62">
      <text>
        <t xml:space="preserve">======
ID#AAACEw7hMtk
    (2026-08-03 10:52:01)
Codé automatiquement par dérivation de l'univers/catégorie + panier — AUTO · à valider</t>
      </text>
    </comment>
    <comment authorId="0" ref="M62">
      <text>
        <t xml:space="preserve">======
ID#AAACEw7hMAw
    (2026-08-03 10:52:00)
Codé automatiquement par dérivation de l'univers/catégorie + panier — AUTO · à valider</t>
      </text>
    </comment>
    <comment authorId="0" ref="N62">
      <text>
        <t xml:space="preserve">======
ID#AAACEw7hM0M
    (2026-08-03 10:52:01)
Codé automatiquement par dérivation de l'univers/catégorie + panier — AUTO · à valider</t>
      </text>
    </comment>
    <comment authorId="0" ref="O62">
      <text>
        <t xml:space="preserve">======
ID#AAACEw7hNWs
    (2026-08-03 10:52:01)
Codé automatiquement par dérivation de l'univers/catégorie + panier — AUTO · à valider</t>
      </text>
    </comment>
    <comment authorId="0" ref="T194">
      <text>
        <t xml:space="preserve">======
ID#AAACEw7hNkc
Salima Benchekroun    (2026-08-03 10:52:01)
Source: fourseasons.com · Confiance: high</t>
      </text>
    </comment>
    <comment authorId="0" ref="P62">
      <text>
        <t xml:space="preserve">======
ID#AAACEw7hNeE
    (2026-08-03 10:52:01)
Codé automatiquement par dérivation de l'univers/catégorie + panier — AUTO · à valider</t>
      </text>
    </comment>
    <comment authorId="0" ref="Q62">
      <text>
        <t xml:space="preserve">======
ID#AAACEw7hNKE
    (2026-08-03 10:52:01)
Codé automatiquement par dérivation de l'univers/catégorie + panier — AUTO · à valider</t>
      </text>
    </comment>
    <comment authorId="0" ref="R62">
      <text>
        <t xml:space="preserve">======
ID#AAACEw7hNFo
    (2026-08-03 10:52:01)
Codé automatiquement par dérivation de l'univers/catégorie + panier — AUTO · à valider</t>
      </text>
    </comment>
    <comment authorId="0" ref="T128">
      <text>
        <t xml:space="preserve">======
ID#AAACEw7hMyY
Salima Benchekroun    (2026-08-03 10:52:01)
Source: jeefitpilates.com · Confiance: high</t>
      </text>
    </comment>
    <comment authorId="0" ref="I195">
      <text>
        <t xml:space="preserve">======
ID#AAACEw7hL0M
Salima Benchekroun    (2026-08-03 10:52:00)
Converti de 1900 MAD (1€=10,7 MAD). Tarif indicatif dès.</t>
      </text>
    </comment>
    <comment authorId="0" ref="I129">
      <text>
        <t xml:space="preserve">======
ID#AAACEw7hObw
Salima Benchekroun    (2026-08-03 10:52:02)
Tarif indicatif dès 325 € (source : fiche prestataire fournie)</t>
      </text>
    </comment>
    <comment authorId="0" ref="K195">
      <text>
        <t xml:space="preserve">======
ID#AAACEw7hN50
Salima Benchekroun    (2026-08-03 10:52:02)
Tags repris d'une fiche comparable (même activité) — à valider</t>
      </text>
    </comment>
    <comment authorId="0" ref="K129">
      <text>
        <t xml:space="preserve">======
ID#AAACEw7hNXg
Salima Benchekroun    (2026-08-03 10:52:01)
Tags repris d'une fiche comparable (même activité) — à valider</t>
      </text>
    </comment>
    <comment authorId="0" ref="J63">
      <text>
        <t xml:space="preserve">======
ID#AAACEw7hNZI
    (2026-08-03 10:52:01)
Codé automatiquement par dérivation de l'univers/catégorie + panier — AUTO · à valider</t>
      </text>
    </comment>
    <comment authorId="0" ref="K63">
      <text>
        <t xml:space="preserve">======
ID#AAACEw7hNno
    (2026-08-03 10:52:01)
Codé automatiquement par dérivation de l'univers/catégorie + panier — AUTO · à valider</t>
      </text>
    </comment>
    <comment authorId="0" ref="L63">
      <text>
        <t xml:space="preserve">======
ID#AAACEw7hN18
    (2026-08-03 10:52:02)
Codé automatiquement par dérivation de l'univers/catégorie + panier — AUTO · à valider</t>
      </text>
    </comment>
    <comment authorId="0" ref="M63">
      <text>
        <t xml:space="preserve">======
ID#AAACEw7hNh0
    (2026-08-03 10:52:01)
Codé automatiquement par dérivation de l'univers/catégorie + panier — AUTO · à valider</t>
      </text>
    </comment>
    <comment authorId="0" ref="N63">
      <text>
        <t xml:space="preserve">======
ID#AAACEw7hMco
    (2026-08-03 10:52:00)
Codé automatiquement par dérivation de l'univers/catégorie + panier — AUTO · à valider</t>
      </text>
    </comment>
    <comment authorId="0" ref="O63">
      <text>
        <t xml:space="preserve">======
ID#AAACEw7hMCs
    (2026-08-03 10:52:00)
Codé automatiquement par dérivation de l'univers/catégorie + panier — AUTO · à valider</t>
      </text>
    </comment>
    <comment authorId="0" ref="T195">
      <text>
        <t xml:space="preserve">======
ID#AAACEw7hN6s
Salima Benchekroun    (2026-08-03 10:52:02)
Source: selman-marrakech.com · Confiance: high</t>
      </text>
    </comment>
    <comment authorId="0" ref="P63">
      <text>
        <t xml:space="preserve">======
ID#AAACEw7hMss
    (2026-08-03 10:52:01)
Codé automatiquement par dérivation de l'univers/catégorie + panier — AUTO · à valider</t>
      </text>
    </comment>
    <comment authorId="0" ref="Q63">
      <text>
        <t xml:space="preserve">======
ID#AAACEw7hMcw
    (2026-08-03 10:52:00)
Codé automatiquement par dérivation de l'univers/catégorie + panier — AUTO · à valider</t>
      </text>
    </comment>
    <comment authorId="0" ref="T129">
      <text>
        <t xml:space="preserve">======
ID#AAACEw7hOik
Salima Benchekroun    (2026-08-03 10:52:02)
Source: royalmansour.com · Confiance: high</t>
      </text>
    </comment>
    <comment authorId="0" ref="R63">
      <text>
        <t xml:space="preserve">======
ID#AAACEw7hMWs
    (2026-08-03 10:52:00)
Codé automatiquement par dérivation de l'univers/catégorie + panier — AUTO · à valider</t>
      </text>
    </comment>
    <comment authorId="0" ref="I196">
      <text>
        <t xml:space="preserve">======
ID#AAACEw7hMc8
Salima Benchekroun    (2026-08-03 10:52:00)
Converti de 2000 MAD (1€=10,7 MAD). Tarif indicatif dès.</t>
      </text>
    </comment>
    <comment authorId="0" ref="K196">
      <text>
        <t xml:space="preserve">======
ID#AAACEw7hM4A
Salima Benchekroun    (2026-08-03 10:52:01)
Tags repris d'une fiche comparable (même activité) — à valider</t>
      </text>
    </comment>
    <comment authorId="0" ref="I130">
      <text>
        <t xml:space="preserve">======
ID#AAACEw7hMuY
Salima Benchekroun    (2026-08-03 10:52:01)
Tarif indicatif dès 280 € (source : fiche prestataire fournie)</t>
      </text>
    </comment>
    <comment authorId="0" ref="K130">
      <text>
        <t xml:space="preserve">======
ID#AAACEw7hN-s
Salima Benchekroun    (2026-08-03 10:52:02)
Tags repris d'une fiche comparable (même activité) — à valider</t>
      </text>
    </comment>
    <comment authorId="0" ref="J64">
      <text>
        <t xml:space="preserve">======
ID#AAACEw7hNhM
    (2026-08-03 10:52:01)
Codé automatiquement par dérivation de l'univers/catégorie + panier — AUTO · à valider</t>
      </text>
    </comment>
    <comment authorId="0" ref="K64">
      <text>
        <t xml:space="preserve">======
ID#AAACEw7hNCc
    (2026-08-03 10:52:01)
Codé automatiquement par dérivation de l'univers/catégorie + panier — AUTO · à valider</t>
      </text>
    </comment>
    <comment authorId="0" ref="L64">
      <text>
        <t xml:space="preserve">======
ID#AAACEw7hMb0
    (2026-08-03 10:52:00)
Codé automatiquement par dérivation de l'univers/catégorie + panier — AUTO · à valider</t>
      </text>
    </comment>
    <comment authorId="0" ref="M64">
      <text>
        <t xml:space="preserve">======
ID#AAACEw7hOcg
    (2026-08-03 10:52:02)
Codé automatiquement par dérivation de l'univers/catégorie + panier — AUTO · à valider</t>
      </text>
    </comment>
    <comment authorId="0" ref="N64">
      <text>
        <t xml:space="preserve">======
ID#AAACEw7hL18
    (2026-08-03 10:52:00)
Codé automatiquement par dérivation de l'univers/catégorie + panier — AUTO · à valider</t>
      </text>
    </comment>
    <comment authorId="0" ref="O64">
      <text>
        <t xml:space="preserve">======
ID#AAACEw7hLzU
    (2026-08-03 10:52:00)
Codé automatiquement par dérivation de l'univers/catégorie + panier — AUTO · à valider</t>
      </text>
    </comment>
    <comment authorId="0" ref="T196">
      <text>
        <t xml:space="preserve">======
ID#AAACEw7hObc
Salima Benchekroun    (2026-08-03 10:52:02)
Source: kenzi-hotels.com · Confiance: high</t>
      </text>
    </comment>
    <comment authorId="0" ref="P64">
      <text>
        <t xml:space="preserve">======
ID#AAACEw7hMns
    (2026-08-03 10:52:00)
Codé automatiquement par dérivation de l'univers/catégorie + panier — AUTO · à valider</t>
      </text>
    </comment>
    <comment authorId="0" ref="Q64">
      <text>
        <t xml:space="preserve">======
ID#AAACEw7hNRI
    (2026-08-03 10:52:01)
Codé automatiquement par dérivation de l'univers/catégorie + panier — AUTO · à valider</t>
      </text>
    </comment>
    <comment authorId="0" ref="R64">
      <text>
        <t xml:space="preserve">======
ID#AAACEw7hOLo
    (2026-08-03 10:52:02)
Codé automatiquement par dérivation de l'univers/catégorie + panier — AUTO · à valider</t>
      </text>
    </comment>
    <comment authorId="0" ref="T130">
      <text>
        <t xml:space="preserve">======
ID#AAACEw7hMRo
Salima Benchekroun    (2026-08-03 10:52:00)
Source: mandarinoriental.com · Confiance: high</t>
      </text>
    </comment>
    <comment authorId="0" ref="I197">
      <text>
        <t xml:space="preserve">======
ID#AAACEw7hOZk
Salima Benchekroun    (2026-08-03 10:52:02)
Converti de 450 MAD (1€=10,7 MAD). Tarif indicatif dès.</t>
      </text>
    </comment>
    <comment authorId="0" ref="I131">
      <text>
        <t xml:space="preserve">======
ID#AAACEw7hOj0
tc={CE32449E-ED01-4956-8CEA-17DC7B15433F}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K197">
      <text>
        <t xml:space="preserve">======
ID#AAACEw7hL2o
Salima Benchekroun    (2026-08-03 10:52:00)
Tags repris d'une fiche comparable (même activité) — à valider</t>
      </text>
    </comment>
    <comment authorId="0" ref="K131">
      <text>
        <t xml:space="preserve">======
ID#AAACEw7hNlY
Salima Benchekroun    (2026-08-03 10:52:01)
Tags repris d'une fiche comparable (même activité) — à valider</t>
      </text>
    </comment>
    <comment authorId="0" ref="J65">
      <text>
        <t xml:space="preserve">======
ID#AAACEw7hND8
    (2026-08-03 10:52:01)
Codé automatiquement par dérivation de l'univers/catégorie + panier — AUTO · à valider</t>
      </text>
    </comment>
    <comment authorId="0" ref="K65">
      <text>
        <t xml:space="preserve">======
ID#AAACEw7hNts
    (2026-08-03 10:52:01)
Codé automatiquement par dérivation de l'univers/catégorie + panier — AUTO · à valider</t>
      </text>
    </comment>
    <comment authorId="0" ref="L65">
      <text>
        <t xml:space="preserve">======
ID#AAACEw7hOpU
    (2026-08-03 10:52:02)
Codé automatiquement par dérivation de l'univers/catégorie + panier — AUTO · à valider</t>
      </text>
    </comment>
    <comment authorId="0" ref="M65">
      <text>
        <t xml:space="preserve">======
ID#AAACEw7hMC8
    (2026-08-03 10:52:00)
Codé automatiquement par dérivation de l'univers/catégorie + panier — AUTO · à valider</t>
      </text>
    </comment>
    <comment authorId="0" ref="N65">
      <text>
        <t xml:space="preserve">======
ID#AAACEw7hOSU
    (2026-08-03 10:52:02)
Codé automatiquement par dérivation de l'univers/catégorie + panier — AUTO · à valider</t>
      </text>
    </comment>
    <comment authorId="0" ref="O65">
      <text>
        <t xml:space="preserve">======
ID#AAACEw7hL4s
    (2026-08-03 10:52:00)
Codé automatiquement par dérivation de l'univers/catégorie + panier — AUTO · à valider</t>
      </text>
    </comment>
    <comment authorId="0" ref="T197">
      <text>
        <t xml:space="preserve">======
ID#AAACEw7hNO4
Salima Benchekroun    (2026-08-03 10:52:01)
Source: magichotelsandresorts.com · Confiance: high</t>
      </text>
    </comment>
    <comment authorId="0" ref="P65">
      <text>
        <t xml:space="preserve">======
ID#AAACEw7hMdQ
    (2026-08-03 10:52:00)
Codé automatiquement par dérivation de l'univers/catégorie + panier — AUTO · à valider</t>
      </text>
    </comment>
    <comment authorId="0" ref="Q65">
      <text>
        <t xml:space="preserve">======
ID#AAACEw7hM04
    (2026-08-03 10:52:01)
Codé automatiquement par dérivation de l'univers/catégorie + panier — AUTO · à valider</t>
      </text>
    </comment>
    <comment authorId="0" ref="R65">
      <text>
        <t xml:space="preserve">======
ID#AAACEw7hNK0
    (2026-08-03 10:52:01)
Codé automatiquement par dérivation de l'univers/catégorie + panier — AUTO · à valider</t>
      </text>
    </comment>
    <comment authorId="0" ref="T131">
      <text>
        <t xml:space="preserve">======
ID#AAACEw7hMYE
Salima Benchekroun    (2026-08-03 10:52:00)
Source: hyatt.com · Confiance: high</t>
      </text>
    </comment>
    <comment authorId="0" ref="I198">
      <text>
        <t xml:space="preserve">======
ID#AAACEw7hOkE
Salima Benchekroun    (2026-08-03 10:52:02)
Converti de 400 MAD (1€=10,7 MAD). Tarif indicatif dès.</t>
      </text>
    </comment>
    <comment authorId="0" ref="K198">
      <text>
        <t xml:space="preserve">======
ID#AAACEw7hOTo
Salima Benchekroun    (2026-08-03 10:52:02)
Tags repris d'une fiche comparable (même activité) — à valider</t>
      </text>
    </comment>
    <comment authorId="0" ref="I132">
      <text>
        <t xml:space="preserve">======
ID#AAACEw7hNbA
tc={EB9490A6-FE56-439D-B83B-D405990ACCC9}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Prix web indicatif 2026 (à confirmer). Source: shooting-marrakech.com / session</t>
      </text>
    </comment>
    <comment authorId="0" ref="K132">
      <text>
        <t xml:space="preserve">======
ID#AAACEw7hMKw
Salima Benchekroun    (2026-08-03 10:52:00)
Tags repris d'une fiche comparable (même activité) — à valider</t>
      </text>
    </comment>
    <comment authorId="0" ref="J66">
      <text>
        <t xml:space="preserve">======
ID#AAACEw7hMdI
    (2026-08-03 10:52:00)
Codé automatiquement par dérivation de l'univers/catégorie + panier — AUTO · à valider</t>
      </text>
    </comment>
    <comment authorId="0" ref="K66">
      <text>
        <t xml:space="preserve">======
ID#AAACEw7hON4
    (2026-08-03 10:52:02)
Codé automatiquement par dérivation de l'univers/catégorie + panier — AUTO · à valider</t>
      </text>
    </comment>
    <comment authorId="0" ref="L66">
      <text>
        <t xml:space="preserve">======
ID#AAACEw7hNyg
    (2026-08-03 10:52:01)
Codé automatiquement par dérivation de l'univers/catégorie + panier — AUTO · à valider</t>
      </text>
    </comment>
    <comment authorId="0" ref="M66">
      <text>
        <t xml:space="preserve">======
ID#AAACEw7hNxA
    (2026-08-03 10:52:01)
Codé automatiquement par dérivation de l'univers/catégorie + panier — AUTO · à valider</t>
      </text>
    </comment>
    <comment authorId="0" ref="N66">
      <text>
        <t xml:space="preserve">======
ID#AAACEw7hODA
    (2026-08-03 10:52:02)
Codé automatiquement par dérivation de l'univers/catégorie + panier — AUTO · à valider</t>
      </text>
    </comment>
    <comment authorId="0" ref="O66">
      <text>
        <t xml:space="preserve">======
ID#AAACEw7hNvw
    (2026-08-03 10:52:01)
Codé automatiquement par dérivation de l'univers/catégorie + panier — AUTO · à valider</t>
      </text>
    </comment>
    <comment authorId="0" ref="P66">
      <text>
        <t xml:space="preserve">======
ID#AAACEw7hOnw
    (2026-08-03 10:52:02)
Codé automatiquement par dérivation de l'univers/catégorie + panier — AUTO · à valider</t>
      </text>
    </comment>
    <comment authorId="0" ref="T198">
      <text>
        <t xml:space="preserve">======
ID#AAACEw7hMzs
Salima Benchekroun    (2026-08-03 10:52:01)
Source: chronogolf.com · Confiance: medium</t>
      </text>
    </comment>
    <comment authorId="0" ref="Q66">
      <text>
        <t xml:space="preserve">======
ID#AAACEw7hOGw
    (2026-08-03 10:52:02)
Codé automatiquement par dérivation de l'univers/catégorie + panier — AUTO · à valider</t>
      </text>
    </comment>
    <comment authorId="0" ref="R66">
      <text>
        <t xml:space="preserve">======
ID#AAACEw7hM3E
    (2026-08-03 10:52:01)
Codé automatiquement par dérivation de l'univers/catégorie + panier — AUTO · à valider</t>
      </text>
    </comment>
    <comment authorId="0" ref="T132">
      <text>
        <t xml:space="preserve">======
ID#AAACEw7hL0E
Salima Benchekroun    (2026-08-03 10:52:00)
Source: oberoihotels.com · Confiance: medium</t>
      </text>
    </comment>
  </commentList>
  <extLst>
    <ext uri="GoogleSheetsCustomDataVersion2">
      <go:sheetsCustomData xmlns:go="http://customooxmlschemas.google.com/" r:id="rId1" roundtripDataSignature="AMtx7mjmU+EXX69LH93IEFfEifItFsDkyA=="/>
    </ext>
  </extL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9">
      <text>
        <t xml:space="preserve">======
ID#AAACEw7hN6I
    (2026-08-03 10:52:02)
Téléphone via Google Places (juin 2026)</t>
      </text>
    </comment>
    <comment authorId="0" ref="H71">
      <text>
        <t xml:space="preserve">======
ID#AAACEw7hMME
Salima Benchekroun    (2026-08-03 10:52:00)
Source officielle : restaurantlotusprivilege.com (tél +212 524 38 73 18). Prix indicatif à valider (non publié).</t>
      </text>
    </comment>
    <comment authorId="0" ref="T17">
      <text>
        <t xml:space="preserve">======
ID#AAACEw7hNN8
    (2026-08-03 10:52:01)
Téléphone via Google Places (juin 2026)</t>
      </text>
    </comment>
    <comment authorId="0" ref="T15">
      <text>
        <t xml:space="preserve">======
ID#AAACEw7hMJU
    (2026-08-03 10:52:00)
Téléphone via Google Places (juin 2026)</t>
      </text>
    </comment>
    <comment authorId="0" ref="T13">
      <text>
        <t xml:space="preserve">======
ID#AAACEw7hNKA
    (2026-08-03 10:52:01)
Téléphone via Google Places (juin 2026)</t>
      </text>
    </comment>
    <comment authorId="0" ref="T44">
      <text>
        <t xml:space="preserve">======
ID#AAACEw7hNnU
Salima Benchekroun    (2026-08-03 10:52:01)
Source: kenzi-hotels.com · Confiance: high</t>
      </text>
    </comment>
    <comment authorId="0" ref="T11">
      <text>
        <t xml:space="preserve">======
ID#AAACEw7hNTg
    (2026-08-03 10:52:01)
Téléphone via Google Places (juin 2026)</t>
      </text>
    </comment>
    <comment authorId="0" ref="T42">
      <text>
        <t xml:space="preserve">======
ID#AAACEw7hNrU
    (2026-08-03 10:52:01)
Téléphone via Google Places (juin 2026)</t>
      </text>
    </comment>
    <comment authorId="0" ref="T9">
      <text>
        <t xml:space="preserve">======
ID#AAACEw7hOAg
    (2026-08-03 10:52:02)
Téléphone via Google Places (juin 2026)</t>
      </text>
    </comment>
    <comment authorId="0" ref="T40">
      <text>
        <t xml:space="preserve">======
ID#AAACEw7hMX4
    (2026-08-03 10:52:00)
Téléphone via Google Places (juin 2026)</t>
      </text>
    </comment>
    <comment authorId="0" ref="T7">
      <text>
        <t xml:space="preserve">======
ID#AAACEw7hMnA
    (2026-08-03 10:52:00)
Téléphone via Google Places (juin 2026)</t>
      </text>
    </comment>
    <comment authorId="0" ref="T38">
      <text>
        <t xml:space="preserve">======
ID#AAACEw7hMR4
    (2026-08-03 10:52:00)
Téléphone via Google Places (juin 2026)</t>
      </text>
    </comment>
    <comment authorId="0" ref="T5">
      <text>
        <t xml:space="preserve">======
ID#AAACEw7hMNA
    (2026-08-03 10:52:00)
Téléphone via Google Places (juin 2026)</t>
      </text>
    </comment>
    <comment authorId="0" ref="T36">
      <text>
        <t xml:space="preserve">======
ID#AAACEw7hONs
    (2026-08-03 10:52:02)
Téléphone via Google Places (juin 2026)</t>
      </text>
    </comment>
    <comment authorId="0" ref="T3">
      <text>
        <t xml:space="preserve">======
ID#AAACEw7hN7s
    (2026-08-03 10:52:02)
Téléphone via Google Places (juin 2026)</t>
      </text>
    </comment>
    <comment authorId="0" ref="T34">
      <text>
        <t xml:space="preserve">======
ID#AAACEw7hMvE
    (2026-08-03 10:52:01)
Téléphone via Google Places (juin 2026)</t>
      </text>
    </comment>
    <comment authorId="0" ref="T32">
      <text>
        <t xml:space="preserve">======
ID#AAACEw7hNrM
    (2026-08-03 10:52:01)
Téléphone via Google Places (juin 2026)</t>
      </text>
    </comment>
    <comment authorId="0" ref="T30">
      <text>
        <t xml:space="preserve">======
ID#AAACEw7hNC4
    (2026-08-03 10:52:01)
Téléphone via Google Places (juin 2026)</t>
      </text>
    </comment>
    <comment authorId="0" ref="T28">
      <text>
        <t xml:space="preserve">======
ID#AAACEw7hNac
    (2026-08-03 10:52:01)
Téléphone via Google Places (juin 2026)</t>
      </text>
    </comment>
    <comment authorId="0" ref="T26">
      <text>
        <t xml:space="preserve">======
ID#AAACEw7hLww
    (2026-08-03 10:52:00)
Téléphone via Google Places (juin 2026)</t>
      </text>
    </comment>
    <comment authorId="0" ref="T22">
      <text>
        <t xml:space="preserve">======
ID#AAACEw7hN2U
    (2026-08-03 10:52:02)
Téléphone via Google Places (juin 2026)</t>
      </text>
    </comment>
    <comment authorId="0" ref="T20">
      <text>
        <t xml:space="preserve">======
ID#AAACEw7hMS8
    (2026-08-03 10:52:00)
Téléphone via Google Places (juin 2026)</t>
      </text>
    </comment>
    <comment authorId="0" ref="T18">
      <text>
        <t xml:space="preserve">======
ID#AAACEw7hONY
    (2026-08-03 10:52:02)
Téléphone via Google Places (juin 2026)</t>
      </text>
    </comment>
    <comment authorId="0" ref="H70">
      <text>
        <t xml:space="preserve">======
ID#AAACEw7hNeI
Salima Benchekroun    (2026-08-03 10:52:01)
Source officielle : comptoirmarrakech.com (Comptoir Darna, Hivernage, tél +212 524 43 77 02). Prix indicatif à valider (non publié).</t>
      </text>
    </comment>
    <comment authorId="0" ref="T16">
      <text>
        <t xml:space="preserve">======
ID#AAACEw7hMUI
    (2026-08-03 10:52:00)
Téléphone via Google Places (juin 2026)</t>
      </text>
    </comment>
    <comment authorId="0" ref="T12">
      <text>
        <t xml:space="preserve">======
ID#AAACEw7hNKM
    (2026-08-03 10:52:01)
Téléphone via Google Places (juin 2026)</t>
      </text>
    </comment>
    <comment authorId="0" ref="T43">
      <text>
        <t xml:space="preserve">======
ID#AAACEw7hMPM
    (2026-08-03 10:52:00)
Téléphone via Google Places (juin 2026)</t>
      </text>
    </comment>
    <comment authorId="0" ref="T10">
      <text>
        <t xml:space="preserve">======
ID#AAACEw7hOfE
    (2026-08-03 10:52:02)
Téléphone via Google Places (juin 2026)</t>
      </text>
    </comment>
    <comment authorId="0" ref="T41">
      <text>
        <t xml:space="preserve">======
ID#AAACEw7hL7c
    (2026-08-03 10:52:00)
Téléphone via Google Places (juin 2026)</t>
      </text>
    </comment>
    <comment authorId="0" ref="T8">
      <text>
        <t xml:space="preserve">======
ID#AAACEw7hL5I
    (2026-08-03 10:52:00)
Téléphone via Google Places (juin 2026)</t>
      </text>
    </comment>
    <comment authorId="0" ref="T39">
      <text>
        <t xml:space="preserve">======
ID#AAACEw7hNiE
    (2026-08-03 10:52:01)
Téléphone via Google Places (juin 2026)</t>
      </text>
    </comment>
    <comment authorId="0" ref="T70">
      <text>
        <t xml:space="preserve">======
ID#AAACEw7hNjo
Salima Benchekroun    (2026-08-03 10:52:01)
Source: comptoirmarrakech.com · Confiance: high</t>
      </text>
    </comment>
    <comment authorId="0" ref="T6">
      <text>
        <t xml:space="preserve">======
ID#AAACEw7hNFA
    (2026-08-03 10:52:01)
Téléphone via Google Places (juin 2026)</t>
      </text>
    </comment>
    <comment authorId="0" ref="T37">
      <text>
        <t xml:space="preserve">======
ID#AAACEw7hN3g
    (2026-08-03 10:52:02)
Téléphone via Google Places (juin 2026)</t>
      </text>
    </comment>
    <comment authorId="0" ref="T4">
      <text>
        <t xml:space="preserve">======
ID#AAACEw7hMgk
    (2026-08-03 10:52:00)
Téléphone via Google Places (juin 2026)</t>
      </text>
    </comment>
    <comment authorId="0" ref="T35">
      <text>
        <t xml:space="preserve">======
ID#AAACEw7hOhE
    (2026-08-03 10:52:02)
Téléphone via Google Places (juin 2026)</t>
      </text>
    </comment>
    <comment authorId="0" ref="T33">
      <text>
        <t xml:space="preserve">======
ID#AAACEw7hMhM
    (2026-08-03 10:52:00)
Téléphone via Google Places (juin 2026)</t>
      </text>
    </comment>
    <comment authorId="0" ref="T31">
      <text>
        <t xml:space="preserve">======
ID#AAACEw7hMJk
    (2026-08-03 10:52:00)
Téléphone via Google Places (juin 2026)</t>
      </text>
    </comment>
    <comment authorId="0" ref="T29">
      <text>
        <t xml:space="preserve">======
ID#AAACEw7hNlw
    (2026-08-03 10:52:01)
Téléphone via Google Places (juin 2026)</t>
      </text>
    </comment>
    <comment authorId="0" ref="T27">
      <text>
        <t xml:space="preserve">======
ID#AAACEw7hNHU
    (2026-08-03 10:52:01)
Téléphone via Google Places (juin 2026)</t>
      </text>
    </comment>
    <comment authorId="0" ref="T25">
      <text>
        <t xml:space="preserve">======
ID#AAACEw7hM1c
    (2026-08-03 10:52:01)
Téléphone via Google Places (juin 2026)</t>
      </text>
    </comment>
    <comment authorId="0" ref="T23">
      <text>
        <t xml:space="preserve">======
ID#AAACEw7hLx0
    (2026-08-03 10:52:00)
Téléphone via Google Places (juin 2026)</t>
      </text>
    </comment>
    <comment authorId="0" ref="T21">
      <text>
        <t xml:space="preserve">======
ID#AAACEw7hMvI
    (2026-08-03 10:52:01)
Téléphone via Google Places (juin 2026)</t>
      </text>
    </comment>
  </commentList>
  <extLst>
    <ext uri="GoogleSheetsCustomDataVersion2">
      <go:sheetsCustomData xmlns:go="http://customooxmlschemas.google.com/" r:id="rId1" roundtripDataSignature="AMtx7mjtecnhiyayuBi+ffHZPbW3/pW0Aw=="/>
    </ext>
  </extL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3">
      <text>
        <t xml:space="preserve">======
ID#AAACEw7hL_w
tc={51D0B936-5E18-43F9-B774-2F12891C1205}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https://www.findinmarrakech.com/en/prendre-un-verre-1/le-68-bar-%C3%A0-vin%F0%9F%8D%B8</t>
      </text>
    </comment>
    <comment authorId="0" ref="F100">
      <text>
        <t xml:space="preserve">======
ID#AAACEw7hNk0
tc={4744DFB6-7258-44F3-A98B-93C77E17FACD}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https://www.instagram.com/thesouki/</t>
      </text>
    </comment>
    <comment authorId="0" ref="F67">
      <text>
        <t xml:space="preserve">======
ID#AAACEw7hOJ8
tc={2E2BEBE9-A803-4442-A33A-99F7D09F5AB9}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https://theprivatechefmarrakech.com/en/home-page/</t>
      </text>
    </comment>
    <comment authorId="0" ref="F34">
      <text>
        <t xml:space="preserve">======
ID#AAACEw7hMjU
tc={89FC156A-ED2D-4607-AF10-7E648BD4CBBF}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https://yesmyevent.com/</t>
      </text>
    </comment>
    <comment authorId="0" ref="H34">
      <text>
        <t xml:space="preserve">======
ID#AAACEw7hMi4
Salima Benchekroun    (2026-08-03 10:52:00)
Source: yesmyevent.com · Confiance: high</t>
      </text>
    </comment>
    <comment authorId="0" ref="F150">
      <text>
        <t xml:space="preserve">======
ID#AAACEw7hNX0
tc={E47E9239-D1E0-4DF4-92BB-8547CEEFF39D}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https://m8te.fr/dj-marrakech/</t>
      </text>
    </comment>
    <comment authorId="0" ref="F117">
      <text>
        <t xml:space="preserve">======
ID#AAACEw7hMyg
tc={9C6B390C-D5AB-47A2-86DC-8F87F8DB34DE}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https://secretstudioprod.com/en/agence-evenementiel/marrakech/</t>
      </text>
    </comment>
    <comment authorId="0" ref="H150">
      <text>
        <t xml:space="preserve">======
ID#AAACEw7hOJ4
Salima Benchekroun    (2026-08-03 10:52:02)
Source: m8te.fr · Confiance: medium</t>
      </text>
    </comment>
    <comment authorId="0" ref="F84">
      <text>
        <t xml:space="preserve">======
ID#AAACEw7hMQ8
tc={103960D8-8FD6-4F56-9EFD-384E1D0035DB}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https://wonderagency.ma/2025/08/30/location-materiel-evenementiel-maroc/</t>
      </text>
    </comment>
    <comment authorId="0" ref="H117">
      <text>
        <t xml:space="preserve">======
ID#AAACEw7hNgs
Salima Benchekroun    (2026-08-03 10:52:01)
Source: secretstudioprod.com · Confiance: high</t>
      </text>
    </comment>
    <comment authorId="0" ref="F51">
      <text>
        <t xml:space="preserve">======
ID#AAACEw7hNB8
tc={C7A529AC-914F-44F4-A0A8-DB49DF33F7BD}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https://www.instagram.com/taoussivision/</t>
      </text>
    </comment>
    <comment authorId="0" ref="H84">
      <text>
        <t xml:space="preserve">======
ID#AAACEw7hMx0
Salima Benchekroun    (2026-08-03 10:52:01)
Source: wonderagency.ma · Confiance: medium</t>
      </text>
    </comment>
    <comment authorId="0" ref="F18">
      <text>
        <t xml:space="preserve">======
ID#AAACEw7hLxg
    (2026-08-03 10:52:00)
Fiche reconstituée via le web — lypictures.fr</t>
      </text>
    </comment>
    <comment authorId="0" ref="F134">
      <text>
        <t xml:space="preserve">======
ID#AAACEw7hORs
tc={069E1397-8F3B-4A58-9DFE-A19D35D7F717}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https://uk.azarmarrakech.com/la-chicha</t>
      </text>
    </comment>
    <comment authorId="0" ref="F101">
      <text>
        <t xml:space="preserve">======
ID#AAACEw7hMxI
tc={141EACBA-116F-427A-A1D9-4DD23B7662F7}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https://www.instagram.com/najwa_jamalouki/</t>
      </text>
    </comment>
    <comment authorId="0" ref="F68">
      <text>
        <t xml:space="preserve">======
ID#AAACEw7hOSg
tc={7D6B2584-B6AD-4920-AF47-0C83F6D6F6C7}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https://www.luxurylifeline.org/gastronomy</t>
      </text>
    </comment>
    <comment authorId="0" ref="H134">
      <text>
        <t xml:space="preserve">======
ID#AAACEw7hLvk
Salima Benchekroun    (2026-08-03 10:52:00)
Source: azarmarrakech.com · Confiance: high</t>
      </text>
    </comment>
    <comment authorId="0" ref="F35">
      <text>
        <t xml:space="preserve">======
ID#AAACEw7hMe4
tc={56523861-24C2-42B8-9F3B-4CEEE027D45A}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https://onenonly-events.com/en/</t>
      </text>
    </comment>
    <comment authorId="0" ref="G35">
      <text>
        <t xml:space="preserve">======
ID#AAACEw7hMnU
Salima Benchekroun    (2026-08-03 10:52:00)
Source: One &amp; Only Events (site officiel)</t>
      </text>
    </comment>
    <comment authorId="0" ref="F151">
      <text>
        <t xml:space="preserve">======
ID#AAACEw7hNbQ
tc={BEFC6D5C-AECA-42FC-9A37-E26890BDED04}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https://m8te.fr/dj-marrakech/</t>
      </text>
    </comment>
    <comment authorId="0" ref="F118">
      <text>
        <t xml:space="preserve">======
ID#AAACEw7hMU0
tc={D90E2759-A1FC-4A22-BA62-84D9778C739A}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https://paragone.pro/</t>
      </text>
    </comment>
    <comment authorId="0" ref="H151">
      <text>
        <t xml:space="preserve">======
ID#AAACEw7hNLE
Salima Benchekroun    (2026-08-03 10:52:01)
Source: m8te.fr · Confiance: medium</t>
      </text>
    </comment>
    <comment authorId="0" ref="F85">
      <text>
        <t xml:space="preserve">======
ID#AAACEw7hMMw
tc={D2EAA8AF-B3D4-4EAB-AC36-1781EC49E109}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https://www.mirhizevents.com/catalogue/mat%C3%A9rielles-de-r%C3%A9ceptions/%C3%A9clairages.html</t>
      </text>
    </comment>
    <comment authorId="0" ref="F52">
      <text>
        <t xml:space="preserve">======
ID#AAACEw7hOQI
tc={2879E92C-3295-4D80-9308-D89CE83E9570}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https://www.instagram.com/alami_photography/</t>
      </text>
    </comment>
    <comment authorId="0" ref="F19">
      <text>
        <t xml:space="preserve">======
ID#AAACEw7hNJg
    (2026-08-03 10:52:01)
Fiche reconstituée via le web — sylvain-bouzat-photographe-mariage.com</t>
      </text>
    </comment>
    <comment authorId="0" ref="F135">
      <text>
        <t xml:space="preserve">======
ID#AAACEw7hNtc
tc={484B860E-62C7-48B5-A953-6BC445BD532E}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https://www.guide-restaurant-marrakech.com/decouvrez-lexperience-bar-a-chicha-de-luxe-au-comptoir-darna-a-marrakech.html</t>
      </text>
    </comment>
    <comment authorId="0" ref="F102">
      <text>
        <t xml:space="preserve">======
ID#AAACEw7hNdw
tc={32A82F29-5BD6-4E58-920F-B3F0FCCDB404}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https://limamakeupartist.com/</t>
      </text>
    </comment>
    <comment authorId="0" ref="F69">
      <text>
        <t xml:space="preserve">======
ID#AAACEw7hNzA
tc={005CB4D5-FF88-48BF-9F4C-CB6EE20385CE}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https://www.miummium.com/fr-ma/chef-a-domicile-marrakech</t>
      </text>
    </comment>
    <comment authorId="0" ref="F36">
      <text>
        <t xml:space="preserve">======
ID#AAACEw7hNL8
tc={17B850CC-FC30-4374-A195-D7D1474C0455}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https://www.myrvetteconsulting.com/en/</t>
      </text>
    </comment>
    <comment authorId="0" ref="F3">
      <text>
        <t xml:space="preserve">======
ID#AAACEw7hMEc
    (2026-08-03 10:52:00)
Fiche reconstituée via le web — yesmyevent.com + La Tribune de Marrakech</t>
      </text>
    </comment>
    <comment authorId="0" ref="H36">
      <text>
        <t xml:space="preserve">======
ID#AAACEw7hOTs
Salima Benchekroun    (2026-08-03 10:52:02)
Source: https://www.myrvetteconsulting.com/en/ · Confiance: high</t>
      </text>
    </comment>
    <comment authorId="0" ref="F152">
      <text>
        <t xml:space="preserve">======
ID#AAACEw7hM-8
tc={82D0154E-5445-4086-AF75-9E717051F4C3}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https://m8te.fr/dj-marrakech/</t>
      </text>
    </comment>
    <comment authorId="0" ref="F119">
      <text>
        <t xml:space="preserve">======
ID#AAACEw7hL7A
tc={C3ED4481-D3A6-4383-8F42-2A0C4DDB0C04}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https://www.amandinemarrakech.com/</t>
      </text>
    </comment>
    <comment authorId="0" ref="F86">
      <text>
        <t xml:space="preserve">======
ID#AAACEw7hL9s
tc={1A273DFF-A3B8-493D-A78F-453D70F6A8F7}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https://soundlightmaroc.com/</t>
      </text>
    </comment>
    <comment authorId="0" ref="H152">
      <text>
        <t xml:space="preserve">======
ID#AAACEw7hL74
Salima Benchekroun    (2026-08-03 10:52:00)
Source: m8te.fr · Confiance: medium</t>
      </text>
    </comment>
    <comment authorId="0" ref="F53">
      <text>
        <t xml:space="preserve">======
ID#AAACEw7hMNs
tc={D4F8735F-255F-4D6E-BEA6-E66B62F7F522}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https://www.instagram.com/marrakech_wedding_photography/</t>
      </text>
    </comment>
    <comment authorId="0" ref="F20">
      <text>
        <t xml:space="preserve">======
ID#AAACEw7hNeM
    (2026-08-03 10:52:01)
Fiche reconstituée via le web — menara-image.com</t>
      </text>
    </comment>
    <comment authorId="0" ref="H86">
      <text>
        <t xml:space="preserve">======
ID#AAACEw7hLvs
Salima Benchekroun    (2026-08-03 10:52:00)
Source: soundlightmaroc.com · Confiance: high</t>
      </text>
    </comment>
    <comment authorId="0" ref="H20">
      <text>
        <t xml:space="preserve">======
ID#AAACEw7hMxE
Salima Benchekroun    (2026-08-03 10:52:01)
Source: menara-image.com · Confiance: high</t>
      </text>
    </comment>
    <comment authorId="0" ref="F136">
      <text>
        <t xml:space="preserve">======
ID#AAACEw7hNlQ
tc={18937E2A-6B9B-42C4-9F3E-869BB6BBF798}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https://www.alksar.com/en/bar-restaurant-2/shisha-marrakech-mint-tea/</t>
      </text>
    </comment>
    <comment authorId="0" ref="F103">
      <text>
        <t xml:space="preserve">======
ID#AAACEw7hM1M
tc={F8C12915-0F74-476F-B2CF-F3DCABFD8E1B}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https://lebarometre.net/the-bar/</t>
      </text>
    </comment>
    <comment authorId="0" ref="H136">
      <text>
        <t xml:space="preserve">======
ID#AAACEw7hOXk
Salima Benchekroun    (2026-08-03 10:52:02)
Source: alksar.com · Confiance: high</t>
      </text>
    </comment>
    <comment authorId="0" ref="F70">
      <text>
        <t xml:space="preserve">======
ID#AAACEw7hMkA
tc={CF5EFD54-0303-4955-ADF5-5EB3C1718B7A}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https://maisonscene.ma/djs/</t>
      </text>
    </comment>
    <comment authorId="0" ref="F37">
      <text>
        <t xml:space="preserve">======
ID#AAACEw7hNyw
tc={8824F537-E43E-4B7F-85C7-2FB246763D8C}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https://www.mariage-marrakech-maroc.com/agence-evenementiel-marrakech-seminaires/</t>
      </text>
    </comment>
    <comment authorId="0" ref="H103">
      <text>
        <t xml:space="preserve">======
ID#AAACEw7hNk4
Salima Benchekroun    (2026-08-03 10:52:01)
Source: tripadvisor · Confiance: medium</t>
      </text>
    </comment>
    <comment authorId="0" ref="F4">
      <text>
        <t xml:space="preserve">======
ID#AAACEw7hN20
    (2026-08-03 10:52:02)
Fiche reconstituée via le web — wedding-planner-marrakech.com</t>
      </text>
    </comment>
    <comment authorId="0" ref="H70">
      <text>
        <t xml:space="preserve">======
ID#AAACEw7hN0k
Salima Benchekroun    (2026-08-03 10:52:01)
Source: maisonscene.ma · Confiance: high</t>
      </text>
    </comment>
    <comment authorId="0" ref="H37">
      <text>
        <t xml:space="preserve">======
ID#AAACEw7hNV8
Salima Benchekroun    (2026-08-03 10:52:01)
Source: mariage-marrakech-maroc.com · Confiance: high</t>
      </text>
    </comment>
    <comment authorId="0" ref="F120">
      <text>
        <t xml:space="preserve">======
ID#AAACEw7hMZY
tc={9DCA83B7-EB5C-408A-AF38-5426D55B239A}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https://organim.ma/gateaux-personnalises-et-cake-designer-marrakech/</t>
      </text>
    </comment>
    <comment authorId="0" ref="F87">
      <text>
        <t xml:space="preserve">======
ID#AAACEw7hOZw
tc={6CF62D23-008F-4B9F-B7A1-725CD1B66875}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https://www.newcom-maroc.com/eclairage-et-electricite.html</t>
      </text>
    </comment>
    <comment authorId="0" ref="F54">
      <text>
        <t xml:space="preserve">======
ID#AAACEw7hMw0
tc={F1092164-AF61-46BA-A208-EEF2FFB936A3}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https://www.lasdecoeur.com/mariage-marrakech-mamounia/</t>
      </text>
    </comment>
    <comment authorId="0" ref="F21">
      <text>
        <t xml:space="preserve">======
ID#AAACEw7hNsc
    (2026-08-03 10:52:01)
Fiche reconstituée via le web — photographer-marrakech.com</t>
      </text>
    </comment>
    <comment authorId="0" ref="H87">
      <text>
        <t xml:space="preserve">======
ID#AAACEw7hMRA
Salima Benchekroun    (2026-08-03 10:52:00)
Source: newcom-maroc.com · Confiance: medium</t>
      </text>
    </comment>
    <comment authorId="0" ref="F137">
      <text>
        <t xml:space="preserve">======
ID#AAACEw7hOUc
tc={888662A7-51D2-4BFF-AEFE-B6E01FA834D9}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https://kiozeyoga.com/en/produit/pilates-mat/</t>
      </text>
    </comment>
    <comment authorId="0" ref="F104">
      <text>
        <t xml:space="preserve">======
ID#AAACEw7hMKs
tc={376E0895-8E0D-4182-8638-F5056CCD9A47}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https://www.instagram.com/mocktail_mixology_marrakech/</t>
      </text>
    </comment>
    <comment authorId="0" ref="H137">
      <text>
        <t xml:space="preserve">======
ID#AAACEw7hOQw
Salima Benchekroun    (2026-08-03 10:52:02)
Source: kiozeyoga.com · Confiance: high</t>
      </text>
    </comment>
    <comment authorId="0" ref="F71">
      <text>
        <t xml:space="preserve">======
ID#AAACEw7hMak
tc={370036E0-D196-4658-A673-77B13A6E46D0}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https://www.instagram.com/djc4brahim/</t>
      </text>
    </comment>
    <comment authorId="0" ref="F38">
      <text>
        <t xml:space="preserve">======
ID#AAACEw7hOOA
tc={634EB757-78B0-404E-B9D6-4160F6CE83D5}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https://zineventmarrakech.com/</t>
      </text>
    </comment>
    <comment authorId="0" ref="G38">
      <text>
        <t xml:space="preserve">======
ID#AAACEw7hOT0
Salima Benchekroun    (2026-08-03 10:52:02)
Source: ZinEvent Marrakech (site officiel), https://zineventmarrakech.com/contact-us/</t>
      </text>
    </comment>
    <comment authorId="0" ref="F5">
      <text>
        <t xml:space="preserve">======
ID#AAACEw7hN4E
    (2026-08-03 10:52:02)
Fiche reconstituée via le web — myrvetteconsulting.com</t>
      </text>
    </comment>
    <comment authorId="0" ref="H5">
      <text>
        <t xml:space="preserve">======
ID#AAACEw7hNnY
Salima Benchekroun    (2026-08-03 10:52:01)
Source: https://www.myrvetteconsulting.com/en/ · Confiance: high</t>
      </text>
    </comment>
    <comment authorId="0" ref="F121">
      <text>
        <t xml:space="preserve">======
ID#AAACEw7hN28
tc={E34BEC52-B805-40FF-8BD7-C0A13819FD04}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https://www.petitfute.co.uk/v48159-marrakech/c650-produits-gourmands-vins/c1107-pains-gateaux-chocolats-glaces/c671-patisserie/</t>
      </text>
    </comment>
    <comment authorId="0" ref="F88">
      <text>
        <t xml:space="preserve">======
ID#AAACEw7hN8c
tc={19230190-2C43-4C58-87D8-F6B5DCF61774}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https://eventscollection.ma/en/</t>
      </text>
    </comment>
    <comment authorId="0" ref="F55">
      <text>
        <t xml:space="preserve">======
ID#AAACEw7hL68
tc={8BFEC458-3E3A-4F23-B399-0CBD3708D971}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https://be-maphotographe.com/</t>
      </text>
    </comment>
    <comment authorId="0" ref="F22">
      <text>
        <t xml:space="preserve">======
ID#AAACEw7hOKM
    (2026-08-03 10:52:02)
Fiche reconstituée via le web — maroc-photographe.com</t>
      </text>
    </comment>
    <comment authorId="0" ref="H88">
      <text>
        <t xml:space="preserve">======
ID#AAACEw7hNA0
Salima Benchekroun    (2026-08-03 10:52:01)
Source: eventscollection.ma · Confiance: high</t>
      </text>
    </comment>
    <comment authorId="0" ref="H22">
      <text>
        <t xml:space="preserve">======
ID#AAACEw7hMho
Salima Benchekroun    (2026-08-03 10:52:00)
Source: maroc-photographe.com · Confiance: medium</t>
      </text>
    </comment>
    <comment authorId="0" ref="F138">
      <text>
        <t xml:space="preserve">======
ID#AAACEw7hMqs
tc={4E792EE1-6EEA-4D66-8C0B-294462E78A06}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https://mip-studio-marrakech.com/en/pilates-yoga/</t>
      </text>
    </comment>
    <comment authorId="0" ref="F105">
      <text>
        <t xml:space="preserve">======
ID#AAACEw7hN3A
tc={025E55B7-A6FF-4D92-9B14-0F5432E49CA1}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https://www.instagram.com/mixologist_artiste/</t>
      </text>
    </comment>
    <comment authorId="0" ref="F72">
      <text>
        <t xml:space="preserve">======
ID#AAACEw7hL3o
tc={2C235285-C76D-4A28-A43D-25D24B2BCCA2}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https://www.instagram.com/dj_limeuri_anas/</t>
      </text>
    </comment>
    <comment authorId="0" ref="F39">
      <text>
        <t xml:space="preserve">======
ID#AAACEw7hMC0
tc={FB61C001-0171-4A3B-B71F-3F828415BFE1}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https://www.marocsensations-weddingplanner.com/</t>
      </text>
    </comment>
    <comment authorId="0" ref="G39">
      <text>
        <t xml:space="preserve">======
ID#AAACEw7hNEQ
Salima Benchekroun    (2026-08-03 10:52:01)
Source: Maroc Sensations (page officielle FB)</t>
      </text>
    </comment>
    <comment authorId="0" ref="H72">
      <text>
        <t xml:space="preserve">======
ID#AAACEw7hM9I
Salima Benchekroun    (2026-08-03 10:52:01)
Source: limeurievents.com · Confiance: high</t>
      </text>
    </comment>
    <comment authorId="0" ref="F6">
      <text>
        <t xml:space="preserve">======
ID#AAACEw7hMh0
    (2026-08-03 10:52:00)
Fiche reconstituée via le web — maevmaroc.com</t>
      </text>
    </comment>
    <comment authorId="0" ref="F122">
      <text>
        <t xml:space="preserve">======
ID#AAACEw7hL9w
tc={8EB38A48-C10D-4F69-AC45-ACACCF2B8DF5}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https://www.petitfute.co.uk/v48159-marrakech/c650-produits-gourmands-vins/c1107-pains-gateaux-chocolats-glaces/c671-patisserie/</t>
      </text>
    </comment>
    <comment authorId="0" ref="F89">
      <text>
        <t xml:space="preserve">======
ID#AAACEw7hM-Q
tc={30C6611E-ED52-4996-AEED-7B37EC878ACF}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https://soundlightmaroc.com/</t>
      </text>
    </comment>
    <comment authorId="0" ref="F56">
      <text>
        <t xml:space="preserve">======
ID#AAACEw7hNRY
tc={235AF2AD-90AF-4BCF-9F35-A8BFCE12A0B5}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https://rekon.fr/photographe-mariage-marrakech/</t>
      </text>
    </comment>
    <comment authorId="0" ref="H89">
      <text>
        <t xml:space="preserve">======
ID#AAACEw7hOUY
Salima Benchekroun    (2026-08-03 10:52:02)
Source: soundlightmaroc.com · Confiance: high</t>
      </text>
    </comment>
    <comment authorId="0" ref="F23">
      <text>
        <t xml:space="preserve">======
ID#AAACEw7hMks
    (2026-08-03 10:52:00)
Fiche reconstituée via le web — cecilecreiche.com</t>
      </text>
    </comment>
    <comment authorId="0" ref="F139">
      <text>
        <t xml:space="preserve">======
ID#AAACEw7hNqM
tc={65A803E8-9A2B-4BAB-B57E-758304378420}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https://www.bloomhousemarrakech.com/en/</t>
      </text>
    </comment>
    <comment authorId="0" ref="F106">
      <text>
        <t xml:space="preserve">======
ID#AAACEw7hNZM
tc={CDD132A1-845B-40CA-A4E5-E48A4D614C72}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https://moroccanmixology.com/</t>
      </text>
    </comment>
    <comment authorId="0" ref="F73">
      <text>
        <t xml:space="preserve">======
ID#AAACEw7hNTU
tc={7906D52C-D985-415E-B22C-C8870202B210}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https://m8te.fr/dj-marrakech/</t>
      </text>
    </comment>
    <comment authorId="0" ref="F40">
      <text>
        <t xml:space="preserve">======
ID#AAACEw7hME4
tc={64F25154-3FAB-4273-86D9-F6A46E2F8464}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https://yesmyevent.com/</t>
      </text>
    </comment>
    <comment authorId="0" ref="H73">
      <text>
        <t xml:space="preserve">======
ID#AAACEw7hN3U
Salima Benchekroun    (2026-08-03 10:52:02)
Source: m8te.fr · Confiance: medium</t>
      </text>
    </comment>
    <comment authorId="0" ref="F7">
      <text>
        <t xml:space="preserve">======
ID#AAACEw7hNZ4
    (2026-08-03 10:52:01)
Fiche reconstituée via le web — la-perle-events.com + findinmarrakech</t>
      </text>
    </comment>
    <comment authorId="0" ref="H40">
      <text>
        <t xml:space="preserve">======
ID#AAACEw7hMVw
Salima Benchekroun    (2026-08-03 10:52:00)
Source: yesmyevent.com · Confiance: high</t>
      </text>
    </comment>
    <comment authorId="0" ref="F123">
      <text>
        <t xml:space="preserve">======
ID#AAACEw7hMPk
tc={51B50842-AA2C-4353-8042-AFFAD35F80CC}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https://www.lessoeursgourmandes.com/</t>
      </text>
    </comment>
    <comment authorId="0" ref="F90">
      <text>
        <t xml:space="preserve">======
ID#AAACEw7hNk8
tc={8EB45B93-95B3-4A0B-9F43-ED56C60A26D8}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https://eventscollection.ma/en/</t>
      </text>
    </comment>
    <comment authorId="0" ref="F57">
      <text>
        <t xml:space="preserve">======
ID#AAACEw7hOZM
tc={89D983D8-90A0-487A-9AAF-570C9DBBC106}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https://www.capturelife.fr/video-mariage-marrakech/</t>
      </text>
    </comment>
    <comment authorId="0" ref="F24">
      <text>
        <t xml:space="preserve">======
ID#AAACEw7hOnk
    (2026-08-03 10:52:02)
Fiche reconstituée via le web — lasignatureflorale.com</t>
      </text>
    </comment>
    <comment authorId="0" ref="H90">
      <text>
        <t xml:space="preserve">======
ID#AAACEw7hMz4
Salima Benchekroun    (2026-08-03 10:52:01)
Source: eventscollection.ma · Confiance: high</t>
      </text>
    </comment>
    <comment authorId="0" ref="F140">
      <text>
        <t xml:space="preserve">======
ID#AAACEw7hODI
tc={EC703264-7462-41ED-8378-6B52B09DE1B8}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https://pilateshousebygigi.ma/</t>
      </text>
    </comment>
    <comment authorId="0" ref="F107">
      <text>
        <t xml:space="preserve">======
ID#AAACEw7hOg0
tc={8693B0BB-AFF5-4A42-AC50-8F531DA27A2F}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https://www.lesateliersmixologie.com/royal-mansour-marrakech</t>
      </text>
    </comment>
    <comment authorId="0" ref="F74">
      <text>
        <t xml:space="preserve">======
ID#AAACEw7hMoI
tc={F6B77629-A49F-4CBA-88E6-3B0E3C361FD7}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https://m8te.fr/dj-marrakech/</t>
      </text>
    </comment>
    <comment authorId="0" ref="F41">
      <text>
        <t xml:space="preserve">======
ID#AAACEw7hNy8
tc={CC8433F3-EA05-46B3-8E53-DE806CCFA670}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https://www.marocsensations-weddingplanner.com/</t>
      </text>
    </comment>
    <comment authorId="0" ref="H74">
      <text>
        <t xml:space="preserve">======
ID#AAACEw7hNHg
Salima Benchekroun    (2026-08-03 10:52:01)
Source: m8te.fr · Confiance: medium</t>
      </text>
    </comment>
    <comment authorId="0" ref="F8">
      <text>
        <t xml:space="preserve">======
ID#AAACEw7hMec
    (2026-08-03 10:52:00)
Fiche reconstituée via le web — partymarocmarrakech.com</t>
      </text>
    </comment>
    <comment authorId="0" ref="G41">
      <text>
        <t xml:space="preserve">======
ID#AAACEw7hLwQ
Salima Benchekroun    (2026-08-03 10:52:00)
Source: Maroc Sensations (page officielle FB)</t>
      </text>
    </comment>
    <comment authorId="0" ref="H8">
      <text>
        <t xml:space="preserve">======
ID#AAACEw7hMDM
Salima Benchekroun    (2026-08-03 10:52:00)
Source: Party Maroc (site officiel), https://www.partymarocmarrakech.com/wedding-planners-marrakech/ — e-mail non publié (formulaire).</t>
      </text>
    </comment>
    <comment authorId="0" ref="F124">
      <text>
        <t xml:space="preserve">======
ID#AAACEw7hMfs
tc={F7790FEA-BDAC-4BFE-990D-7829AC80CE97}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https://massageadomicilemarrakech.com/en/in-home-massage-marrakech-spa-and-wellness-excellence-at-your-doorstep/</t>
      </text>
    </comment>
    <comment authorId="0" ref="F91">
      <text>
        <t xml:space="preserve">======
ID#AAACEw7hMdk
tc={006E2879-C390-434C-A668-D91F0526D2FA}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https://wonderagency.ma/2025/08/30/location-materiel-evenementiel-maroc/</t>
      </text>
    </comment>
    <comment authorId="0" ref="F58">
      <text>
        <t xml:space="preserve">======
ID#AAACEw7hMSk
tc={D08D4529-1A6A-4E7C-9E44-F6EAB30223E0}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https://www.alexandre-djanbaz.fr/videaste-mariage-maroc</t>
      </text>
    </comment>
    <comment authorId="0" ref="H91">
      <text>
        <t xml:space="preserve">======
ID#AAACEw7hN4Y
Salima Benchekroun    (2026-08-03 10:52:02)
Source: wonderagency.ma · Confiance: medium</t>
      </text>
    </comment>
    <comment authorId="0" ref="F25">
      <text>
        <t xml:space="preserve">======
ID#AAACEw7hL40
    (2026-08-03 10:52:00)
Fiche reconstituée via le web — fleuriste-marrakech.com</t>
      </text>
    </comment>
    <comment authorId="0" ref="F141">
      <text>
        <t xml:space="preserve">======
ID#AAACEw7hMgQ
tc={F59E3CC7-C99B-45B2-B730-FAEE2EDA5C4E}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https://cloudpilates.ma/</t>
      </text>
    </comment>
    <comment authorId="0" ref="F108">
      <text>
        <t xml:space="preserve">======
ID#AAACEw7hOk4
tc={060B01C3-80AE-4BFF-8A11-930D79BB7EA3}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https://www.mixologica.com/en</t>
      </text>
    </comment>
    <comment authorId="0" ref="F75">
      <text>
        <t xml:space="preserve">======
ID#AAACEw7hMJ4
tc={D8EB5162-6396-4AE3-8D5B-05CB56E712DB}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https://selectbyemc.com/evenement-marrakech/music</t>
      </text>
    </comment>
    <comment authorId="0" ref="F42">
      <text>
        <t xml:space="preserve">======
ID#AAACEw7hNNk
tc={490B15D2-DBE8-4BD6-88E1-D120284FDC9F}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https://onenonly-events.com/en/</t>
      </text>
    </comment>
    <comment authorId="0" ref="H75">
      <text>
        <t xml:space="preserve">======
ID#AAACEw7hNco
Salima Benchekroun    (2026-08-03 10:52:01)
Source: selectbyemc.com · Confiance: high</t>
      </text>
    </comment>
    <comment authorId="0" ref="F9">
      <text>
        <t xml:space="preserve">======
ID#AAACEw7hMpg
    (2026-08-03 10:52:00)
Fiche reconstituée via le web — mariage-marrakech-maroc.com</t>
      </text>
    </comment>
    <comment authorId="0" ref="G42">
      <text>
        <t xml:space="preserve">======
ID#AAACEw7hMes
Salima Benchekroun    (2026-08-03 10:52:00)
Source: One &amp; Only Events (site officiel)</t>
      </text>
    </comment>
    <comment authorId="0" ref="H9">
      <text>
        <t xml:space="preserve">======
ID#AAACEw7hNlI
Salima Benchekroun    (2026-08-03 10:52:01)
Source: mariage-marrakech-maroc.com · Confiance: high</t>
      </text>
    </comment>
    <comment authorId="0" ref="F125">
      <text>
        <t xml:space="preserve">======
ID#AAACEw7hM5U
tc={F42C1502-D7F6-4090-A528-448F825F6F1C}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https://homemassageapp.ma/</t>
      </text>
    </comment>
    <comment authorId="0" ref="F92">
      <text>
        <t xml:space="preserve">======
ID#AAACEw7hNI4
tc={88340B1C-6DA0-4D10-AB26-0EBA634B3077}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https://www.instagram.com/camillepetrouvi/</t>
      </text>
    </comment>
    <comment authorId="0" ref="F59">
      <text>
        <t xml:space="preserve">======
ID#AAACEw7hL4I
tc={1CD0840F-2708-44AC-BE44-1DFE0A47811C}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http://livecelebrateshare.fr/wedding</t>
      </text>
    </comment>
    <comment authorId="0" ref="F26">
      <text>
        <t xml:space="preserve">======
ID#AAACEw7hMy8
    (2026-08-03 10:52:01)
Fiche reconstituée via le web — erekafleuriste.com</t>
      </text>
    </comment>
    <comment authorId="0" ref="H26">
      <text>
        <t xml:space="preserve">======
ID#AAACEw7hMno
Salima Benchekroun    (2026-08-03 10:52:00)
Source: erekafleuriste.com · Confiance: high</t>
      </text>
    </comment>
    <comment authorId="0" ref="F142">
      <text>
        <t xml:space="preserve">======
ID#AAACEw7hMBc
tc={56225E64-EB32-4000-B5C6-205E3CD005E0}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https://jeefitpilates.com/</t>
      </text>
    </comment>
    <comment authorId="0" ref="F109">
      <text>
        <t xml:space="preserve">======
ID#AAACEw7hNbI
tc={77C4E40D-C35A-4D2C-B6A0-F1DDB35D3F16}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https://secretstudioprod.com/en/agence-evenementiel/marrakech/</t>
      </text>
    </comment>
    <comment authorId="0" ref="F76">
      <text>
        <t xml:space="preserve">======
ID#AAACEw7hNVQ
tc={3242C66B-BC2E-4981-887C-10BFA2F4807D}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http://www.maevmaroc.com/animation-mariage.html</t>
      </text>
    </comment>
    <comment authorId="0" ref="H142">
      <text>
        <t xml:space="preserve">======
ID#AAACEw7hNHo
Salima Benchekroun    (2026-08-03 10:52:01)
Source: jeefitpilates.com · Confiance: high</t>
      </text>
    </comment>
    <comment authorId="0" ref="F43">
      <text>
        <t xml:space="preserve">======
ID#AAACEw7hNLs
tc={0A5FAF86-D7E2-49E3-9078-F6B26D6AAE67}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https://onenonly-events.com/en/</t>
      </text>
    </comment>
    <comment authorId="0" ref="H109">
      <text>
        <t xml:space="preserve">======
ID#AAACEw7hMB8
Salima Benchekroun    (2026-08-03 10:52:00)
Source: secretstudioprod.com · Confiance: high</t>
      </text>
    </comment>
    <comment authorId="0" ref="G43">
      <text>
        <t xml:space="preserve">======
ID#AAACEw7hNzw
Salima Benchekroun    (2026-08-03 10:52:01)
Source: One &amp; Only Events (site officiel)</t>
      </text>
    </comment>
    <comment authorId="0" ref="F10">
      <text>
        <t xml:space="preserve">======
ID#AAACEw7hML8
    (2026-08-03 10:52:00)
Fiche reconstituée via le web — Instagram @mille.events (mariages.net)</t>
      </text>
    </comment>
    <comment authorId="0" ref="F126">
      <text>
        <t xml:space="preserve">======
ID#AAACEw7hNGw
tc={318EF07D-F8E8-4EBB-8D3F-EF20E8016556}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https://massagedomicilemarrakech.com/</t>
      </text>
    </comment>
    <comment authorId="0" ref="F93">
      <text>
        <t xml:space="preserve">======
ID#AAACEw7hNBA
tc={B72BEC91-FA0E-42A3-A87C-28E752820B16}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https://www.instagram.com/lolabellezza/</t>
      </text>
    </comment>
    <comment authorId="0" ref="F60">
      <text>
        <t xml:space="preserve">======
ID#AAACEw7hNf4
tc={C0158773-44E6-4EF5-A058-971373139407}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https://photographer-marrakech.com/</t>
      </text>
    </comment>
    <comment authorId="0" ref="F27">
      <text>
        <t xml:space="preserve">======
ID#AAACEw7hN2I
    (2026-08-03 10:52:02)
Fiche reconstituée via le web — kechflora.com</t>
      </text>
    </comment>
    <comment authorId="0" ref="H27">
      <text>
        <t xml:space="preserve">======
ID#AAACEw7hOiw
Salima Benchekroun    (2026-08-03 10:52:02)
Source: kechflora.com · Confiance: high</t>
      </text>
    </comment>
    <comment authorId="0" ref="F143">
      <text>
        <t xml:space="preserve">======
ID#AAACEw7hNkY
tc={F894FF5C-5567-47DA-89C1-CD886079501E}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https://kiozeyoga.com/en/produit/pilates-detox-marrakech/</t>
      </text>
    </comment>
    <comment authorId="0" ref="F110">
      <text>
        <t xml:space="preserve">======
ID#AAACEw7hOLQ
tc={3259F506-ECA3-4D72-9184-EE5DB66AB940}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https://www.lenouveaustudio.com/?lang=en</t>
      </text>
    </comment>
    <comment authorId="0" ref="H143">
      <text>
        <t xml:space="preserve">======
ID#AAACEw7hMkg
Salima Benchekroun    (2026-08-03 10:52:00)
Source: kiozeyoga.com · Confiance: high</t>
      </text>
    </comment>
    <comment authorId="0" ref="F77">
      <text>
        <t xml:space="preserve">======
ID#AAACEw7hL80
tc={D9518159-B602-4A3A-B3CA-7CB77B865B42}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https://selectbyemc.com/evenement-marrakech/music</t>
      </text>
    </comment>
    <comment authorId="0" ref="F44">
      <text>
        <t xml:space="preserve">======
ID#AAACEw7hMlI
tc={4E0906B9-64F0-44CE-9147-4E7DEA9FEE99}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https://www.myrvetteconsulting.com/en/</t>
      </text>
    </comment>
    <comment authorId="0" ref="F11">
      <text>
        <t xml:space="preserve">======
ID#AAACEw7hNME
    (2026-08-03 10:52:01)
Fiche reconstituée via le web — mariages.net/traiteur-mariage/service-marrakech</t>
      </text>
    </comment>
    <comment authorId="0" ref="H77">
      <text>
        <t xml:space="preserve">======
ID#AAACEw7hL70
Salima Benchekroun    (2026-08-03 10:52:00)
Source: selectbyemc.com · Confiance: high</t>
      </text>
    </comment>
    <comment authorId="0" ref="H44">
      <text>
        <t xml:space="preserve">======
ID#AAACEw7hMo8
Salima Benchekroun    (2026-08-03 10:52:00)
Source: https://www.myrvetteconsulting.com/en/ · Confiance: high</t>
      </text>
    </comment>
    <comment authorId="0" ref="F127">
      <text>
        <t xml:space="preserve">======
ID#AAACEw7hMqo
tc={8E0E8AAF-A170-473A-ADF9-1645BC6DAFCB}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https://zeina-spa.com/</t>
      </text>
    </comment>
    <comment authorId="0" ref="F94">
      <text>
        <t xml:space="preserve">======
ID#AAACEw7hOb4
tc={BA53EF51-0DB0-4AF6-BE75-04BEB08A78AD}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https://www.instagram.com/marwaglam/</t>
      </text>
    </comment>
    <comment authorId="0" ref="H127">
      <text>
        <t xml:space="preserve">======
ID#AAACEw7hMZU
Salima Benchekroun    (2026-08-03 10:52:00)
Source: zeina-spa.com · Confiance: high</t>
      </text>
    </comment>
    <comment authorId="0" ref="F61">
      <text>
        <t xml:space="preserve">======
ID#AAACEw7hL88
tc={6A333A61-EAF0-4554-9AC9-7F9BA42ADEDF}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https://photographer-marrakech.com/</t>
      </text>
    </comment>
    <comment authorId="0" ref="F28">
      <text>
        <t xml:space="preserve">======
ID#AAACEw7hL84
tc={4A00379B-96EA-4671-A1B3-329493E767CC}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https://www.myrvetteconsulting.com/en/</t>
      </text>
    </comment>
    <comment authorId="0" ref="H28">
      <text>
        <t xml:space="preserve">======
ID#AAACEw7hOo4
Salima Benchekroun    (2026-08-03 10:52:02)
Source: https://www.myrvetteconsulting.com/en/ · Confiance: high</t>
      </text>
    </comment>
    <comment authorId="0" ref="F144">
      <text>
        <t xml:space="preserve">======
ID#AAACEw7hOJg
tc={8DF9A275-EA79-4896-B323-B54FBF621334}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https://www.bloomhousemarrakech.com/en/</t>
      </text>
    </comment>
    <comment authorId="0" ref="F111">
      <text>
        <t xml:space="preserve">======
ID#AAACEw7hL_M
tc={A0140ED5-A7C1-4AA0-AB3F-6F1A339AA28C}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https://mkfilms.ma/en/</t>
      </text>
    </comment>
    <comment authorId="0" ref="F78">
      <text>
        <t xml:space="preserve">======
ID#AAACEw7hMU8
tc={AEDA5277-B659-4BF1-8A18-A50C1367814C}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http://www.maevmaroc.com/animation-mariage.html</t>
      </text>
    </comment>
    <comment authorId="0" ref="F45">
      <text>
        <t xml:space="preserve">======
ID#AAACEw7hOeI
tc={7ED71A5A-1261-43DE-9C48-34944B959B9F}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https://lesbainsdemarrakech.com/en</t>
      </text>
    </comment>
    <comment authorId="0" ref="F12">
      <text>
        <t xml:space="preserve">======
ID#AAACEw7hMsE
    (2026-08-03 10:52:01)
Fiche reconstituée via le web — mor-event.com</t>
      </text>
    </comment>
    <comment authorId="0" ref="H45">
      <text>
        <t xml:space="preserve">======
ID#AAACEw7hN9A
Salima Benchekroun    (2026-08-03 10:52:02)
Source: findinmarrakech.com · Confiance: medium</t>
      </text>
    </comment>
    <comment authorId="0" ref="F128">
      <text>
        <t xml:space="preserve">======
ID#AAACEw7hMMQ
tc={527CD62C-3407-4D01-8910-0CA4DD77396A}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https://massagemarrakechspa.com/</t>
      </text>
    </comment>
    <comment authorId="0" ref="F95">
      <text>
        <t xml:space="preserve">======
ID#AAACEw7hMcs
tc={3C883266-29DC-4025-8E34-BF6BF641A628}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https://www.instagram.com/thesouki/</t>
      </text>
    </comment>
    <comment authorId="0" ref="F62">
      <text>
        <t xml:space="preserve">======
ID#AAACEw7hMpI
tc={A71D8296-E25C-4E76-B906-FE5B06DA04BE}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https://eloomm.ma/traiteur-a-marrakech/</t>
      </text>
    </comment>
    <comment authorId="0" ref="F29">
      <text>
        <t xml:space="preserve">======
ID#AAACEw7hONE
tc={A29D3D92-1D62-42F8-81E4-D1EBF3E60C44}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https://tresorsdeclaire.com/en/</t>
      </text>
    </comment>
    <comment authorId="0" ref="H29">
      <text>
        <t xml:space="preserve">======
ID#AAACEw7hOok
Salima Benchekroun    (2026-08-03 10:52:02)
Source: tresorsdeclaire.com · Confiance: high</t>
      </text>
    </comment>
    <comment authorId="0" ref="F145">
      <text>
        <t xml:space="preserve">======
ID#AAACEw7hM2I
tc={B07FA870-2E70-4FC1-A779-5B74F8C6166E}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https://pilateshousebygigi.ma/</t>
      </text>
    </comment>
    <comment authorId="0" ref="F112">
      <text>
        <t xml:space="preserve">======
ID#AAACEw7hOm8
tc={B03A0A59-87F2-4A71-A3E4-580E22291068}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https://www.adkeyprod.ma/en/video-production-marrakech/</t>
      </text>
    </comment>
    <comment authorId="0" ref="F79">
      <text>
        <t xml:space="preserve">======
ID#AAACEw7hOS8
tc={5E68D7A3-E983-4C35-B713-92EE3EEEC707}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https://www.marocsensations-weddingplanner.com/location-materiel-evenementiel/</t>
      </text>
    </comment>
    <comment authorId="0" ref="F46">
      <text>
        <t xml:space="preserve">======
ID#AAACEw7hOpg
tc={A4544F81-6444-4837-82C5-219127DAB37B}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https://lesbainsdulotus.com/</t>
      </text>
    </comment>
    <comment authorId="0" ref="G79">
      <text>
        <t xml:space="preserve">======
ID#AAACEw7hMPg
Salima Benchekroun    (2026-08-03 10:52:00)
Source: Maroc Sensations (page officielle FB)</t>
      </text>
    </comment>
    <comment authorId="0" ref="F13">
      <text>
        <t xml:space="preserve">======
ID#AAACEw7hOIY
    (2026-08-03 10:52:02)
Fiche reconstituée via le web — marrakech-traiteur.com (La Palmeraie)</t>
      </text>
    </comment>
    <comment authorId="0" ref="H46">
      <text>
        <t xml:space="preserve">======
ID#AAACEw7hL6U
Salima Benchekroun    (2026-08-03 10:52:00)
Source: lesbainsdulotus.com · Confiance: high</t>
      </text>
    </comment>
    <comment authorId="0" ref="H13">
      <text>
        <t xml:space="preserve">======
ID#AAACEw7hMMk
Salima Benchekroun    (2026-08-03 10:52:00)
Source: directory · Confiance: medium</t>
      </text>
    </comment>
    <comment authorId="0" ref="F129">
      <text>
        <t xml:space="preserve">======
ID#AAACEw7hNdI
tc={6E1CA201-9F8D-4596-9EB0-1FD59AFDBA00}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https://911-spa.com/spa-a-domicile-a-marrakech/</t>
      </text>
    </comment>
    <comment authorId="0" ref="F96">
      <text>
        <t xml:space="preserve">======
ID#AAACEw7hNVo
tc={DEFA7753-DE96-4A78-8E2A-6617EE032A8C}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https://www.instagram.com/najwa_jamalouki/</t>
      </text>
    </comment>
    <comment authorId="0" ref="F63">
      <text>
        <t xml:space="preserve">======
ID#AAACEw7hNUc
tc={9585FE4C-CC33-46A1-ABE0-72661792D7DD}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https://selectbyemc.com/evenement-marrakech/caterer</t>
      </text>
    </comment>
    <comment authorId="0" ref="F30">
      <text>
        <t xml:space="preserve">======
ID#AAACEw7hOhs
tc={F6C5DDCF-EFFC-4B14-B1B0-CE001A0EFD0C}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https://www.mariage-marrakech-maroc.com/</t>
      </text>
    </comment>
    <comment authorId="0" ref="H63">
      <text>
        <t xml:space="preserve">======
ID#AAACEw7hNak
Salima Benchekroun    (2026-08-03 10:52:01)
Source: selectbyemc.com · Confiance: high</t>
      </text>
    </comment>
    <comment authorId="0" ref="H30">
      <text>
        <t xml:space="preserve">======
ID#AAACEw7hODw
Salima Benchekroun    (2026-08-03 10:52:02)
Source: mariage-marrakech-maroc.com · Confiance: high</t>
      </text>
    </comment>
    <comment authorId="0" ref="F146">
      <text>
        <t xml:space="preserve">======
ID#AAACEw7hMN4
tc={5DD9ABD4-27F4-43F1-8CC8-A231C7FE6ED5}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https://cloudpilates.ma/</t>
      </text>
    </comment>
    <comment authorId="0" ref="F113">
      <text>
        <t xml:space="preserve">======
ID#AAACEw7hL64
tc={417161BF-8A99-4E3B-9012-2DFDCF5431D1}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https://sitewebmarrakech.ma/production-audio-visuelle-marrakech.html</t>
      </text>
    </comment>
    <comment authorId="0" ref="F80">
      <text>
        <t xml:space="preserve">======
ID#AAACEw7hOck
tc={8B68D0A9-283E-46E5-BBF2-813C024A9A1F}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https://www.integral-location.ma/location-deco-marrakech/</t>
      </text>
    </comment>
    <comment authorId="0" ref="F47">
      <text>
        <t xml:space="preserve">======
ID#AAACEw7hOXw
tc={CBB164BB-8993-4837-976B-D96BA0529212}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https://www.royalmansour.com/en/marrakech/spa-wellness/hammam/</t>
      </text>
    </comment>
    <comment authorId="0" ref="F14">
      <text>
        <t xml:space="preserve">======
ID#AAACEw7hMk8
    (2026-08-03 10:52:00)
Fiche reconstituée via le web — conciergerie-kechprestige.com</t>
      </text>
    </comment>
    <comment authorId="0" ref="H47">
      <text>
        <t xml:space="preserve">======
ID#AAACEw7hNwg
Salima Benchekroun    (2026-08-03 10:52:01)
Source: royalmansour.com · Confiance: high</t>
      </text>
    </comment>
    <comment authorId="0" ref="H14">
      <text>
        <t xml:space="preserve">======
ID#AAACEw7hNl4
Salima Benchekroun    (2026-08-03 10:52:01)
Source: conciergerie-kechprestige.com · Confiance: high</t>
      </text>
    </comment>
    <comment authorId="0" ref="F130">
      <text>
        <t xml:space="preserve">======
ID#AAACEw7hMPY
tc={9AB44E86-B252-44C1-A611-29224642118E}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https://zeina-spa.com/</t>
      </text>
    </comment>
    <comment authorId="0" ref="F97">
      <text>
        <t xml:space="preserve">======
ID#AAACEw7hOKc
tc={D4C52A5B-7371-4F5D-8141-59D4231CF723}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https://limamakeupartist.com/</t>
      </text>
    </comment>
    <comment authorId="0" ref="H130">
      <text>
        <t xml:space="preserve">======
ID#AAACEw7hOFU
Salima Benchekroun    (2026-08-03 10:52:02)
Source: zeina-spa.com · Confiance: high</t>
      </text>
    </comment>
    <comment authorId="0" ref="F64">
      <text>
        <t xml:space="preserve">======
ID#AAACEw7hMtw
tc={E2C207D9-405D-4407-ABF7-3431DD967B8D}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https://traiteur-marrakech.com/meilleur-traiteur-de-marrakech/</t>
      </text>
    </comment>
    <comment authorId="0" ref="F31">
      <text>
        <t xml:space="preserve">======
ID#AAACEw7hNY8
tc={8844F1FB-A417-4CA1-AA41-8303EE08B4CC}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https://zineventmarrakech.com/</t>
      </text>
    </comment>
    <comment authorId="0" ref="G31">
      <text>
        <t xml:space="preserve">======
ID#AAACEw7hOTY
Salima Benchekroun    (2026-08-03 10:52:02)
Source: ZinEvent Marrakech (site officiel + page FB), https://zineventmarrakech.com/contact-us/</t>
      </text>
    </comment>
    <comment authorId="0" ref="H64">
      <text>
        <t xml:space="preserve">======
ID#AAACEw7hM98
Salima Benchekroun    (2026-08-03 10:52:01)
Source: directory · Confiance: medium</t>
      </text>
    </comment>
    <comment authorId="0" ref="F147">
      <text>
        <t xml:space="preserve">======
ID#AAACEw7hNbw
tc={06485934-2F9E-466A-B912-7C9E0846DC5E}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https://jeefitpilates.com/</t>
      </text>
    </comment>
    <comment authorId="0" ref="F114">
      <text>
        <t xml:space="preserve">======
ID#AAACEw7hNcI
tc={9808C4FF-B28B-42E1-B597-88E9030A4050}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https://secretstudioprod.com/en/agence-evenementiel/marrakech/</t>
      </text>
    </comment>
    <comment authorId="0" ref="H147">
      <text>
        <t xml:space="preserve">======
ID#AAACEw7hOdc
Salima Benchekroun    (2026-08-03 10:52:02)
Source: jeefitpilates.com · Confiance: high</t>
      </text>
    </comment>
    <comment authorId="0" ref="F81">
      <text>
        <t xml:space="preserve">======
ID#AAACEw7hN40
tc={66D7CAD5-FBBD-434E-9936-ABC02CF1243C}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https://www.newcom-maroc.com/eclairage-et-electricite.html</t>
      </text>
    </comment>
    <comment authorId="0" ref="F48">
      <text>
        <t xml:space="preserve">======
ID#AAACEw7hOoM
tc={359258C7-488D-4452-B4AA-744755195A20}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https://mamounia.com/en/the-spa-wellbeing/</t>
      </text>
    </comment>
    <comment authorId="0" ref="H114">
      <text>
        <t xml:space="preserve">======
ID#AAACEw7hMKE
Salima Benchekroun    (2026-08-03 10:52:00)
Source: secretstudioprod.com · Confiance: high</t>
      </text>
    </comment>
    <comment authorId="0" ref="H81">
      <text>
        <t xml:space="preserve">======
ID#AAACEw7hOQQ
Salima Benchekroun    (2026-08-03 10:52:02)
Source: newcom-maroc.com · Confiance: medium</t>
      </text>
    </comment>
    <comment authorId="0" ref="F15">
      <text>
        <t xml:space="preserve">======
ID#AAACEw7hMlE
    (2026-08-03 10:52:00)
Fiche reconstituée via le web — djmarrakech.com / m8te.fr</t>
      </text>
    </comment>
    <comment authorId="0" ref="H48">
      <text>
        <t xml:space="preserve">======
ID#AAACEw7hORI
Salima Benchekroun    (2026-08-03 10:52:02)
Source: mamounia.com · Confiance: high</t>
      </text>
    </comment>
    <comment authorId="0" ref="H15">
      <text>
        <t xml:space="preserve">======
ID#AAACEw7hN6E
Salima Benchekroun    (2026-08-03 10:52:02)
Source: m8te.fr · Confiance: medium</t>
      </text>
    </comment>
    <comment authorId="0" ref="F131">
      <text>
        <t xml:space="preserve">======
ID#AAACEw7hMwg
tc={A91C46B6-315D-42C0-ADF8-183FE4A8326D}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https://massageadomicilemarrakech.com/en/in-home-massage-marrakech-spa-and-wellness-excellence-at-your-doorstep/</t>
      </text>
    </comment>
    <comment authorId="0" ref="F98">
      <text>
        <t xml:space="preserve">======
ID#AAACEw7hL8g
tc={04B28620-4293-4AED-ABA3-AFD81CBD985D}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https://amandine-makeup.com/wp/en/</t>
      </text>
    </comment>
    <comment authorId="0" ref="F65">
      <text>
        <t xml:space="preserve">======
ID#AAACEw7hLwA
tc={AA60B977-ED2C-4703-A22C-4EACA7023286}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https://www.marrakech-traiteur.com/traiteur-marrakech.html</t>
      </text>
    </comment>
    <comment authorId="0" ref="F32">
      <text>
        <t xml:space="preserve">======
ID#AAACEw7hNls
tc={51E3F3DF-7C66-47E3-A69B-544F85B19E20}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https://www.marocsensations-weddingplanner.com/</t>
      </text>
    </comment>
    <comment authorId="0" ref="G32">
      <text>
        <t xml:space="preserve">======
ID#AAACEw7hOFQ
Salima Benchekroun    (2026-08-03 10:52:02)
Source: Maroc Sensations (page officielle FB + marocsensations-weddingplanner.com), https://www.facebook.com/marocsensations/</t>
      </text>
    </comment>
    <comment authorId="0" ref="H65">
      <text>
        <t xml:space="preserve">======
ID#AAACEw7hNlo
Salima Benchekroun    (2026-08-03 10:52:01)
Source: directory · Confiance: medium</t>
      </text>
    </comment>
    <comment authorId="0" ref="H32">
      <text>
        <t xml:space="preserve">======
ID#AAACEw7hN7o
Salima Benchekroun    (2026-08-03 10:52:02)
Source: Maroc Sensations (page officielle FB)</t>
      </text>
    </comment>
    <comment authorId="0" ref="F148">
      <text>
        <t xml:space="preserve">======
ID#AAACEw7hMF4
tc={D285CA43-6AA9-41B7-A12B-15908A30BE3D}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https://www.bloomhousemarrakech.com/en/</t>
      </text>
    </comment>
    <comment authorId="0" ref="F115">
      <text>
        <t xml:space="preserve">======
ID#AAACEw7hOM0
tc={5D4D98FD-B674-4BC2-B9B3-6526E2F24308}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https://paragone.pro/</t>
      </text>
    </comment>
    <comment authorId="0" ref="F82">
      <text>
        <t xml:space="preserve">======
ID#AAACEw7hNLU
tc={8F247725-14F1-463A-B507-EAF3BA340BA9}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https://www.integral-location.ma/location-mobilier-evenement-marrakech/</t>
      </text>
    </comment>
    <comment authorId="0" ref="F49">
      <text>
        <t xml:space="preserve">======
ID#AAACEw7hMHQ
tc={76F6CC7E-E76D-45A6-8F0D-1407B1B362FA}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https://www.roadiscalling.com/best-hammams-in-marrakech/</t>
      </text>
    </comment>
    <comment authorId="0" ref="F16">
      <text>
        <t xml:space="preserve">======
ID#AAACEw7hNSY
    (2026-08-03 10:52:01)
Fiche reconstituée via le web — djsoulchic.com</t>
      </text>
    </comment>
    <comment authorId="0" ref="H49">
      <text>
        <t xml:space="preserve">======
ID#AAACEw7hOII
Salima Benchekroun    (2026-08-03 10:52:02)
Source: lasultanahotels.com · Confiance: high</t>
      </text>
    </comment>
    <comment authorId="0" ref="H16">
      <text>
        <t xml:space="preserve">======
ID#AAACEw7hN8g
Salima Benchekroun    (2026-08-03 10:52:02)
Source: djsoulchic.com · Confiance: high</t>
      </text>
    </comment>
    <comment authorId="0" ref="F132">
      <text>
        <t xml:space="preserve">======
ID#AAACEw7hMnI
tc={0F4C715F-ECD7-4F1C-B6A2-9FA543F4C4A3}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https://homemassageapp.ma/</t>
      </text>
    </comment>
    <comment authorId="0" ref="F99">
      <text>
        <t xml:space="preserve">======
ID#AAACEw7hLyI
tc={17D6F07E-5322-4724-B264-575A34EA9372}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https://www.instagram.com/marwaglam/</t>
      </text>
    </comment>
    <comment authorId="0" ref="F66">
      <text>
        <t xml:space="preserve">======
ID#AAACEw7hNTY
tc={FCB90528-BEA5-40E0-A38F-7C4B76DC7597}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http://www.montraiteurmaroc.com/chef-a-domicile/</t>
      </text>
    </comment>
    <comment authorId="0" ref="F33">
      <text>
        <t xml:space="preserve">======
ID#AAACEw7hOiM
tc={C8D7A95E-4ED0-4A45-8980-2981A5875336}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https://onenonly-events.com/en/</t>
      </text>
    </comment>
    <comment authorId="0" ref="G33">
      <text>
        <t xml:space="preserve">======
ID#AAACEw7hMkM
Salima Benchekroun    (2026-08-03 10:52:00)
Source: One &amp; Only Events (site officiel), https://onenonly-events.com/en/contact-us/</t>
      </text>
    </comment>
    <comment authorId="0" ref="F149">
      <text>
        <t xml:space="preserve">======
ID#AAACEw7hMUg
tc={F335BF68-97EA-4F0D-85B2-BEDAB5B307A0}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https://cloudpilates.ma/</t>
      </text>
    </comment>
    <comment authorId="0" ref="F116">
      <text>
        <t xml:space="preserve">======
ID#AAACEw7hMzY
tc={4690488A-D0FA-46AC-A4F5-4E1D7B294F91}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https://paragone.pro/</t>
      </text>
    </comment>
    <comment authorId="0" ref="F83">
      <text>
        <t xml:space="preserve">======
ID#AAACEw7hOKk
tc={F35C0B15-957A-4188-B529-9B2CD5A3C884}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https://www.marocsensations-weddingplanner.com/location-materiel-evenementiel/</t>
      </text>
    </comment>
    <comment authorId="0" ref="F50">
      <text>
        <t xml:space="preserve">======
ID#AAACEw7hNO0
tc={113E1654-5941-47CB-813F-D5E9965D76A9}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https://www.tripadvisor.com/Attractions-g293734-Activities-c40-t250-Marrakech_Marrakech_Safi.html</t>
      </text>
    </comment>
    <comment authorId="0" ref="G83">
      <text>
        <t xml:space="preserve">======
ID#AAACEw7hL5M
Salima Benchekroun    (2026-08-03 10:52:00)
Source: Maroc Sensations (page officielle FB)</t>
      </text>
    </comment>
    <comment authorId="0" ref="F17">
      <text>
        <t xml:space="preserve">======
ID#AAACEw7hNuA
    (2026-08-03 10:52:01)
Fiche reconstituée via le web — mariage-marocain.com (DJ Jérem)</t>
      </text>
    </comment>
    <comment authorId="0" ref="H50">
      <text>
        <t xml:space="preserve">======
ID#AAACEw7hMKQ
Salima Benchekroun    (2026-08-03 10:52:00)
Source: wamarrakech.com · Confiance: high</t>
      </text>
    </comment>
  </commentList>
  <extLst>
    <ext uri="GoogleSheetsCustomDataVersion2">
      <go:sheetsCustomData xmlns:go="http://customooxmlschemas.google.com/" r:id="rId1" roundtripDataSignature="AMtx7mgTFFSQ+rz+FN2fI4GWmyHgzMk3Sw=="/>
    </ext>
  </extL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7">
      <text>
        <t xml:space="preserve">======
ID#AAACEw7hL0w
tc={58BAA69D-F620-4956-B1D7-3C57DD79AC41}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https://saphyyrevents.fr/lieux-de-reception-seminaires-marrakech</t>
      </text>
    </comment>
    <comment authorId="0" ref="F34">
      <text>
        <t xml:space="preserve">======
ID#AAACEw7hMh8
tc={63D44F1B-61D3-488E-8E9E-609D70408D9A}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https://www.foundouk.com/restaurant-marrakech/actu-accueil-de-groupes-au-restaurant-le-foundouk-242.php</t>
      </text>
    </comment>
    <comment authorId="0" ref="H67">
      <text>
        <t xml:space="preserve">======
ID#AAACEw7hNRM
Salima Benchekroun    (2026-08-03 10:52:01)
Source officielle : fourseasons.com/marrakech (1 Bd de la Menara) · réservations +212 524 35 92 22.</t>
      </text>
    </comment>
    <comment authorId="0" ref="H34">
      <text>
        <t xml:space="preserve">======
ID#AAACEw7hMZw
Salima Benchekroun    (2026-08-03 10:52:00)
Source officielle : foundouk.com (55 Souk Hal Fes, Kaât Bennahïd, Médina).</t>
      </text>
    </comment>
    <comment authorId="0" ref="F59">
      <text>
        <t xml:space="preserve">======
ID#AAACEw7hN84
tc={B2484607-563E-477B-A903-3375EA6FEFD6}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https://saphyyrevents.fr/seminaires-a-marrakech-top-15-lieux-de-reception-professionnels</t>
      </text>
    </comment>
    <comment authorId="0" ref="F26">
      <text>
        <t xml:space="preserve">======
ID#AAACEw7hLvw
tc={E06B9F39-B3AB-4FC2-BF91-6A61AD729A99}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https://myprivatevillamarrakech.com/blog/post/les-meilleurs-rooftops-de-marrakech</t>
      </text>
    </comment>
    <comment authorId="0" ref="H59">
      <text>
        <t xml:space="preserve">======
ID#AAACEw7hMJo
Salima Benchekroun    (2026-08-03 10:52:00)
Source officielle : mamounia.com (Av. Bab Jdid) — événements/séminaires: min. 10 chambres, Grand Salon 450 m².</t>
      </text>
    </comment>
    <comment authorId="0" ref="H26">
      <text>
        <t xml:space="preserve">======
ID#AAACEw7hM3U
Salima Benchekroun    (2026-08-03 10:52:01)
Source officielle : hôtel The Pearl Marrakech (Av. Echouhada &amp; Rue du Temple, Hivernage) — Sky Lounge en rooftop.</t>
      </text>
    </comment>
    <comment authorId="0" ref="F84">
      <text>
        <t xml:space="preserve">======
ID#AAACEw7hNx0
tc={C7ED801E-4773-49B8-8AE8-66332DE67B6B}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https://www.tripadvisor.com/Attractions-g293734-Activities-c40-t250-Marrakech_Marrakech_Safi.html</t>
      </text>
    </comment>
    <comment authorId="0" ref="F51">
      <text>
        <t xml:space="preserve">======
ID#AAACEw7hM5M
tc={0F7CC1FA-8E5A-4D67-9ED4-4DEC06961B2D}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https://chouetteworld.com/marrakech-en-famille/</t>
      </text>
    </comment>
    <comment authorId="0" ref="H84">
      <text>
        <t xml:space="preserve">======
ID#AAACEw7hOfQ
Salima Benchekroun    (2026-08-03 10:52:02)
Source: wamarrakech.com · Confiance: high</t>
      </text>
    </comment>
    <comment authorId="0" ref="F18">
      <text>
        <t xml:space="preserve">======
ID#AAACEw7hONU
tc={DF26CBCC-19F3-46A6-ADA5-0E219710A5ED}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https://terremarrakech.com/organisez-votre-mariage-de-reve-dans-un-riad-a-marrakech-une-experience-inoubliable/</t>
      </text>
    </comment>
    <comment authorId="0" ref="H51">
      <text>
        <t xml:space="preserve">======
ID#AAACEw7hNww
Salima Benchekroun    (2026-08-03 10:52:01)
Source officielle : anima-garden.com (Jardin Anima / André Heller, Douar Sbiti, Route de l'Ourika).</t>
      </text>
    </comment>
    <comment authorId="0" ref="H18">
      <text>
        <t xml:space="preserve">======
ID#AAACEw7hNsw
Salima Benchekroun    (2026-08-03 10:52:01)
Source officielle : palaissebban.com (43 Derb Moulay Abdellah Ben Hssein, Laksour).</t>
      </text>
    </comment>
    <comment authorId="0" ref="F76">
      <text>
        <t xml:space="preserve">======
ID#AAACEw7hNWw
tc={0B77C0DF-F9EC-47A0-91AB-404BF32810EB}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https://saphyyrevents.fr/lieux-de-reception-seminaires-marrakech</t>
      </text>
    </comment>
    <comment authorId="0" ref="F43">
      <text>
        <t xml:space="preserve">======
ID#AAACEw7hMsY
tc={4FD5A770-C2CE-4DA0-A1A5-757FF6FF1B98}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https://www.tiktok.com/discover/beach-club-marrakech</t>
      </text>
    </comment>
    <comment authorId="0" ref="F10">
      <text>
        <t xml:space="preserve">======
ID#AAACEw7hMGo
    (2026-08-03 10:52:00)
Fiche reconstituée via le web — maximebernadin.com (lieux réception)</t>
      </text>
    </comment>
    <comment authorId="0" ref="H43">
      <text>
        <t xml:space="preserve">======
ID#AAACEw7hOb8
Salima Benchekroun    (2026-08-03 10:52:02)
Source officielle : cafedelmarkech.com (Route de l'Ourika, Km 10).</t>
      </text>
    </comment>
    <comment authorId="0" ref="H10">
      <text>
        <t xml:space="preserve">======
ID#AAACEw7hOWo
Salima Benchekroun    (2026-08-03 10:52:02)
Source: villa-jardin-nomade.com · Confiance: high</t>
      </text>
    </comment>
    <comment authorId="0" ref="F68">
      <text>
        <t xml:space="preserve">======
ID#AAACEw7hNSk
tc={D04B1FDD-7375-4CF0-A3FE-344E915A351E}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https://saphyyrevents.fr/seminaires-a-marrakech-top-15-lieux-de-reception-professionnels</t>
      </text>
    </comment>
    <comment authorId="0" ref="F35">
      <text>
        <t xml:space="preserve">======
ID#AAACEw7hNGM
tc={330599DF-19B7-49CC-838F-C25A961D6966}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https://www.terrassedesepices.com/fr/groupes-et-evenementiel/3</t>
      </text>
    </comment>
    <comment authorId="0" ref="H68">
      <text>
        <t xml:space="preserve">======
ID#AAACEw7hNGQ
Salima Benchekroun    (2026-08-03 10:52:01)
Source officielle : el-fenn.com (Derb Moulay Abdellah Ben Hezzian, Bab El Ksour, Médina).</t>
      </text>
    </comment>
    <comment authorId="0" ref="H35">
      <text>
        <t xml:space="preserve">======
ID#AAACEw7hL-g
Salima Benchekroun    (2026-08-03 10:52:00)
Source officielle : terrassedesepices.com (15 Souk Cherifia, Sidi Abdelaziz, Médina).</t>
      </text>
    </comment>
    <comment authorId="0" ref="F60">
      <text>
        <t xml:space="preserve">======
ID#AAACEw7hMro
tc={3503242C-7023-4930-AB2E-BB8E8737B809}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https://saphyyrevents.fr/lieux-de-reception-seminaires-marrakech</t>
      </text>
    </comment>
    <comment authorId="0" ref="F27">
      <text>
        <t xml:space="preserve">======
ID#AAACEw7hOeY
tc={93062B05-7A02-4055-91BB-B799E513AAE6}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https://myprivatevillamarrakech.com/blog/post/les-meilleurs-rooftops-de-marrakech</t>
      </text>
    </comment>
    <comment authorId="0" ref="H27">
      <text>
        <t xml:space="preserve">======
ID#AAACEw7hMyQ
Salima Benchekroun    (2026-08-03 10:52:01)
Source officielle : mykechmara-rooftop.com / kechmara.com (3 Rue de la Liberté, Guéliz).</t>
      </text>
    </comment>
    <comment authorId="0" ref="F85">
      <text>
        <t xml:space="preserve">======
ID#AAACEw7hMtg
tc={F4B342A4-7229-45DD-8D86-4DFB6BB2496F}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https://www.thehotelguru.com/en-us/best-hotels/morocco/marrakech-hammams</t>
      </text>
    </comment>
    <comment authorId="0" ref="G85">
      <text>
        <t xml:space="preserve">======
ID#AAACEw7hNXQ
Salima Benchekroun    (2026-08-03 10:52:01)
Source: 72 Riad Living (site officiel riad72.com / page officielle), https://www.riad72.com/contact/</t>
      </text>
    </comment>
    <comment authorId="0" ref="F52">
      <text>
        <t xml:space="preserve">======
ID#AAACEw7hMDQ
tc={7C8F91F9-EC77-45C0-B8AC-50D3C66143B1}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https://venus-mariage.com/marrakech-destination-mariage-luxe/</t>
      </text>
    </comment>
    <comment authorId="0" ref="H85">
      <text>
        <t xml:space="preserve">======
ID#AAACEw7hOKg
Salima Benchekroun    (2026-08-03 10:52:02)
Source: 72 Riad Living (site officiel), https://riad72.reserve-online.net</t>
      </text>
    </comment>
    <comment authorId="0" ref="F19">
      <text>
        <t xml:space="preserve">======
ID#AAACEw7hNMk
tc={862C22D1-F105-4962-ADE3-365BA3DFF53E}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https://terremarrakech.com/organisez-votre-mariage-de-reve-dans-un-riad-a-marrakech-une-experience-inoubliable/</t>
      </text>
    </comment>
    <comment authorId="0" ref="H19">
      <text>
        <t xml:space="preserve">======
ID#AAACEw7hNdc
Salima Benchekroun    (2026-08-03 10:52:01)
Source officielle : lesjardinsdelamedina.com (21 Derb Chtouka, Kasbah).</t>
      </text>
    </comment>
    <comment authorId="0" ref="F77">
      <text>
        <t xml:space="preserve">======
ID#AAACEw7hOcM
tc={BC36DDC0-03F9-47C0-B9C9-8F9EFDC4549C}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</t>
      </text>
    </comment>
    <comment authorId="0" ref="G77">
      <text>
        <t xml:space="preserve">======
ID#AAACEw7hMr0
Salima Benchekroun    (2026-08-03 10:52:01)
Source: Labranda Rose Aqua Parc (site officiel + page FB officielle), https://www.labranda.com/rose-aqua-parc</t>
      </text>
    </comment>
    <comment authorId="0" ref="F44">
      <text>
        <t xml:space="preserve">======
ID#AAACEw7hMLE
tc={A0555CB9-110C-4CC2-B2B0-CD0F737489F1}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https://www.vanupied.com/marrakech/parcs-marrakech/6-lieux-ou-se-baigner-a-marrakech-piscine-parc-aquatique-ou-lac.html</t>
      </text>
    </comment>
    <comment authorId="0" ref="H77">
      <text>
        <t xml:space="preserve">======
ID#AAACEw7hNzM
Salima Benchekroun    (2026-08-03 10:52:01)
Source: Labranda Rose Aqua Parc (site officiel), https://www.labranda.com/rose-aqua-parc</t>
      </text>
    </comment>
    <comment authorId="0" ref="F11">
      <text>
        <t xml:space="preserve">======
ID#AAACEw7hNgw
    (2026-08-03 10:52:01)
Fiche reconstituée via le web — maximebernadin.com (lieux réception)</t>
      </text>
    </comment>
    <comment authorId="0" ref="H44">
      <text>
        <t xml:space="preserve">======
ID#AAACEw7hMXU
Salima Benchekroun    (2026-08-03 10:52:00)
Source officielle : IG @pinkcactus_marrakech (Route du Golf, Amelkis / Golf Royal).</t>
      </text>
    </comment>
    <comment authorId="0" ref="H11">
      <text>
        <t xml:space="preserve">======
ID#AAACEw7hNBU
Salima Benchekroun    (2026-08-03 10:52:01)
Source: domainedesremparts.com · Confiance: high</t>
      </text>
    </comment>
    <comment authorId="0" ref="F69">
      <text>
        <t xml:space="preserve">======
ID#AAACEw7hODQ
tc={0AC3F266-B40E-4485-BBF8-9A4A0B02F6E6}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https://saphyyrevents.fr/seminaires-a-marrakech-top-15-lieux-de-reception-professionnels</t>
      </text>
    </comment>
    <comment authorId="0" ref="F36">
      <text>
        <t xml:space="preserve">======
ID#AAACEw7hN3w
tc={886D90AB-FAA3-4EEC-AC9A-917A475983BB}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https://www.villa-aaron.com/fr/private-events</t>
      </text>
    </comment>
    <comment authorId="0" ref="F3">
      <text>
        <t xml:space="preserve">======
ID#AAACEw7hOEw
    (2026-08-03 10:52:02)
Fiche reconstituée via le web — villatajmarrakech.com</t>
      </text>
    </comment>
    <comment authorId="0" ref="H69">
      <text>
        <t xml:space="preserve">======
ID#AAACEw7hN_Q
Salima Benchekroun    (2026-08-03 10:52:02)
Source officielle : lefarnatchi.com (Derb el Farnatchi, Rue Souk el Fassis, Médina).</t>
      </text>
    </comment>
    <comment authorId="0" ref="H36">
      <text>
        <t xml:space="preserve">======
ID#AAACEw7hOko
Salima Benchekroun    (2026-08-03 10:52:02)
Source officielle : villa-aaron.com (Amazoz Group, 7 rue Ibn Rochd).</t>
      </text>
    </comment>
    <comment authorId="0" ref="H3">
      <text>
        <t xml:space="preserve">======
ID#AAACEw7hMXA
Salima Benchekroun    (2026-08-03 10:52:00)
Source: groupe Villa Taj (site officiel), https://riad-taj-omayma.com — numéro central opérateur (Villa Taj / Taj Omayma).</t>
      </text>
    </comment>
    <comment authorId="0" ref="F61">
      <text>
        <t xml:space="preserve">======
ID#AAACEw7hMHc
tc={38EDF695-FEF5-4ED3-957E-388E1E6CA245}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https://www.mariage-marrakech-maroc.com/mariage-marrakech/lieux-de-reception/</t>
      </text>
    </comment>
    <comment authorId="0" ref="F28">
      <text>
        <t xml:space="preserve">======
ID#AAACEw7hNmg
tc={4F1DA591-0FBD-41AF-B08B-09E5A63B3ED9}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https://onenonly-events.com/en/rooftop-dardar/</t>
      </text>
    </comment>
    <comment authorId="0" ref="H28">
      <text>
        <t xml:space="preserve">======
ID#AAACEw7hOas
Salima Benchekroun    (2026-08-03 10:52:02)
Source officielle : rooftopdardar.com (4 Riad Zitoun Lakdim, Médina).</t>
      </text>
    </comment>
    <comment authorId="0" ref="F86">
      <text>
        <t xml:space="preserve">======
ID#AAACEw7hMfU
tc={F1AF92DE-19A8-4621-9B3C-01231D549908}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https://www.leclosdesarts.com/page/hammam</t>
      </text>
    </comment>
    <comment authorId="0" ref="F53">
      <text>
        <t xml:space="preserve">======
ID#AAACEw7hN1Q
tc={05C716EA-CE1E-4E09-83F2-23D7DF563ADC}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https://moroccoluxuryhighlights.com/best-luxury-venues-privatize-marrakech-atlas-desert/</t>
      </text>
    </comment>
    <comment authorId="0" ref="F20">
      <text>
        <t xml:space="preserve">======
ID#AAACEw7hNr4
tc={DF1DC5D7-E610-478D-BD86-CDCEF7D44B43}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https://terremarrakech.com/organisez-votre-mariage-de-reve-dans-un-riad-a-marrakech-une-experience-inoubliable/</t>
      </text>
    </comment>
    <comment authorId="0" ref="H53">
      <text>
        <t xml:space="preserve">======
ID#AAACEw7hNiM
Salima Benchekroun    (2026-08-03 10:52:01)
Source officielle : inaracamp.com (Agafay, douar Ifrane).</t>
      </text>
    </comment>
    <comment authorId="0" ref="H20">
      <text>
        <t xml:space="preserve">======
ID#AAACEw7hNsg
Salima Benchekroun    (2026-08-03 10:52:01)
Source officielle : dardarma.com (11/12 Trik Sidi Bohuarba, Médina).</t>
      </text>
    </comment>
    <comment authorId="0" ref="F78">
      <text>
        <t xml:space="preserve">======
ID#AAACEw7hL8k
tc={974E5F9E-13D1-49AD-A5F4-73C3ABE4FB23}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https://lesbainsdemarrakech.com/en</t>
      </text>
    </comment>
    <comment authorId="0" ref="G78">
      <text>
        <t xml:space="preserve">======
ID#AAACEw7hN2Y
Salima Benchekroun    (2026-08-03 10:52:02)
Source: Les Bains de Marrakech (site officiel), https://lesbainsdemarrakech.com/en/contact</t>
      </text>
    </comment>
    <comment authorId="0" ref="F45">
      <text>
        <t xml:space="preserve">======
ID#AAACEw7hMNU
tc={468E4B25-5BEE-45F1-8419-BD37C195FCE3}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https://www.vanupied.com/marrakech/parcs-marrakech/6-lieux-ou-se-baigner-a-marrakech-piscine-parc-aquatique-ou-lac.html</t>
      </text>
    </comment>
    <comment authorId="0" ref="H78">
      <text>
        <t xml:space="preserve">======
ID#AAACEw7hNAc
Salima Benchekroun    (2026-08-03 10:52:01)
Source officielle : lesbainsdemarrakech.com / Instagram @les_bains_de_marrakech — tél +212 524 38 14 28, WhatsApp +212 651 17 19 10. Bab Agnaou, 2 Derb Sedra, Médina.</t>
      </text>
    </comment>
    <comment authorId="0" ref="F12">
      <text>
        <t xml:space="preserve">======
ID#AAACEw7hM7M
    (2026-08-03 10:52:01)
Fiche reconstituée via le web — inaracamp.com</t>
      </text>
    </comment>
    <comment authorId="0" ref="H45">
      <text>
        <t xml:space="preserve">======
ID#AAACEw7hOD8
Salima Benchekroun    (2026-08-03 10:52:02)
Source officielle : villa-nour.com (day pass piscine, Médina / route d'Amizmiz).</t>
      </text>
    </comment>
    <comment authorId="0" ref="G12">
      <text>
        <t xml:space="preserve">======
ID#AAACEw7hMI4
Salima Benchekroun    (2026-08-03 10:52:00)
Source: Inara Camp (site officiel), https://inaracamp.com/contact/</t>
      </text>
    </comment>
    <comment authorId="0" ref="H12">
      <text>
        <t xml:space="preserve">======
ID#AAACEw7hOkI
Salima Benchekroun    (2026-08-03 10:52:02)
Source: Inara Camp (site officiel), https://inaracamp.com/contact/</t>
      </text>
    </comment>
    <comment authorId="0" ref="F70">
      <text>
        <t xml:space="preserve">======
ID#AAACEw7hOmw
tc={5548AE0D-BBD3-486A-9709-5E5EE3771BC3}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https://saphyyrevents.fr/seminaires-a-marrakech-top-15-lieux-de-reception-professionnels</t>
      </text>
    </comment>
    <comment authorId="0" ref="F37">
      <text>
        <t xml:space="preserve">======
ID#AAACEw7hOME
tc={412C581E-B7DA-4AF3-AFFC-BE0E877DDF5C}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https://darsoukkar.com/event.php</t>
      </text>
    </comment>
    <comment authorId="0" ref="F4">
      <text>
        <t xml:space="preserve">======
ID#AAACEw7hMgs
    (2026-08-03 10:52:00)
Fiche reconstituée via le web — riad-taj-omayma.com</t>
      </text>
    </comment>
    <comment authorId="0" ref="G37">
      <text>
        <t xml:space="preserve">======
ID#AAACEw7hMO4
Salima Benchekroun    (2026-08-03 10:52:00)
Source: Palais Dar Soukkar (site officiel), events.darsoukkar.com — même établissement que la fiche PALAIS.</t>
      </text>
    </comment>
    <comment authorId="0" ref="H70">
      <text>
        <t xml:space="preserve">======
ID#AAACEw7hMAU
Salima Benchekroun    (2026-08-03 10:52:00)
Source officielle : riadkniza.com (34 Derb l'Hotel, Bab Doukkala, Médina).</t>
      </text>
    </comment>
    <comment authorId="0" ref="H37">
      <text>
        <t xml:space="preserve">======
ID#AAACEw7hMkI
Salima Benchekroun    (2026-08-03 10:52:00)
Source: Palais Dar Soukkar (site officiel) — même établissement que la fiche PALAIS.</t>
      </text>
    </comment>
    <comment authorId="0" ref="H4">
      <text>
        <t xml:space="preserve">======
ID#AAACEw7hL6Q
Salima Benchekroun    (2026-08-03 10:52:00)
Source: groupe Villa Taj (site officiel), https://riad-taj-omayma.com — numéro central opérateur (Villa Taj / Taj Omayma).</t>
      </text>
    </comment>
    <comment authorId="0" ref="F62">
      <text>
        <t xml:space="preserve">======
ID#AAACEw7hMCM
tc={8AC65879-E505-4E62-99BD-30125490839F}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https://www.immobiliermarrakech.fr/palais-evenementiels-marrakech/</t>
      </text>
    </comment>
    <comment authorId="0" ref="F29">
      <text>
        <t xml:space="preserve">======
ID#AAACEw7hNFI
tc={16FB1734-D49F-4CAF-BDA9-4D34E2E9165F}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https://vivre-marrakech.com/blog/pratique/rooftop-restaurants-terrasses-marrakech/</t>
      </text>
    </comment>
    <comment authorId="0" ref="H29">
      <text>
        <t xml:space="preserve">======
ID#AAACEw7hOlw
Salima Benchekroun    (2026-08-03 10:52:02)
Source officielle : lmidamarrakech.com (78 bis Derb Nkhel, Rahba Kdima, Médina).</t>
      </text>
    </comment>
    <comment authorId="0" ref="F87">
      <text>
        <t xml:space="preserve">======
ID#AAACEw7hNXI
tc={31FBB887-02D2-4D43-9268-8825020F4F5B}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https://www.thehotelguru.com/en-us/best-hotels/morocco/marrakech-hammams</t>
      </text>
    </comment>
    <comment authorId="0" ref="F54">
      <text>
        <t xml:space="preserve">======
ID#AAACEw7hM_k
tc={F6772EBD-7CF0-4EF1-97E5-429EAF02D3D9}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https://www.mariage-marrakech-maroc.com/mariage-marrakech/lieux-de-reception/</t>
      </text>
    </comment>
    <comment authorId="0" ref="G87">
      <text>
        <t xml:space="preserve">======
ID#AAACEw7hL_k
Salima Benchekroun    (2026-08-03 10:52:00)
Source: Dar Cherifa (géré par Marrakech Riads, site officiel), https://marrakech-riads.com/en/restaurant-dar-cherifa/</t>
      </text>
    </comment>
    <comment authorId="0" ref="F21">
      <text>
        <t xml:space="preserve">======
ID#AAACEw7hOjw
tc={DCE97CA5-C837-4981-AC08-6AEC11BDAAFB}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https://terremarrakech.com/organisez-votre-mariage-de-reve-dans-un-riad-a-marrakech-une-experience-inoubliable/</t>
      </text>
    </comment>
    <comment authorId="0" ref="H87">
      <text>
        <t xml:space="preserve">======
ID#AAACEw7hMB0
Salima Benchekroun    (2026-08-03 10:52:00)
Source: Dar Cherifa (site officiel Marrakech Riads), https://marrakech-riads.com/en/restaurant-dar-cherifa/</t>
      </text>
    </comment>
    <comment authorId="0" ref="H21">
      <text>
        <t xml:space="preserve">======
ID#AAACEw7hMP4
Salima Benchekroun    (2026-08-03 10:52:00)
Source officielle : be-marrakech.com / @bemarrakech (Médina, visite sur réservation).</t>
      </text>
    </comment>
    <comment authorId="0" ref="F79">
      <text>
        <t xml:space="preserve">======
ID#AAACEw7hN5s
tc={EB75AE7E-11BA-4C4E-85D5-EBCB61FA699D}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https://lesbainsdulotus.com/</t>
      </text>
    </comment>
    <comment authorId="0" ref="F46">
      <text>
        <t xml:space="preserve">======
ID#AAACEw7hMzg
tc={9AFB1070-5547-4D91-A08F-93910717C2C5}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https://www.vanupied.com/marrakech/parcs-marrakech/6-lieux-ou-se-baigner-a-marrakech-piscine-parc-aquatique-ou-lac.html</t>
      </text>
    </comment>
    <comment authorId="0" ref="H79">
      <text>
        <t xml:space="preserve">======
ID#AAACEw7hMgI
Salima Benchekroun    (2026-08-03 10:52:00)
Source: lesbainsdulotus.com · Confiance: high</t>
      </text>
    </comment>
    <comment authorId="0" ref="F13">
      <text>
        <t xml:space="preserve">======
ID#AAACEw7hMAo
    (2026-08-03 10:52:00)
Fiche reconstituée via le web — scarabeocamp.com + agafaypiscine.com</t>
      </text>
    </comment>
    <comment authorId="0" ref="H46">
      <text>
        <t xml:space="preserve">======
ID#AAACEw7hOIE
Salima Benchekroun    (2026-08-03 10:52:02)
Source officielle : oasislodges.net (KM 4, Route d'Amizmiz) · WhatsApp +212 667 787 243.</t>
      </text>
    </comment>
    <comment authorId="0" ref="G13">
      <text>
        <t xml:space="preserve">======
ID#AAACEw7hNlA
Salima Benchekroun    (2026-08-03 10:52:01)
Source: Scarabeo Camp (site officiel), https://www.scarabeocamp.com/contact-fr — même établissement que la fiche BIVOUAC/Scarabeo.</t>
      </text>
    </comment>
    <comment authorId="0" ref="F71">
      <text>
        <t xml:space="preserve">======
ID#AAACEw7hL4g
tc={881E2A43-A029-49F1-A01C-2449E6D02C2C}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</t>
      </text>
    </comment>
    <comment authorId="0" ref="G71">
      <text>
        <t xml:space="preserve">======
ID#AAACEw7hORM
Salima Benchekroun    (2026-08-03 10:52:02)
Source: Hôtel El Andalous Lounges &amp; Spa (site officiel), https://www.elandalous-marrakech.com/en/nous-contacter/</t>
      </text>
    </comment>
    <comment authorId="0" ref="F38">
      <text>
        <t xml:space="preserve">======
ID#AAACEw7hNo0
tc={B2E607F5-21D1-45FC-89FD-87789B137143}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https://leopardmarrakech.com/privatization-proposal/</t>
      </text>
    </comment>
    <comment authorId="0" ref="F5">
      <text>
        <t xml:space="preserve">======
ID#AAACEw7hOoU
    (2026-08-03 10:52:02)
Fiche reconstituée via le web — villazin.com</t>
      </text>
    </comment>
    <comment authorId="0" ref="H71">
      <text>
        <t xml:space="preserve">======
ID#AAACEw7hNQw
Salima Benchekroun    (2026-08-03 10:52:01)
Source: Hôtel El Andalous (site officiel), https://www.elandalous-marrakech.com</t>
      </text>
    </comment>
    <comment authorId="0" ref="H38">
      <text>
        <t xml:space="preserve">======
ID#AAACEw7hOPE
Salima Benchekroun    (2026-08-03 10:52:02)
Source officielle : leopardmarrakech.com (Bd Mohammed VI) — restaurant dîner-spectacle.</t>
      </text>
    </comment>
    <comment authorId="0" ref="H5">
      <text>
        <t xml:space="preserve">======
ID#AAACEw7hOes
Salima Benchekroun    (2026-08-03 10:52:02)
Source: villazin.com · Confiance: high</t>
      </text>
    </comment>
    <comment authorId="0" ref="F63">
      <text>
        <t xml:space="preserve">======
ID#AAACEw7hMpo
tc={CF74AFE5-04B7-44C3-8486-1CC1D5A300B2}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https://congres-seminaires-marrakech.com/sofitel-marrakech.html</t>
      </text>
    </comment>
    <comment authorId="0" ref="F30">
      <text>
        <t xml:space="preserve">======
ID#AAACEw7hMqk
tc={C5CD18BD-38CE-4691-9DC7-DAD6317C44B0}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https://vivre-marrakech.com/blog/pratique/rooftop-restaurants-terrasses-marrakech/</t>
      </text>
    </comment>
    <comment authorId="0" ref="H63">
      <text>
        <t xml:space="preserve">======
ID#AAACEw7hM70
Salima Benchekroun    (2026-08-03 10:52:01)
Source officielle : all.accor.com / sofitel.accor.com (Rue Haroun Errachid, Hivernage).</t>
      </text>
    </comment>
    <comment authorId="0" ref="H30">
      <text>
        <t xml:space="preserve">======
ID#AAACEw7hNfU
Salima Benchekroun    (2026-08-03 10:52:01)
Source officielle : cafearabe.com (184 rue Mouassine, Médina).</t>
      </text>
    </comment>
    <comment authorId="0" ref="F88">
      <text>
        <t xml:space="preserve">======
ID#AAACEw7hOLY
tc={912314B8-B0B6-4483-884D-B4F0462E3B9C}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https://www.thehotelguru.com/en-us/best-hotels/morocco/marrakech-hammams</t>
      </text>
    </comment>
    <comment authorId="0" ref="G88">
      <text>
        <t xml:space="preserve">======
ID#AAACEw7hMH8
Salima Benchekroun    (2026-08-03 10:52:00)
Source: David Bloch Gallery (site officiel), https://www.davidblochgallery.com/en/contacts/ — showroom sur RDV.</t>
      </text>
    </comment>
    <comment authorId="0" ref="F55">
      <text>
        <t xml:space="preserve">======
ID#AAACEw7hL4E
tc={531FD706-550D-4C43-94C7-D740391743E5}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https://venus-mariage.com/marrakech-destination-mariage-luxe/</t>
      </text>
    </comment>
    <comment authorId="0" ref="H88">
      <text>
        <t xml:space="preserve">======
ID#AAACEw7hOY0
Salima Benchekroun    (2026-08-03 10:52:02)
Source: David Bloch Gallery (site officiel), https://www.davidblochgallery.com/en/contacts/</t>
      </text>
    </comment>
    <comment authorId="0" ref="G55">
      <text>
        <t xml:space="preserve">======
ID#AAACEw7hNd8
Salima Benchekroun    (2026-08-03 10:52:01)
Source: Scarabeo Camp (site officiel), https://www.scarabeocamp.com/contact-fr — e-mail événementiel dédié (aussi reservation@scarabeo-camp.com, info@scarabeo-camp.com).</t>
      </text>
    </comment>
    <comment authorId="0" ref="F22">
      <text>
        <t xml:space="preserve">======
ID#AAACEw7hM-M
tc={BD044AF7-2008-41C3-B657-A7AD8ECD38DF}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https://www.riad-taj-omayma.com/fr/choisir-riad-mariage-marrakech/</t>
      </text>
    </comment>
    <comment authorId="0" ref="H55">
      <text>
        <t xml:space="preserve">======
ID#AAACEw7hNL0
Salima Benchekroun    (2026-08-03 10:52:01)
Source officielle : scarabeocamp.com (Agafay) — bureau lun-sam 9h-13h/14h-18h.</t>
      </text>
    </comment>
    <comment authorId="0" ref="G22">
      <text>
        <t xml:space="preserve">======
ID#AAACEw7hMnw
Salima Benchekroun    (2026-08-03 10:52:00)
Source: Riad Taj Omayma (site officiel groupe Villa Taj), https://riad-taj-omayma.com</t>
      </text>
    </comment>
    <comment authorId="0" ref="H22">
      <text>
        <t xml:space="preserve">======
ID#AAACEw7hNR8
Salima Benchekroun    (2026-08-03 10:52:01)
Source: Riad Taj Omayma (site officiel), https://riad-taj-omayma.com</t>
      </text>
    </comment>
    <comment authorId="0" ref="F80">
      <text>
        <t xml:space="preserve">======
ID#AAACEw7hNeA
tc={79B7C5CD-BDC5-404A-B3EB-0ADF677E595E}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https://www.royalmansour.com/en/marrakech/spa-wellness/hammam/</t>
      </text>
    </comment>
    <comment authorId="0" ref="G80">
      <text>
        <t xml:space="preserve">======
ID#AAACEw7hMHE
Salima Benchekroun    (2026-08-03 10:52:00)
Source: Royal Mansour Marrakech (site officiel), https://www.royalmansour.com/en/marrakech/contact/</t>
      </text>
    </comment>
    <comment authorId="0" ref="F47">
      <text>
        <t xml:space="preserve">======
ID#AAACEw7hMEo
tc={70ABA877-7898-4561-8731-F961DCBC1ECA}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https://www.vanupied.com/marrakech/parcs-marrakech/6-lieux-ou-se-baigner-a-marrakech-piscine-parc-aquatique-ou-lac.html</t>
      </text>
    </comment>
    <comment authorId="0" ref="F14">
      <text>
        <t xml:space="preserve">======
ID#AAACEw7hNlM
    (2026-08-03 10:52:01)
Fiche reconstituée via le web — oxygenlodgeagafay.com + agafaypiscine.com</t>
      </text>
    </comment>
    <comment authorId="0" ref="H80">
      <text>
        <t xml:space="preserve">======
ID#AAACEw7hNic
Salima Benchekroun    (2026-08-03 10:52:01)
Source: Royal Mansour Marrakech — ligne Spa (site officiel), https://www.royalmansour.com/en/marrakech/contact/</t>
      </text>
    </comment>
    <comment authorId="0" ref="G14">
      <text>
        <t xml:space="preserve">======
ID#AAACEw7hMh4
Salima Benchekroun    (2026-08-03 10:52:00)
Source: Oxygen Lodge Agafay (site officiel), https://www.oxygenlodgeagafay.com/contact-us.html</t>
      </text>
    </comment>
    <comment authorId="0" ref="F72">
      <text>
        <t xml:space="preserve">======
ID#AAACEw7hOfw
tc={C3EB8EEB-C3DF-4CDD-9326-E7B8D229DA84}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https://www.immobiliermarrakech.fr/palais-evenementiels-marrakech/</t>
      </text>
    </comment>
    <comment authorId="0" ref="F39">
      <text>
        <t xml:space="preserve">======
ID#AAACEw7hNMU
tc={487FC4B6-CD9E-42DF-BAE1-B9E968FF7398}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https://www.diaffa.ma/evenements</t>
      </text>
    </comment>
    <comment authorId="0" ref="F6">
      <text>
        <t xml:space="preserve">======
ID#AAACEw7hNHQ
    (2026-08-03 10:52:01)
Fiche reconstituée via le web — villas-riads-marrakech.com (Domaine de Shama)</t>
      </text>
    </comment>
    <comment authorId="0" ref="H39">
      <text>
        <t xml:space="preserve">======
ID#AAACEw7hLuk
Salima Benchekroun    (2026-08-03 10:52:00)
Source officielle : diaffa.ma / restaurantdiaffa.com (1 Rue Jbel Lakhdar, Médina).</t>
      </text>
    </comment>
    <comment authorId="0" ref="F64">
      <text>
        <t xml:space="preserve">======
ID#AAACEw7hMZ4
tc={6C1BDD9A-A94E-481E-B0C8-FD7B5A2380A6}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</t>
      </text>
    </comment>
    <comment authorId="0" ref="G64">
      <text>
        <t xml:space="preserve">======
ID#AAACEw7hOeA
Salima Benchekroun    (2026-08-03 10:52:02)
Source: Palm Plaza Hôtel &amp; Spa (site officiel), https://hotelpalmplaza.com/contact-us/</t>
      </text>
    </comment>
    <comment authorId="0" ref="F31">
      <text>
        <t xml:space="preserve">======
ID#AAACEw7hOJw
tc={E57ED88D-F00A-4AF2-AF9E-94000BDEC101}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https://vivre-marrakech.com/blog/pratique/rooftop-restaurants-terrasses-marrakech/</t>
      </text>
    </comment>
    <comment authorId="0" ref="G31">
      <text>
        <t xml:space="preserve">======
ID#AAACEw7hOo8
Salima Benchekroun    (2026-08-03 10:52:02)
Source: Four Seasons Resort Marrakech (site officiel), https://www.fourseasons.com/marrakech — Zest Rooftop = restaurant du Four Seasons (même établissement).</t>
      </text>
    </comment>
    <comment authorId="0" ref="H64">
      <text>
        <t xml:space="preserve">======
ID#AAACEw7hNsk
Salima Benchekroun    (2026-08-03 10:52:01)
Source: Palm Plaza Hôtel &amp; Spa (site officiel), https://hotelpalmplaza.com</t>
      </text>
    </comment>
    <comment authorId="0" ref="H31">
      <text>
        <t xml:space="preserve">======
ID#AAACEw7hNy0
Salima Benchekroun    (2026-08-03 10:52:01)
Source: Four Seasons Resort Marrakech (site officiel) — même établissement que Zest Rooftop.</t>
      </text>
    </comment>
    <comment authorId="0" ref="F89">
      <text>
        <t xml:space="preserve">======
ID#AAACEw7hNRs
tc={EA69AFFB-C8ED-4FE8-BC69-ED80BB718848}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https://www.thehotelguru.com/en-us/best-hotels/morocco/marrakech-hammams</t>
      </text>
    </comment>
    <comment authorId="0" ref="F56">
      <text>
        <t xml:space="preserve">======
ID#AAACEw7hOec
tc={89810DFE-2F7B-4164-B111-57159DC94B59}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https://congres-seminaires-marrakech.com/palais-des-congres.html</t>
      </text>
    </comment>
    <comment authorId="0" ref="G89">
      <text>
        <t xml:space="preserve">======
ID#AAACEw7hNqQ
Salima Benchekroun    (2026-08-03 10:52:01)
Source: Galerie 127 (site officiel), https://www.galerie127.com/contact/</t>
      </text>
    </comment>
    <comment authorId="0" ref="G56">
      <text>
        <t xml:space="preserve">======
ID#AAACEw7hOFc
Salima Benchekroun    (2026-08-03 10:52:02)
Source: Mövenpick Hotel Mansour Eddahbi / Palais des Congrès (site officiel), https://www.movenpickmarrakech.com/en/contact-us/</t>
      </text>
    </comment>
    <comment authorId="0" ref="H89">
      <text>
        <t xml:space="preserve">======
ID#AAACEw7hM38
Salima Benchekroun    (2026-08-03 10:52:01)
Source: Galerie 127 (site officiel), https://www.galerie127.com/contact/</t>
      </text>
    </comment>
    <comment authorId="0" ref="F23">
      <text>
        <t xml:space="preserve">======
ID#AAACEw7hMiw
tc={B4AB1FE1-6EC8-49F6-95BF-49A044760756}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https://www.leblogdemadamec.fr/blog-mariage-lifestyle/lieux-de-mariage-dexception-a-marrakech/</t>
      </text>
    </comment>
    <comment authorId="0" ref="H56">
      <text>
        <t xml:space="preserve">======
ID#AAACEw7hOmQ
Salima Benchekroun    (2026-08-03 10:52:02)
Source: Mövenpick Hotel Mansour Eddahbi (site officiel), https://www.movenpickmarrakech.com/en/contact-us/</t>
      </text>
    </comment>
    <comment authorId="0" ref="H23">
      <text>
        <t xml:space="preserve">======
ID#AAACEw7hMww
Salima Benchekroun    (2026-08-03 10:52:01)
Source officielle : l-hotelmarrakech.com (41 Derb Sidi Lahcen ou Ali, Bab Doukkala).</t>
      </text>
    </comment>
    <comment authorId="0" ref="F81">
      <text>
        <t xml:space="preserve">======
ID#AAACEw7hNNw
tc={488D7CE3-E8D8-4F50-BBD9-9420CF6549E6}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https://mamounia.com/en/the-spa-wellbeing/</t>
      </text>
    </comment>
    <comment authorId="0" ref="F48">
      <text>
        <t xml:space="preserve">======
ID#AAACEw7hOeQ
tc={121CD7C2-46E6-41FA-AB5A-3E59ED361E77}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https://www.jardinsdemarrakech.com/</t>
      </text>
    </comment>
    <comment authorId="0" ref="H81">
      <text>
        <t xml:space="preserve">======
ID#AAACEw7hOiU
Salima Benchekroun    (2026-08-03 10:52:02)
Source officielle : mamounia.com — Spa de La Mamounia (même établissement, Av. Bab Jdid).</t>
      </text>
    </comment>
    <comment authorId="0" ref="F15">
      <text>
        <t xml:space="preserve">======
ID#AAACEw7hN4I
    (2026-08-03 10:52:02)
Fiche reconstituée via le web — darsoukkar.com / events.darsoukkar.com</t>
      </text>
    </comment>
    <comment authorId="0" ref="H48">
      <text>
        <t xml:space="preserve">======
ID#AAACEw7hMhs
Salima Benchekroun    (2026-08-03 10:52:00)
Source officielle : jardinsdemarrakech.com (Secteur Sidi Youssef Ben Ali, Ouled Hassoune).</t>
      </text>
    </comment>
    <comment authorId="0" ref="F73">
      <text>
        <t xml:space="preserve">======
ID#AAACEw7hOlY
tc={842D05DC-EA4E-4458-AE21-80B8ACFC4700}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https://www.immobiliermarrakech.fr/palais-evenementiels-marrakech/</t>
      </text>
    </comment>
    <comment authorId="0" ref="F40">
      <text>
        <t xml:space="preserve">======
ID#AAACEw7hMgc
tc={8AC0169E-557F-40DD-815C-64627F05081C}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https://famousbeachmarrakech.com/en/test-2/</t>
      </text>
    </comment>
    <comment authorId="0" ref="F7">
      <text>
        <t xml:space="preserve">======
ID#AAACEw7hMfk
    (2026-08-03 10:52:00)
Fiche reconstituée via le web — siesta-marrakech.com</t>
      </text>
    </comment>
    <comment authorId="0" ref="G7">
      <text>
        <t xml:space="preserve">======
ID#AAACEw7hNUY
Salima Benchekroun    (2026-08-03 10:52:01)
Source: Domaine La Siesta (site officiel), https://siesta-marrakech.com/contact/</t>
      </text>
    </comment>
    <comment authorId="0" ref="H40">
      <text>
        <t xml:space="preserve">======
ID#AAACEw7hMio
Salima Benchekroun    (2026-08-03 10:52:00)
Source officielle : famousbeachmarrakech.com (Route de l'Ourika) · infoline IG +212 766 587 985.</t>
      </text>
    </comment>
    <comment authorId="0" ref="H7">
      <text>
        <t xml:space="preserve">======
ID#AAACEw7hM-g
Salima Benchekroun    (2026-08-03 10:52:01)
Source: Domaine La Siesta (site officiel), https://siesta-marrakech.com/contact/</t>
      </text>
    </comment>
    <comment authorId="0" ref="F65">
      <text>
        <t xml:space="preserve">======
ID#AAACEw7hNEs
tc={7870652A-AA7B-4B22-87F8-5A49D70B43B9}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</t>
      </text>
    </comment>
    <comment authorId="0" ref="F32">
      <text>
        <t xml:space="preserve">======
ID#AAACEw7hL6Y
tc={5FE28A7A-9768-43DA-B1E0-2F0A2801FB9C}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https://vivre-marrakech.com/blog/pratique/rooftop-restaurants-terrasses-marrakech/</t>
      </text>
    </comment>
    <comment authorId="0" ref="H65">
      <text>
        <t xml:space="preserve">======
ID#AAACEw7hOgI
Salima Benchekroun    (2026-08-03 10:52:02)
Source officielle : savoylegrandhotelmarrakech.com/contact — Avenue Prince My Rachid, Hivernage.</t>
      </text>
    </comment>
    <comment authorId="0" ref="H32">
      <text>
        <t xml:space="preserve">======
ID#AAACEw7hObk
Salima Benchekroun    (2026-08-03 10:52:02)
Source officielle : selman-marrakech.com — restaurant La Terrasse by Jean-François Piège (Km 5 route d'Amizmiz).</t>
      </text>
    </comment>
    <comment authorId="0" ref="F90">
      <text>
        <t xml:space="preserve">======
ID#AAACEw7hNOY
Salima Benchekroun    (2026-08-03 10:52:01)
Catégorie EP-YAC marquée non applicable (audit #19). Marrakech étant une ville intérieure, aucun prestataire yacht/bateau. Fiche conservée mais désactivée.</t>
      </text>
    </comment>
    <comment authorId="0" ref="F57">
      <text>
        <t xml:space="preserve">======
ID#AAACEw7hOPk
tc={80A45761-81CC-4822-AED1-66023B52B038}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https://congres-seminaires-marrakech.com/palmeraie-palace.html</t>
      </text>
    </comment>
    <comment authorId="0" ref="F24">
      <text>
        <t xml:space="preserve">======
ID#AAACEw7hMO0
tc={2D96653C-C5AC-4BC0-BCF0-D42DEF222276}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https://www.kabana-marrakech.com/fr/private-events</t>
      </text>
    </comment>
    <comment authorId="0" ref="H57">
      <text>
        <t xml:space="preserve">======
ID#AAACEw7hMWw
Salima Benchekroun    (2026-08-03 10:52:00)
Source: Palmeraie Conference Center (Palmeraie Rotana Resort), tél officiel du centre. E-mail commercial non publié — contact via Rotana Palmeraie.</t>
      </text>
    </comment>
    <comment authorId="0" ref="H24">
      <text>
        <t xml:space="preserve">======
ID#AAACEw7hLwU
Salima Benchekroun    (2026-08-03 10:52:00)
Source officielle : kabana-marrakech.com (Kissariat Ben Khaled, rue Fatima Ezzahra, R'mila, Médina).</t>
      </text>
    </comment>
    <comment authorId="0" ref="F82">
      <text>
        <t xml:space="preserve">======
ID#AAACEw7hNmo
tc={9EFFFDD1-DA84-4D86-95B0-02D2F9EEA802}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https://www.roadiscalling.com/best-hammams-in-marrakech/</t>
      </text>
    </comment>
    <comment authorId="0" ref="F49">
      <text>
        <t xml:space="preserve">======
ID#AAACEw7hNaU
tc={C54EBCA4-7384-45A8-9F71-343BC24F6EA8}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https://lesterrassesdagafay.com/les-mariages/</t>
      </text>
    </comment>
    <comment authorId="0" ref="F16">
      <text>
        <t xml:space="preserve">======
ID#AAACEw7hOJQ
tc={7FA5A208-227E-438A-B2B9-DAA9E0D991AB}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https://www.villaflorentine-marrakech.com/privatisation-riad-marrakech/</t>
      </text>
    </comment>
    <comment authorId="0" ref="H82">
      <text>
        <t xml:space="preserve">======
ID#AAACEw7hMz8
Salima Benchekroun    (2026-08-03 10:52:01)
Source officielle : lasultanahotels.com/Marrakech/spa_and_wellness — Spa de La Sultana, 403 Rue de la Kasbah.</t>
      </text>
    </comment>
    <comment authorId="0" ref="H49">
      <text>
        <t xml:space="preserve">======
ID#AAACEw7hNEE
Salima Benchekroun    (2026-08-03 10:52:01)
Source: lesterrassesdagafay.com · Confiance: high</t>
      </text>
    </comment>
    <comment authorId="0" ref="H16">
      <text>
        <t xml:space="preserve">======
ID#AAACEw7hMFI
Salima Benchekroun    (2026-08-03 10:52:00)
Source: villaflorentine-marrakech.com · Confiance: high</t>
      </text>
    </comment>
    <comment authorId="0" ref="F74">
      <text>
        <t xml:space="preserve">======
ID#AAACEw7hMdY
tc={820C3BD1-9289-4376-B2D9-F30E09C0E322}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https://www.immobiliermarrakech.fr/palais-evenementiels-marrakech/</t>
      </text>
    </comment>
    <comment authorId="0" ref="F41">
      <text>
        <t xml:space="preserve">======
ID#AAACEw7hMi8
tc={63447CE9-822E-469A-AB98-6FC5CB6195CB}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https://mysunbed.com/en/morocco/marrakesh/beach-club/</t>
      </text>
    </comment>
    <comment authorId="0" ref="F8">
      <text>
        <t xml:space="preserve">======
ID#AAACEw7hNpY
    (2026-08-03 10:52:01)
Fiche reconstituée via le web — villamayaz.com</t>
      </text>
    </comment>
    <comment authorId="0" ref="H41">
      <text>
        <t xml:space="preserve">======
ID#AAACEw7hMAQ
Salima Benchekroun    (2026-08-03 10:52:00)
Source: beachmama.ma · Confiance: high</t>
      </text>
    </comment>
    <comment authorId="0" ref="F66">
      <text>
        <t xml:space="preserve">======
ID#AAACEw7hMuU
tc={AB163631-E16E-406F-987F-70C6A9BDC932}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https://congres-seminaires-marrakech.com/</t>
      </text>
    </comment>
    <comment authorId="0" ref="F33">
      <text>
        <t xml:space="preserve">======
ID#AAACEw7hOPw
tc={A46164B7-44E8-4B91-B8CD-9003608F91E7}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https://goodmove.ma/les-10-meilleurs-rooftops-de-marrakech-avec-vue/</t>
      </text>
    </comment>
    <comment authorId="0" ref="H66">
      <text>
        <t xml:space="preserve">======
ID#AAACEw7hObE
Salima Benchekroun    (2026-08-03 10:52:02)
Source officielle : kenzi-hotels.com (Av. du Président Kennedy, Hivernage).</t>
      </text>
    </comment>
    <comment authorId="0" ref="H33">
      <text>
        <t xml:space="preserve">======
ID#AAACEw7hMuA
Salima Benchekroun    (2026-08-03 10:52:01)
Source officielle : maisonmk.com / rooftop-mk.com (14 Derb Sebaai, Médina).</t>
      </text>
    </comment>
    <comment authorId="0" ref="F58">
      <text>
        <t xml:space="preserve">======
ID#AAACEw7hM18
tc={82DB7980-4FE3-4AEB-8823-76B592E828F5}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https://mice.visitmarrakech.com/en/se-reunir/centres-de-congres-et-dexposition/</t>
      </text>
    </comment>
    <comment authorId="0" ref="G58">
      <text>
        <t xml:space="preserve">======
ID#AAACEw7hNCU
Salima Benchekroun    (2026-08-03 10:52:01)
Source: Mogador Palace Agdal (site officiel Ryad Mogador), https://www.mogadorhotels.com/our-hotels-and-resorts/mogador-palace-agdal</t>
      </text>
    </comment>
    <comment authorId="0" ref="F25">
      <text>
        <t xml:space="preserve">======
ID#AAACEw7hMpA
tc={E84AA9C4-A0B8-4622-9509-C2C27A20AA86}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https://arkech.ma/en/marrakech-rooftop/</t>
      </text>
    </comment>
    <comment authorId="0" ref="H58">
      <text>
        <t xml:space="preserve">======
ID#AAACEw7hN8I
Salima Benchekroun    (2026-08-03 10:52:02)
Source: Mogador Palace Agdal (site officiel), https://www.mogadorhotels.com/our-hotels-and-resorts/mogador-palace-agdal</t>
      </text>
    </comment>
    <comment authorId="0" ref="H25">
      <text>
        <t xml:space="preserve">======
ID#AAACEw7hN68
Salima Benchekroun    (2026-08-03 10:52:02)
Source: arkech.ma · Confiance: high</t>
      </text>
    </comment>
    <comment authorId="0" ref="F83">
      <text>
        <t xml:space="preserve">======
ID#AAACEw7hOVI
tc={316DB1A7-4DCE-4BC7-8B0F-2E36BF4F6EE0}    (2026-08-03 10:52:02)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https://www.roadiscalling.com/best-hammams-in-marrakech/</t>
      </text>
    </comment>
    <comment authorId="0" ref="F50">
      <text>
        <t xml:space="preserve">======
ID#AAACEw7hNBc
tc={78282B71-70EB-4796-B779-41D1769AB914}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https://moroccoluxuryhighlights.com/best-luxury-venues-privatize-marrakech-atlas-desert/</t>
      </text>
    </comment>
    <comment authorId="0" ref="F17">
      <text>
        <t xml:space="preserve">======
ID#AAACEw7hNPc
tc={3AF6D7BB-85CD-43FB-BF11-32DFBBAB3B8D}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https://www.riad-vendome-marrakech.com/riad-marrakech-en-exclusivite.php</t>
      </text>
    </comment>
    <comment authorId="0" ref="H50">
      <text>
        <t xml:space="preserve">======
ID#AAACEw7hNpA
Salima Benchekroun    (2026-08-03 10:52:01)
Source officielle : jardinmajorelle.com / museeyslmarrakech.com (Rue Yves Saint Laurent, Guéliz) — privatisation possible.</t>
      </text>
    </comment>
    <comment authorId="0" ref="H17">
      <text>
        <t xml:space="preserve">======
ID#AAACEw7hOGA
Salima Benchekroun    (2026-08-03 10:52:02)
Source officielle : riad-vendome-marrakech.com (Dar El Bacha, Médina).</t>
      </text>
    </comment>
    <comment authorId="0" ref="F75">
      <text>
        <t xml:space="preserve">======
ID#AAACEw7hMbY
tc={DEDD4D09-8479-45BA-B8F3-2FC020FC72B0}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https://mice.visitmarrakech.com/en/se-reunir/centres-de-congres-et-dexposition/</t>
      </text>
    </comment>
    <comment authorId="0" ref="G75">
      <text>
        <t xml:space="preserve">======
ID#AAACEw7hN-k
Salima Benchekroun    (2026-08-03 10:52:02)
Source: Mogador Palace Agdal (site officiel Ryad Mogador), https://www.mogadorhotels.com/our-hotels-and-resorts/mogador-palace-agdal — même établissement que la fiche Congress.</t>
      </text>
    </comment>
    <comment authorId="0" ref="F42">
      <text>
        <t xml:space="preserve">======
ID#AAACEw7hNEc
tc={35F6E43F-8C6B-42B2-A9D4-536C87EBF480}    (2026-08-03 10:52:01)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Source: Web — https://www.nommosbeachresort.com/</t>
      </text>
    </comment>
    <comment authorId="0" ref="F9">
      <text>
        <t xml:space="preserve">======
ID#AAACEw7hOMM
    (2026-08-03 10:52:02)
Fiche reconstituée via le web — luxuryvillamarrakech.com</t>
      </text>
    </comment>
    <comment authorId="0" ref="H75">
      <text>
        <t xml:space="preserve">======
ID#AAACEw7hNMg
Salima Benchekroun    (2026-08-03 10:52:01)
Source: Mogador Palace Agdal (site officiel), https://www.mogadorhotels.com</t>
      </text>
    </comment>
    <comment authorId="0" ref="H42">
      <text>
        <t xml:space="preserve">======
ID#AAACEw7hOFE
Salima Benchekroun    (2026-08-03 10:52:02)
Source officielle : nommosbeachresort.com (Route de l'Ourika) · piscine +212 618 97 21 54, resto @lalala.marrakech.</t>
      </text>
    </comment>
  </commentList>
  <extLst>
    <ext uri="GoogleSheetsCustomDataVersion2">
      <go:sheetsCustomData xmlns:go="http://customooxmlschemas.google.com/" r:id="rId1" roundtripDataSignature="AMtx7mg0fyNs+WxR7fuGVV08GONyq9P+Sw=="/>
    </ext>
  </extL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Y25">
      <text>
        <t xml:space="preserve">======
ID#AAACEw7hLw4
    (2026-08-03 10:52:00)
Codé auto (service transport) · à valider</t>
      </text>
    </comment>
    <comment authorId="0" ref="Z25">
      <text>
        <t xml:space="preserve">======
ID#AAACEw7hMSY
    (2026-08-03 10:52:00)
Codé auto (service transport) · à valider</t>
      </text>
    </comment>
    <comment authorId="0" ref="V17">
      <text>
        <t xml:space="preserve">======
ID#AAACEw7hOZc
    (2026-08-03 10:52:02)
Codé auto (service transport) · à valider</t>
      </text>
    </comment>
    <comment authorId="0" ref="W17">
      <text>
        <t xml:space="preserve">======
ID#AAACEw7hLyk
    (2026-08-03 10:52:00)
Codé auto (service transport) · à valider</t>
      </text>
    </comment>
    <comment authorId="0" ref="X17">
      <text>
        <t xml:space="preserve">======
ID#AAACEw7hOLw
    (2026-08-03 10:52:02)
Codé auto (service transport) · à valider</t>
      </text>
    </comment>
    <comment authorId="0" ref="Y17">
      <text>
        <t xml:space="preserve">======
ID#AAACEw7hNvQ
    (2026-08-03 10:52:01)
Codé auto (service transport) · à valider</t>
      </text>
    </comment>
    <comment authorId="0" ref="Z17">
      <text>
        <t xml:space="preserve">======
ID#AAACEw7hM4E
    (2026-08-03 10:52:01)
Codé auto (service transport) · à valider</t>
      </text>
    </comment>
    <comment authorId="0" ref="V26">
      <text>
        <t xml:space="preserve">======
ID#AAACEw7hOPU
    (2026-08-03 10:52:02)
Codé auto (service transport) · à valider</t>
      </text>
    </comment>
    <comment authorId="0" ref="W26">
      <text>
        <t xml:space="preserve">======
ID#AAACEw7hN0s
    (2026-08-03 10:52:01)
Codé auto (service transport) · à valider</t>
      </text>
    </comment>
    <comment authorId="0" ref="X26">
      <text>
        <t xml:space="preserve">======
ID#AAACEw7hMBk
    (2026-08-03 10:52:00)
Codé auto (service transport) · à valider</t>
      </text>
    </comment>
    <comment authorId="0" ref="Y26">
      <text>
        <t xml:space="preserve">======
ID#AAACEw7hL7s
    (2026-08-03 10:52:00)
Codé auto (service transport) · à valider</t>
      </text>
    </comment>
    <comment authorId="0" ref="Z26">
      <text>
        <t xml:space="preserve">======
ID#AAACEw7hOVc
    (2026-08-03 10:52:02)
Codé auto (service transport) · à valider</t>
      </text>
    </comment>
    <comment authorId="0" ref="V18">
      <text>
        <t xml:space="preserve">======
ID#AAACEw7hNPs
    (2026-08-03 10:52:01)
Codé auto (service transport) · à valider</t>
      </text>
    </comment>
    <comment authorId="0" ref="W18">
      <text>
        <t xml:space="preserve">======
ID#AAACEw7hMu0
    (2026-08-03 10:52:01)
Codé auto (service transport) · à valider</t>
      </text>
    </comment>
    <comment authorId="0" ref="X18">
      <text>
        <t xml:space="preserve">======
ID#AAACEw7hN9w
    (2026-08-03 10:52:02)
Codé auto (service transport) · à valider</t>
      </text>
    </comment>
    <comment authorId="0" ref="Y18">
      <text>
        <t xml:space="preserve">======
ID#AAACEw7hMDU
    (2026-08-03 10:52:00)
Codé auto (service transport) · à valider</t>
      </text>
    </comment>
    <comment authorId="0" ref="Z18">
      <text>
        <t xml:space="preserve">======
ID#AAACEw7hNJY
    (2026-08-03 10:52:01)
Codé auto (service transport) · à valider</t>
      </text>
    </comment>
    <comment authorId="0" ref="V10">
      <text>
        <t xml:space="preserve">======
ID#AAACEw7hNfo
    (2026-08-03 10:52:01)
Codé auto (service transport) · à valider</t>
      </text>
    </comment>
    <comment authorId="0" ref="W10">
      <text>
        <t xml:space="preserve">======
ID#AAACEw7hL8M
    (2026-08-03 10:52:00)
Codé auto (service transport) · à valider</t>
      </text>
    </comment>
    <comment authorId="0" ref="X10">
      <text>
        <t xml:space="preserve">======
ID#AAACEw7hOp0
    (2026-08-03 10:52:02)
Codé auto (service transport) · à valider</t>
      </text>
    </comment>
    <comment authorId="0" ref="Y10">
      <text>
        <t xml:space="preserve">======
ID#AAACEw7hOqE
    (2026-08-03 10:52:02)
Codé auto (service transport) · à valider</t>
      </text>
    </comment>
    <comment authorId="0" ref="Z10">
      <text>
        <t xml:space="preserve">======
ID#AAACEw7hNC0
    (2026-08-03 10:52:01)
Codé auto (service transport) · à valider</t>
      </text>
    </comment>
    <comment authorId="0" ref="I19">
      <text>
        <t xml:space="preserve">======
ID#AAACEw7hMjY
    (2026-08-03 10:52:00)
Atlas Voyages, 131 Av Mohammed V — Places juin 2026</t>
      </text>
    </comment>
    <comment authorId="0" ref="V27">
      <text>
        <t xml:space="preserve">======
ID#AAACEw7hMBQ
    (2026-08-03 10:52:00)
Codé auto (service transport) · à valider</t>
      </text>
    </comment>
    <comment authorId="0" ref="W27">
      <text>
        <t xml:space="preserve">======
ID#AAACEw7hOYE
    (2026-08-03 10:52:02)
Codé auto (service transport) · à valider</t>
      </text>
    </comment>
    <comment authorId="0" ref="X27">
      <text>
        <t xml:space="preserve">======
ID#AAACEw7hN3E
    (2026-08-03 10:52:02)
Codé auto (service transport) · à valider</t>
      </text>
    </comment>
    <comment authorId="0" ref="I11">
      <text>
        <t xml:space="preserve">======
ID#AAACEw7hOks
    (2026-08-03 10:52:02)
Marrakech Travel &amp; Transfer (correspondance probable) — à confirmer</t>
      </text>
    </comment>
    <comment authorId="0" ref="Y27">
      <text>
        <t xml:space="preserve">======
ID#AAACEw7hL1I
    (2026-08-03 10:52:00)
Codé auto (service transport) · à valider</t>
      </text>
    </comment>
    <comment authorId="0" ref="Z27">
      <text>
        <t xml:space="preserve">======
ID#AAACEw7hMpY
    (2026-08-03 10:52:00)
Codé auto (service transport) · à valider</t>
      </text>
    </comment>
    <comment authorId="0" ref="V19">
      <text>
        <t xml:space="preserve">======
ID#AAACEw7hNPI
    (2026-08-03 10:52:01)
Codé auto (service transport) · à valider</t>
      </text>
    </comment>
    <comment authorId="0" ref="W19">
      <text>
        <t xml:space="preserve">======
ID#AAACEw7hN6M
    (2026-08-03 10:52:02)
Codé auto (service transport) · à valider</t>
      </text>
    </comment>
    <comment authorId="0" ref="X19">
      <text>
        <t xml:space="preserve">======
ID#AAACEw7hM-U
    (2026-08-03 10:52:01)
Codé auto (service transport) · à valider</t>
      </text>
    </comment>
    <comment authorId="0" ref="Y19">
      <text>
        <t xml:space="preserve">======
ID#AAACEw7hMXs
    (2026-08-03 10:52:00)
Codé auto (service transport) · à valider</t>
      </text>
    </comment>
    <comment authorId="0" ref="Z19">
      <text>
        <t xml:space="preserve">======
ID#AAACEw7hOjc
    (2026-08-03 10:52:02)
Codé auto (service transport) · à valider</t>
      </text>
    </comment>
    <comment authorId="0" ref="V11">
      <text>
        <t xml:space="preserve">======
ID#AAACEw7hMTI
    (2026-08-03 10:52:00)
Codé auto (service transport) · à valider</t>
      </text>
    </comment>
    <comment authorId="0" ref="W11">
      <text>
        <t xml:space="preserve">======
ID#AAACEw7hOps
    (2026-08-03 10:52:02)
Codé auto (service transport) · à valider</t>
      </text>
    </comment>
    <comment authorId="0" ref="X11">
      <text>
        <t xml:space="preserve">======
ID#AAACEw7hLt4
    (2026-08-03 10:52:00)
Codé auto (service transport) · à valider</t>
      </text>
    </comment>
    <comment authorId="0" ref="Y11">
      <text>
        <t xml:space="preserve">======
ID#AAACEw7hL8I
    (2026-08-03 10:52:00)
Codé auto (service transport) · à valider</t>
      </text>
    </comment>
    <comment authorId="0" ref="Z11">
      <text>
        <t xml:space="preserve">======
ID#AAACEw7hN2A
    (2026-08-03 10:52:02)
Codé auto (service transport) · à valider</t>
      </text>
    </comment>
    <comment authorId="0" ref="V28">
      <text>
        <t xml:space="preserve">======
ID#AAACEw7hNLY
    (2026-08-03 10:52:01)
Codé auto (service transport) · à valider</t>
      </text>
    </comment>
    <comment authorId="0" ref="W28">
      <text>
        <t xml:space="preserve">======
ID#AAACEw7hN88
    (2026-08-03 10:52:02)
Codé auto (service transport) · à valider</t>
      </text>
    </comment>
    <comment authorId="0" ref="X28">
      <text>
        <t xml:space="preserve">======
ID#AAACEw7hNEI
    (2026-08-03 10:52:01)
Codé auto (service transport) · à valider</t>
      </text>
    </comment>
    <comment authorId="0" ref="Y28">
      <text>
        <t xml:space="preserve">======
ID#AAACEw7hL90
    (2026-08-03 10:52:00)
Codé auto (service transport) · à valider</t>
      </text>
    </comment>
    <comment authorId="0" ref="Z28">
      <text>
        <t xml:space="preserve">======
ID#AAACEw7hMMI
    (2026-08-03 10:52:00)
Codé auto (service transport) · à valider</t>
      </text>
    </comment>
    <comment authorId="0" ref="V20">
      <text>
        <t xml:space="preserve">======
ID#AAACEw7hMv0
    (2026-08-03 10:52:01)
Codé auto (service transport) · à valider</t>
      </text>
    </comment>
    <comment authorId="0" ref="W20">
      <text>
        <t xml:space="preserve">======
ID#AAACEw7hNjw
    (2026-08-03 10:52:01)
Codé auto (service transport) · à valider</t>
      </text>
    </comment>
    <comment authorId="0" ref="X20">
      <text>
        <t xml:space="preserve">======
ID#AAACEw7hNOs
    (2026-08-03 10:52:01)
Codé auto (service transport) · à valider</t>
      </text>
    </comment>
    <comment authorId="0" ref="Y20">
      <text>
        <t xml:space="preserve">======
ID#AAACEw7hNdY
    (2026-08-03 10:52:01)
Codé auto (service transport) · à valider</t>
      </text>
    </comment>
    <comment authorId="0" ref="Z20">
      <text>
        <t xml:space="preserve">======
ID#AAACEw7hOfA
    (2026-08-03 10:52:02)
Codé auto (service transport) · à valider</t>
      </text>
    </comment>
    <comment authorId="0" ref="V12">
      <text>
        <t xml:space="preserve">======
ID#AAACEw7hNiw
    (2026-08-03 10:52:01)
Codé auto (service transport) · à valider</t>
      </text>
    </comment>
    <comment authorId="0" ref="W12">
      <text>
        <t xml:space="preserve">======
ID#AAACEw7hM0U
    (2026-08-03 10:52:01)
Codé auto (service transport) · à valider</t>
      </text>
    </comment>
    <comment authorId="0" ref="X12">
      <text>
        <t xml:space="preserve">======
ID#AAACEw7hNTM
    (2026-08-03 10:52:01)
Codé auto (service transport) · à valider</t>
      </text>
    </comment>
    <comment authorId="0" ref="Y12">
      <text>
        <t xml:space="preserve">======
ID#AAACEw7hOG4
    (2026-08-03 10:52:02)
Codé auto (service transport) · à valider</t>
      </text>
    </comment>
    <comment authorId="0" ref="Z12">
      <text>
        <t xml:space="preserve">======
ID#AAACEw7hM6E
    (2026-08-03 10:52:01)
Codé auto (service transport) · à valider</t>
      </text>
    </comment>
    <comment authorId="0" ref="V21">
      <text>
        <t xml:space="preserve">======
ID#AAACEw7hL4k
    (2026-08-03 10:52:00)
Codé auto (service transport) · à valider</t>
      </text>
    </comment>
    <comment authorId="0" ref="W21">
      <text>
        <t xml:space="preserve">======
ID#AAACEw7hN_0
    (2026-08-03 10:52:02)
Codé auto (service transport) · à valider</t>
      </text>
    </comment>
    <comment authorId="0" ref="X21">
      <text>
        <t xml:space="preserve">======
ID#AAACEw7hMiA
    (2026-08-03 10:52:00)
Codé auto (service transport) · à valider</t>
      </text>
    </comment>
    <comment authorId="0" ref="Y21">
      <text>
        <t xml:space="preserve">======
ID#AAACEw7hOR0
    (2026-08-03 10:52:02)
Codé auto (service transport) · à valider</t>
      </text>
    </comment>
    <comment authorId="0" ref="Z21">
      <text>
        <t xml:space="preserve">======
ID#AAACEw7hM4o
    (2026-08-03 10:52:01)
Codé auto (service transport) · à valider</t>
      </text>
    </comment>
    <comment authorId="0" ref="V13">
      <text>
        <t xml:space="preserve">======
ID#AAACEw7hN7A
    (2026-08-03 10:52:02)
Codé auto (service transport) · à valider</t>
      </text>
    </comment>
    <comment authorId="0" ref="W13">
      <text>
        <t xml:space="preserve">======
ID#AAACEw7hOT8
    (2026-08-03 10:52:02)
Codé auto (service transport) · à valider</t>
      </text>
    </comment>
    <comment authorId="0" ref="X13">
      <text>
        <t xml:space="preserve">======
ID#AAACEw7hLxs
    (2026-08-03 10:52:00)
Codé auto (service transport) · à valider</t>
      </text>
    </comment>
    <comment authorId="0" ref="Y13">
      <text>
        <t xml:space="preserve">======
ID#AAACEw7hNDQ
    (2026-08-03 10:52:01)
Codé auto (service transport) · à valider</t>
      </text>
    </comment>
    <comment authorId="0" ref="Z13">
      <text>
        <t xml:space="preserve">======
ID#AAACEw7hN-c
    (2026-08-03 10:52:02)
Codé auto (service transport) · à valider</t>
      </text>
    </comment>
    <comment authorId="0" ref="V22">
      <text>
        <t xml:space="preserve">======
ID#AAACEw7hMWE
    (2026-08-03 10:52:00)
Codé auto (service transport) · à valider</t>
      </text>
    </comment>
    <comment authorId="0" ref="W22">
      <text>
        <t xml:space="preserve">======
ID#AAACEw7hN0M
    (2026-08-03 10:52:01)
Codé auto (service transport) · à valider</t>
      </text>
    </comment>
    <comment authorId="0" ref="X22">
      <text>
        <t xml:space="preserve">======
ID#AAACEw7hMt4
    (2026-08-03 10:52:01)
Codé auto (service transport) · à valider</t>
      </text>
    </comment>
    <comment authorId="0" ref="Y22">
      <text>
        <t xml:space="preserve">======
ID#AAACEw7hMJw
    (2026-08-03 10:52:00)
Codé auto (service transport) · à valider</t>
      </text>
    </comment>
    <comment authorId="0" ref="Z22">
      <text>
        <t xml:space="preserve">======
ID#AAACEw7hMzA
    (2026-08-03 10:52:01)
Codé auto (service transport) · à valider</t>
      </text>
    </comment>
    <comment authorId="0" ref="V14">
      <text>
        <t xml:space="preserve">======
ID#AAACEw7hNSQ
    (2026-08-03 10:52:01)
Codé auto (service transport) · à valider</t>
      </text>
    </comment>
    <comment authorId="0" ref="W14">
      <text>
        <t xml:space="preserve">======
ID#AAACEw7hMlA
    (2026-08-03 10:52:00)
Codé auto (service transport) · à valider</t>
      </text>
    </comment>
    <comment authorId="0" ref="X14">
      <text>
        <t xml:space="preserve">======
ID#AAACEw7hLyo
    (2026-08-03 10:52:00)
Codé auto (service transport) · à valider</t>
      </text>
    </comment>
    <comment authorId="0" ref="Y14">
      <text>
        <t xml:space="preserve">======
ID#AAACEw7hND4
    (2026-08-03 10:52:01)
Codé auto (service transport) · à valider</t>
      </text>
    </comment>
    <comment authorId="0" ref="Z14">
      <text>
        <t xml:space="preserve">======
ID#AAACEw7hNYU
    (2026-08-03 10:52:01)
Codé auto (service transport) · à valider</t>
      </text>
    </comment>
    <comment authorId="0" ref="C7">
      <text>
        <t xml:space="preserve">======
ID#AAACEw7hLt0
tc={BDAC61E5-48BE-4EB9-AFAB-CF0BFB96925A}    (2026-08-03 10:52:00)
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Tarifs et capacité indicatifs — À VALIDER par SOLÝ. Code TR-MIN créé sur validation (absent de la bible d'origine).</t>
      </text>
    </comment>
    <comment authorId="0" ref="V23">
      <text>
        <t xml:space="preserve">======
ID#AAACEw7hOF8
    (2026-08-03 10:52:02)
Codé auto (service transport) · à valider</t>
      </text>
    </comment>
    <comment authorId="0" ref="W23">
      <text>
        <t xml:space="preserve">======
ID#AAACEw7hMdE
    (2026-08-03 10:52:00)
Codé auto (service transport) · à valider</t>
      </text>
    </comment>
    <comment authorId="0" ref="X23">
      <text>
        <t xml:space="preserve">======
ID#AAACEw7hNFM
    (2026-08-03 10:52:01)
Codé auto (service transport) · à valider</t>
      </text>
    </comment>
    <comment authorId="0" ref="Y23">
      <text>
        <t xml:space="preserve">======
ID#AAACEw7hNpg
    (2026-08-03 10:52:01)
Codé auto (service transport) · à valider</t>
      </text>
    </comment>
    <comment authorId="0" ref="Z23">
      <text>
        <t xml:space="preserve">======
ID#AAACEw7hMuw
    (2026-08-03 10:52:01)
Codé auto (service transport) · à valider</t>
      </text>
    </comment>
    <comment authorId="0" ref="V15">
      <text>
        <t xml:space="preserve">======
ID#AAACEw7hNU8
    (2026-08-03 10:52:01)
Codé auto (service transport) · à valider</t>
      </text>
    </comment>
    <comment authorId="0" ref="W15">
      <text>
        <t xml:space="preserve">======
ID#AAACEw7hMZg
    (2026-08-03 10:52:00)
Codé auto (service transport) · à valider</t>
      </text>
    </comment>
    <comment authorId="0" ref="X15">
      <text>
        <t xml:space="preserve">======
ID#AAACEw7hMkw
    (2026-08-03 10:52:00)
Codé auto (service transport) · à valider</t>
      </text>
    </comment>
    <comment authorId="0" ref="Y15">
      <text>
        <t xml:space="preserve">======
ID#AAACEw7hMqw
    (2026-08-03 10:52:00)
Codé auto (service transport) · à valider</t>
      </text>
    </comment>
    <comment authorId="0" ref="Z15">
      <text>
        <t xml:space="preserve">======
ID#AAACEw7hMUM
    (2026-08-03 10:52:00)
Codé auto (service transport) · à valider</t>
      </text>
    </comment>
    <comment authorId="0" ref="V24">
      <text>
        <t xml:space="preserve">======
ID#AAACEw7hOkw
    (2026-08-03 10:52:02)
Codé auto (service transport) · à valider</t>
      </text>
    </comment>
    <comment authorId="0" ref="W24">
      <text>
        <t xml:space="preserve">======
ID#AAACEw7hOcE
    (2026-08-03 10:52:02)
Codé auto (service transport) · à valider</t>
      </text>
    </comment>
    <comment authorId="0" ref="X24">
      <text>
        <t xml:space="preserve">======
ID#AAACEw7hMM0
    (2026-08-03 10:52:00)
Codé auto (service transport) · à valider</t>
      </text>
    </comment>
    <comment authorId="0" ref="Y24">
      <text>
        <t xml:space="preserve">======
ID#AAACEw7hN90
    (2026-08-03 10:52:02)
Codé auto (service transport) · à valider</t>
      </text>
    </comment>
    <comment authorId="0" ref="Z24">
      <text>
        <t xml:space="preserve">======
ID#AAACEw7hNU0
    (2026-08-03 10:52:01)
Codé auto (service transport) · à valider</t>
      </text>
    </comment>
    <comment authorId="0" ref="V16">
      <text>
        <t xml:space="preserve">======
ID#AAACEw7hMKk
    (2026-08-03 10:52:00)
Codé auto (service transport) · à valider</t>
      </text>
    </comment>
    <comment authorId="0" ref="W16">
      <text>
        <t xml:space="preserve">======
ID#AAACEw7hLv0
    (2026-08-03 10:52:00)
Codé auto (service transport) · à valider</t>
      </text>
    </comment>
    <comment authorId="0" ref="X16">
      <text>
        <t xml:space="preserve">======
ID#AAACEw7hLw8
    (2026-08-03 10:52:00)
Codé auto (service transport) · à valider</t>
      </text>
    </comment>
    <comment authorId="0" ref="Y16">
      <text>
        <t xml:space="preserve">======
ID#AAACEw7hMQo
    (2026-08-03 10:52:00)
Codé auto (service transport) · à valider</t>
      </text>
    </comment>
    <comment authorId="0" ref="Z16">
      <text>
        <t xml:space="preserve">======
ID#AAACEw7hNE0
    (2026-08-03 10:52:01)
Codé auto (service transport) · à valider</t>
      </text>
    </comment>
    <comment authorId="0" ref="I17">
      <text>
        <t xml:space="preserve">======
ID#AAACEw7hL2s
    (2026-08-03 10:52:00)
TransportKech (correspondance probable) — à confirmer</t>
      </text>
    </comment>
    <comment authorId="0" ref="V25">
      <text>
        <t xml:space="preserve">======
ID#AAACEw7hOSs
    (2026-08-03 10:52:02)
Codé auto (service transport) · à valider</t>
      </text>
    </comment>
    <comment authorId="0" ref="W25">
      <text>
        <t xml:space="preserve">======
ID#AAACEw7hLzk
    (2026-08-03 10:52:00)
Codé auto (service transport) · à valider</t>
      </text>
    </comment>
    <comment authorId="0" ref="X25">
      <text>
        <t xml:space="preserve">======
ID#AAACEw7hMJY
    (2026-08-03 10:52:00)
Codé auto (service transport) · à valider</t>
      </text>
    </comment>
  </commentList>
  <extLst>
    <ext uri="GoogleSheetsCustomDataVersion2">
      <go:sheetsCustomData xmlns:go="http://customooxmlschemas.google.com/" r:id="rId1" roundtripDataSignature="AMtx7mg6NK2rRt1+4f5M9G+8j+AanmlNGg=="/>
    </ext>
  </extL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7">
      <text>
        <t xml:space="preserve">======
ID#AAACEw7hMEY
    (2026-08-03 10:52:00)
Codé auto (service sécurité) · à valider</t>
      </text>
    </comment>
    <comment authorId="0" ref="W17">
      <text>
        <t xml:space="preserve">======
ID#AAACEw7hNPg
    (2026-08-03 10:52:01)
Codé auto (service sécurité) · à valider</t>
      </text>
    </comment>
    <comment authorId="0" ref="X17">
      <text>
        <t xml:space="preserve">======
ID#AAACEw7hMIE
    (2026-08-03 10:52:00)
Codé auto (service sécurité) · à valider</t>
      </text>
    </comment>
    <comment authorId="0" ref="Y17">
      <text>
        <t xml:space="preserve">======
ID#AAACEw7hNfI
    (2026-08-03 10:52:01)
Codé auto (service sécurité) · à valider</t>
      </text>
    </comment>
    <comment authorId="0" ref="V13">
      <text>
        <t xml:space="preserve">======
ID#AAACEw7hN7w
    (2026-08-03 10:52:02)
Codé auto (service sécurité) · à valider</t>
      </text>
    </comment>
    <comment authorId="0" ref="Z17">
      <text>
        <t xml:space="preserve">======
ID#AAACEw7hOPo
    (2026-08-03 10:52:02)
Codé auto (service sécurité) · à valider</t>
      </text>
    </comment>
    <comment authorId="0" ref="W13">
      <text>
        <t xml:space="preserve">======
ID#AAACEw7hOVo
    (2026-08-03 10:52:02)
Codé auto (service sécurité) · à valider</t>
      </text>
    </comment>
    <comment authorId="0" ref="X13">
      <text>
        <t xml:space="preserve">======
ID#AAACEw7hMgw
    (2026-08-03 10:52:00)
Codé auto (service sécurité) · à valider</t>
      </text>
    </comment>
    <comment authorId="0" ref="Y13">
      <text>
        <t xml:space="preserve">======
ID#AAACEw7hOVM
    (2026-08-03 10:52:02)
Codé auto (service sécurité) · à valider</t>
      </text>
    </comment>
    <comment authorId="0" ref="Z13">
      <text>
        <t xml:space="preserve">======
ID#AAACEw7hNWM
    (2026-08-03 10:52:01)
Codé auto (service sécurité) · à valider</t>
      </text>
    </comment>
    <comment authorId="0" ref="V18">
      <text>
        <t xml:space="preserve">======
ID#AAACEw7hOqM
    (2026-08-03 10:52:02)
Codé auto (service sécurité) · à valider</t>
      </text>
    </comment>
    <comment authorId="0" ref="W18">
      <text>
        <t xml:space="preserve">======
ID#AAACEw7hMBg
    (2026-08-03 10:52:00)
Codé auto (service sécurité) · à valider</t>
      </text>
    </comment>
    <comment authorId="0" ref="X18">
      <text>
        <t xml:space="preserve">======
ID#AAACEw7hNAo
    (2026-08-03 10:52:01)
Codé auto (service sécurité) · à valider</t>
      </text>
    </comment>
    <comment authorId="0" ref="Y18">
      <text>
        <t xml:space="preserve">======
ID#AAACEw7hOWY
    (2026-08-03 10:52:02)
Codé auto (service sécurité) · à valider</t>
      </text>
    </comment>
    <comment authorId="0" ref="V14">
      <text>
        <t xml:space="preserve">======
ID#AAACEw7hNiU
    (2026-08-03 10:52:01)
Codé auto (service sécurité) · à valider</t>
      </text>
    </comment>
    <comment authorId="0" ref="Z18">
      <text>
        <t xml:space="preserve">======
ID#AAACEw7hOiE
    (2026-08-03 10:52:02)
Codé auto (service sécurité) · à valider</t>
      </text>
    </comment>
    <comment authorId="0" ref="W14">
      <text>
        <t xml:space="preserve">======
ID#AAACEw7hNXw
    (2026-08-03 10:52:01)
Codé auto (service sécurité) · à valider</t>
      </text>
    </comment>
    <comment authorId="0" ref="X14">
      <text>
        <t xml:space="preserve">======
ID#AAACEw7hMYc
    (2026-08-03 10:52:00)
Codé auto (service sécurité) · à valider</t>
      </text>
    </comment>
    <comment authorId="0" ref="Y14">
      <text>
        <t xml:space="preserve">======
ID#AAACEw7hMzk
    (2026-08-03 10:52:01)
Codé auto (service sécurité) · à valider</t>
      </text>
    </comment>
    <comment authorId="0" ref="Z14">
      <text>
        <t xml:space="preserve">======
ID#AAACEw7hOM8
    (2026-08-03 10:52:02)
Codé auto (service sécurité) · à valider</t>
      </text>
    </comment>
    <comment authorId="0" ref="V10">
      <text>
        <t xml:space="preserve">======
ID#AAACEw7hNZ8
    (2026-08-03 10:52:01)
Codé auto (service sécurité) · à valider</t>
      </text>
    </comment>
    <comment authorId="0" ref="W10">
      <text>
        <t xml:space="preserve">======
ID#AAACEw7hMAE
    (2026-08-03 10:52:00)
Codé auto (service sécurité) · à valider</t>
      </text>
    </comment>
    <comment authorId="0" ref="X10">
      <text>
        <t xml:space="preserve">======
ID#AAACEw7hMYo
    (2026-08-03 10:52:00)
Codé auto (service sécurité) · à valider</t>
      </text>
    </comment>
    <comment authorId="0" ref="Y10">
      <text>
        <t xml:space="preserve">======
ID#AAACEw7hNVI
    (2026-08-03 10:52:01)
Codé auto (service sécurité) · à valider</t>
      </text>
    </comment>
    <comment authorId="0" ref="Z10">
      <text>
        <t xml:space="preserve">======
ID#AAACEw7hNZs
    (2026-08-03 10:52:01)
Codé auto (service sécurité) · à valider</t>
      </text>
    </comment>
    <comment authorId="0" ref="V19">
      <text>
        <t xml:space="preserve">======
ID#AAACEw7hL4U
    (2026-08-03 10:52:00)
Codé auto (service sécurité) · à valider</t>
      </text>
    </comment>
    <comment authorId="0" ref="W19">
      <text>
        <t xml:space="preserve">======
ID#AAACEw7hMiU
    (2026-08-03 10:52:00)
Codé auto (service sécurité) · à valider</t>
      </text>
    </comment>
    <comment authorId="0" ref="X19">
      <text>
        <t xml:space="preserve">======
ID#AAACEw7hMR8
    (2026-08-03 10:52:00)
Codé auto (service sécurité) · à valider</t>
      </text>
    </comment>
    <comment authorId="0" ref="Y19">
      <text>
        <t xml:space="preserve">======
ID#AAACEw7hODU
    (2026-08-03 10:52:02)
Codé auto (service sécurité) · à valider</t>
      </text>
    </comment>
    <comment authorId="0" ref="V15">
      <text>
        <t xml:space="preserve">======
ID#AAACEw7hM9Y
    (2026-08-03 10:52:01)
Codé auto (service sécurité) · à valider</t>
      </text>
    </comment>
    <comment authorId="0" ref="Z19">
      <text>
        <t xml:space="preserve">======
ID#AAACEw7hOOo
    (2026-08-03 10:52:02)
Codé auto (service sécurité) · à valider</t>
      </text>
    </comment>
    <comment authorId="0" ref="W15">
      <text>
        <t xml:space="preserve">======
ID#AAACEw7hM3Y
    (2026-08-03 10:52:01)
Codé auto (service sécurité) · à valider</t>
      </text>
    </comment>
    <comment authorId="0" ref="X15">
      <text>
        <t xml:space="preserve">======
ID#AAACEw7hOAQ
    (2026-08-03 10:52:02)
Codé auto (service sécurité) · à valider</t>
      </text>
    </comment>
    <comment authorId="0" ref="Y15">
      <text>
        <t xml:space="preserve">======
ID#AAACEw7hNIY
    (2026-08-03 10:52:01)
Codé auto (service sécurité) · à valider</t>
      </text>
    </comment>
    <comment authorId="0" ref="Z15">
      <text>
        <t xml:space="preserve">======
ID#AAACEw7hNBY
    (2026-08-03 10:52:01)
Codé auto (service sécurité) · à valider</t>
      </text>
    </comment>
    <comment authorId="0" ref="V11">
      <text>
        <t xml:space="preserve">======
ID#AAACEw7hL-k
    (2026-08-03 10:52:00)
Codé auto (service sécurité) · à valider</t>
      </text>
    </comment>
    <comment authorId="0" ref="W11">
      <text>
        <t xml:space="preserve">======
ID#AAACEw7hMJc
    (2026-08-03 10:52:00)
Codé auto (service sécurité) · à valider</t>
      </text>
    </comment>
    <comment authorId="0" ref="X11">
      <text>
        <t xml:space="preserve">======
ID#AAACEw7hNYw
    (2026-08-03 10:52:01)
Codé auto (service sécurité) · à valider</t>
      </text>
    </comment>
    <comment authorId="0" ref="Y11">
      <text>
        <t xml:space="preserve">======
ID#AAACEw7hN60
    (2026-08-03 10:52:02)
Codé auto (service sécurité) · à valider</t>
      </text>
    </comment>
    <comment authorId="0" ref="Z11">
      <text>
        <t xml:space="preserve">======
ID#AAACEw7hOmE
    (2026-08-03 10:52:02)
Codé auto (service sécurité) · à valider</t>
      </text>
    </comment>
    <comment authorId="0" ref="V16">
      <text>
        <t xml:space="preserve">======
ID#AAACEw7hOpo
    (2026-08-03 10:52:02)
Codé auto (service sécurité) · à valider</t>
      </text>
    </comment>
    <comment authorId="0" ref="W16">
      <text>
        <t xml:space="preserve">======
ID#AAACEw7hOXE
    (2026-08-03 10:52:02)
Codé auto (service sécurité) · à valider</t>
      </text>
    </comment>
    <comment authorId="0" ref="X16">
      <text>
        <t xml:space="preserve">======
ID#AAACEw7hNuI
    (2026-08-03 10:52:01)
Codé auto (service sécurité) · à valider</t>
      </text>
    </comment>
    <comment authorId="0" ref="Y16">
      <text>
        <t xml:space="preserve">======
ID#AAACEw7hN5U
    (2026-08-03 10:52:02)
Codé auto (service sécurité) · à valider</t>
      </text>
    </comment>
    <comment authorId="0" ref="Z16">
      <text>
        <t xml:space="preserve">======
ID#AAACEw7hNQ8
    (2026-08-03 10:52:01)
Codé auto (service sécurité) · à valider</t>
      </text>
    </comment>
    <comment authorId="0" ref="V12">
      <text>
        <t xml:space="preserve">======
ID#AAACEw7hNRw
    (2026-08-03 10:52:01)
Codé auto (service sécurité) · à valider</t>
      </text>
    </comment>
    <comment authorId="0" ref="W12">
      <text>
        <t xml:space="preserve">======
ID#AAACEw7hOhg
    (2026-08-03 10:52:02)
Codé auto (service sécurité) · à valider</t>
      </text>
    </comment>
    <comment authorId="0" ref="X12">
      <text>
        <t xml:space="preserve">======
ID#AAACEw7hONI
    (2026-08-03 10:52:02)
Codé auto (service sécurité) · à valider</t>
      </text>
    </comment>
    <comment authorId="0" ref="Y12">
      <text>
        <t xml:space="preserve">======
ID#AAACEw7hMTM
    (2026-08-03 10:52:00)
Codé auto (service sécurité) · à valider</t>
      </text>
    </comment>
    <comment authorId="0" ref="Z12">
      <text>
        <t xml:space="preserve">======
ID#AAACEw7hNIQ
    (2026-08-03 10:52:01)
Codé auto (service sécurité) · à valider</t>
      </text>
    </comment>
  </commentList>
  <extLst>
    <ext uri="GoogleSheetsCustomDataVersion2">
      <go:sheetsCustomData xmlns:go="http://customooxmlschemas.google.com/" r:id="rId1" roundtripDataSignature="AMtx7mhqzOLiQG09YluIbn3KmbD0uC0nNQ=="/>
    </ext>
  </extL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7">
      <text>
        <t xml:space="preserve">======
ID#AAACEw7hOMw
    (2026-08-03 10:52:02)
GPS + adresse + horaires via Google Places (juin 2026)</t>
      </text>
    </comment>
    <comment authorId="0" ref="Y67">
      <text>
        <t xml:space="preserve">======
ID#AAACEw7hNrk
    (2026-08-03 10:52:01)
Codé automatiquement par dérivation de l'univers/catégorie + panier — AUTO · à valider</t>
      </text>
    </comment>
    <comment authorId="0" ref="Z67">
      <text>
        <t xml:space="preserve">======
ID#AAACEw7hNYk
    (2026-08-03 10:52:01)
Codé automatiquement par dérivation de l'univers/catégorie + panier — AUTO · à valider</t>
      </text>
    </comment>
    <comment authorId="0" ref="AA67">
      <text>
        <t xml:space="preserve">======
ID#AAACEw7hM8E
    (2026-08-03 10:52:01)
Codé automatiquement par dérivation de l'univers/catégorie + panier — AUTO · à valider</t>
      </text>
    </comment>
    <comment authorId="0" ref="AB67">
      <text>
        <t xml:space="preserve">======
ID#AAACEw7hOh0
    (2026-08-03 10:52:02)
Codé automatiquement par dérivation de l'univers/catégorie + panier — AUTO · à valider</t>
      </text>
    </comment>
    <comment authorId="0" ref="AC67">
      <text>
        <t xml:space="preserve">======
ID#AAACEw7hNuQ
    (2026-08-03 10:52:01)
Codé automatiquement par dérivation de l'univers/catégorie + panier — AUTO · à valider</t>
      </text>
    </comment>
    <comment authorId="0" ref="AD67">
      <text>
        <t xml:space="preserve">======
ID#AAACEw7hMmg
    (2026-08-03 10:52:00)
Codé automatiquement par dérivation de l'univers/catégorie + panier — AUTO · à valider</t>
      </text>
    </comment>
    <comment authorId="0" ref="AE67">
      <text>
        <t xml:space="preserve">======
ID#AAACEw7hOSQ
    (2026-08-03 10:52:02)
Codé automatiquement par dérivation de l'univers/catégorie + panier — AUTO · à valider</t>
      </text>
    </comment>
    <comment authorId="0" ref="AF67">
      <text>
        <t xml:space="preserve">======
ID#AAACEw7hL44
    (2026-08-03 10:52:00)
Codé automatiquement par dérivation de l'univers/catégorie + panier — AUTO · à valider</t>
      </text>
    </comment>
    <comment authorId="0" ref="F134">
      <text>
        <t xml:space="preserve">======
ID#AAACEw7hMfg
    (2026-08-03 10:52:00)
Code d'origine proposé ACT-JARD (inexistant). En POI → POI-VIS ; univers AU-CUL en col Y.</t>
      </text>
    </comment>
    <comment authorId="0" ref="F68">
      <text>
        <t xml:space="preserve">======
ID#AAACEw7hNzI
    (2026-08-03 10:52:01)
GPS + adresse + horaires via Google Places (juin 2026)</t>
      </text>
    </comment>
    <comment authorId="0" ref="Y134">
      <text>
        <t xml:space="preserve">======
ID#AAACEw7hNrg
    (2026-08-03 10:52:01)
Codé automatiquement par dérivation de l'univers/catégorie + panier — AUTO · à valider</t>
      </text>
    </comment>
    <comment authorId="0" ref="Z134">
      <text>
        <t xml:space="preserve">======
ID#AAACEw7hNhs
    (2026-08-03 10:52:01)
Codé automatiquement par dérivation de l'univers/catégorie + panier — AUTO · à valider</t>
      </text>
    </comment>
    <comment authorId="0" ref="AA134">
      <text>
        <t xml:space="preserve">======
ID#AAACEw7hOGQ
    (2026-08-03 10:52:02)
Codé automatiquement par dérivation de l'univers/catégorie + panier — AUTO · à valider</t>
      </text>
    </comment>
    <comment authorId="0" ref="Y68">
      <text>
        <t xml:space="preserve">======
ID#AAACEw7hNes
    (2026-08-03 10:52:01)
Codé automatiquement par dérivation de l'univers/catégorie + panier — AUTO · à valider</t>
      </text>
    </comment>
    <comment authorId="0" ref="AB134">
      <text>
        <t xml:space="preserve">======
ID#AAACEw7hOTA
    (2026-08-03 10:52:02)
Codé automatiquement par dérivation de l'univers/catégorie + panier — AUTO · à valider</t>
      </text>
    </comment>
    <comment authorId="0" ref="Z68">
      <text>
        <t xml:space="preserve">======
ID#AAACEw7hNEA
    (2026-08-03 10:52:01)
Codé automatiquement par dérivation de l'univers/catégorie + panier — AUTO · à valider</t>
      </text>
    </comment>
    <comment authorId="0" ref="AA68">
      <text>
        <t xml:space="preserve">======
ID#AAACEw7hOUM
    (2026-08-03 10:52:02)
Codé automatiquement par dérivation de l'univers/catégorie + panier — AUTO · à valider</t>
      </text>
    </comment>
    <comment authorId="0" ref="AC134">
      <text>
        <t xml:space="preserve">======
ID#AAACEw7hNMA
    (2026-08-03 10:52:01)
Codé automatiquement par dérivation de l'univers/catégorie + panier — AUTO · à valider</t>
      </text>
    </comment>
    <comment authorId="0" ref="AD134">
      <text>
        <t xml:space="preserve">======
ID#AAACEw7hMwQ
    (2026-08-03 10:52:01)
Codé automatiquement par dérivation de l'univers/catégorie + panier — AUTO · à valider</t>
      </text>
    </comment>
    <comment authorId="0" ref="AB68">
      <text>
        <t xml:space="preserve">======
ID#AAACEw7hNQI
    (2026-08-03 10:52:01)
Codé automatiquement par dérivation de l'univers/catégorie + panier — AUTO · à valider</t>
      </text>
    </comment>
    <comment authorId="0" ref="AE134">
      <text>
        <t xml:space="preserve">======
ID#AAACEw7hMnk
    (2026-08-03 10:52:00)
Codé automatiquement par dérivation de l'univers/catégorie + panier — AUTO · à valider</t>
      </text>
    </comment>
    <comment authorId="0" ref="AC68">
      <text>
        <t xml:space="preserve">======
ID#AAACEw7hMDs
    (2026-08-03 10:52:00)
Codé automatiquement par dérivation de l'univers/catégorie + panier — AUTO · à valider</t>
      </text>
    </comment>
    <comment authorId="0" ref="AD68">
      <text>
        <t xml:space="preserve">======
ID#AAACEw7hM7k
    (2026-08-03 10:52:01)
Codé automatiquement par dérivation de l'univers/catégorie + panier — AUTO · à valider</t>
      </text>
    </comment>
    <comment authorId="0" ref="AF134">
      <text>
        <t xml:space="preserve">======
ID#AAACEw7hM88
    (2026-08-03 10:52:01)
Codé automatiquement par dérivation de l'univers/catégorie + panier — AUTO · à valider</t>
      </text>
    </comment>
    <comment authorId="0" ref="AE68">
      <text>
        <t xml:space="preserve">======
ID#AAACEw7hMmM
    (2026-08-03 10:52:00)
Codé automatiquement par dérivation de l'univers/catégorie + panier — AUTO · à valider</t>
      </text>
    </comment>
    <comment authorId="0" ref="AF68">
      <text>
        <t xml:space="preserve">======
ID#AAACEw7hOEo
    (2026-08-03 10:52:02)
Codé automatiquement par dérivation de l'univers/catégorie + panier — AUTO · à valider</t>
      </text>
    </comment>
    <comment authorId="0" ref="F135">
      <text>
        <t xml:space="preserve">======
ID#AAACEw7hOpQ
    (2026-08-03 10:52:02)
GPS + adresse + horaires via Google Places (juin 2026)</t>
      </text>
    </comment>
    <comment authorId="0" ref="F69">
      <text>
        <t xml:space="preserve">======
ID#AAACEw7hNAQ
    (2026-08-03 10:52:01)
GPS + adresse + horaires via Google Places (juin 2026)</t>
      </text>
    </comment>
    <comment authorId="0" ref="F3">
      <text>
        <t xml:space="preserve">======
ID#AAACEw7hODY
    (2026-08-03 10:52:02)
GPS + adresse + horaires via Google Places (juin 2026)</t>
      </text>
    </comment>
    <comment authorId="0" ref="P3">
      <text>
        <t xml:space="preserve">======
ID#AAACEw7hMtA
Salima Benchekroun    (2026-08-03 10:52:01)
Autre n° fourni : +212 524 29 86 86 — à confirmer (existant issu de Google Places).</t>
      </text>
    </comment>
    <comment authorId="0" ref="Y135">
      <text>
        <t xml:space="preserve">======
ID#AAACEw7hOlk
    (2026-08-03 10:52:02)
Codé automatiquement par dérivation de l'univers/catégorie + panier — AUTO · à valider</t>
      </text>
    </comment>
    <comment authorId="0" ref="Z135">
      <text>
        <t xml:space="preserve">======
ID#AAACEw7hNH8
    (2026-08-03 10:52:01)
Codé automatiquement par dérivation de l'univers/catégorie + panier — AUTO · à valider</t>
      </text>
    </comment>
    <comment authorId="0" ref="AA135">
      <text>
        <t xml:space="preserve">======
ID#AAACEw7hONg
    (2026-08-03 10:52:02)
Codé automatiquement par dérivation de l'univers/catégorie + panier — AUTO · à valider</t>
      </text>
    </comment>
    <comment authorId="0" ref="Y69">
      <text>
        <t xml:space="preserve">======
ID#AAACEw7hN-w
    (2026-08-03 10:52:02)
Codé automatiquement par dérivation de l'univers/catégorie + panier — AUTO · à valider</t>
      </text>
    </comment>
    <comment authorId="0" ref="AB135">
      <text>
        <t xml:space="preserve">======
ID#AAACEw7hMuI
    (2026-08-03 10:52:01)
Codé automatiquement par dérivation de l'univers/catégorie + panier — AUTO · à valider</t>
      </text>
    </comment>
    <comment authorId="0" ref="Z69">
      <text>
        <t xml:space="preserve">======
ID#AAACEw7hMLk
    (2026-08-03 10:52:00)
Codé automatiquement par dérivation de l'univers/catégorie + panier — AUTO · à valider</t>
      </text>
    </comment>
    <comment authorId="0" ref="Y3">
      <text>
        <t xml:space="preserve">======
ID#AAACEw7hOeU
    (2026-08-03 10:52:02)
Codé automatiquement par dérivation de l'univers/catégorie + panier — AUTO · à valider</t>
      </text>
    </comment>
    <comment authorId="0" ref="AC135">
      <text>
        <t xml:space="preserve">======
ID#AAACEw7hOAE
    (2026-08-03 10:52:02)
Codé automatiquement par dérivation de l'univers/catégorie + panier — AUTO · à valider</t>
      </text>
    </comment>
    <comment authorId="0" ref="AA69">
      <text>
        <t xml:space="preserve">======
ID#AAACEw7hL1Q
    (2026-08-03 10:52:00)
Codé automatiquement par dérivation de l'univers/catégorie + panier — AUTO · à valider</t>
      </text>
    </comment>
    <comment authorId="0" ref="AB69">
      <text>
        <t xml:space="preserve">======
ID#AAACEw7hMuM
    (2026-08-03 10:52:01)
Codé automatiquement par dérivation de l'univers/catégorie + panier — AUTO · à valider</t>
      </text>
    </comment>
    <comment authorId="0" ref="Z3">
      <text>
        <t xml:space="preserve">======
ID#AAACEw7hMNE
    (2026-08-03 10:52:00)
Codé automatiquement par dérivation de l'univers/catégorie + panier — AUTO · à valider</t>
      </text>
    </comment>
    <comment authorId="0" ref="AD135">
      <text>
        <t xml:space="preserve">======
ID#AAACEw7hMKA
    (2026-08-03 10:52:00)
Codé automatiquement par dérivation de l'univers/catégorie + panier — AUTO · à valider</t>
      </text>
    </comment>
    <comment authorId="0" ref="AA3">
      <text>
        <t xml:space="preserve">======
ID#AAACEw7hNJw
    (2026-08-03 10:52:01)
Codé automatiquement par dérivation de l'univers/catégorie + panier — AUTO · à valider</t>
      </text>
    </comment>
    <comment authorId="0" ref="AC69">
      <text>
        <t xml:space="preserve">======
ID#AAACEw7hMvo
    (2026-08-03 10:52:01)
Codé automatiquement par dérivation de l'univers/catégorie + panier — AUTO · à valider</t>
      </text>
    </comment>
    <comment authorId="0" ref="AE135">
      <text>
        <t xml:space="preserve">======
ID#AAACEw7hMIk
    (2026-08-03 10:52:00)
Codé automatiquement par dérivation de l'univers/catégorie + panier — AUTO · à valider</t>
      </text>
    </comment>
    <comment authorId="0" ref="AF135">
      <text>
        <t xml:space="preserve">======
ID#AAACEw7hMYQ
    (2026-08-03 10:52:00)
Codé automatiquement par dérivation de l'univers/catégorie + panier — AUTO · à valider</t>
      </text>
    </comment>
    <comment authorId="0" ref="AB3">
      <text>
        <t xml:space="preserve">======
ID#AAACEw7hOUE
    (2026-08-03 10:52:02)
Codé automatiquement par dérivation de l'univers/catégorie + panier — AUTO · à valider</t>
      </text>
    </comment>
    <comment authorId="0" ref="AD69">
      <text>
        <t xml:space="preserve">======
ID#AAACEw7hOJE
    (2026-08-03 10:52:02)
Codé automatiquement par dérivation de l'univers/catégorie + panier — AUTO · à valider</t>
      </text>
    </comment>
    <comment authorId="0" ref="AE69">
      <text>
        <t xml:space="preserve">======
ID#AAACEw7hNYo
    (2026-08-03 10:52:01)
Codé automatiquement par dérivation de l'univers/catégorie + panier — AUTO · à valider</t>
      </text>
    </comment>
    <comment authorId="0" ref="AC3">
      <text>
        <t xml:space="preserve">======
ID#AAACEw7hNFc
    (2026-08-03 10:52:01)
Codé automatiquement par dérivation de l'univers/catégorie + panier — AUTO · à valider</t>
      </text>
    </comment>
    <comment authorId="0" ref="AF69">
      <text>
        <t xml:space="preserve">======
ID#AAACEw7hMnY
    (2026-08-03 10:52:00)
Codé automatiquement par dérivation de l'univers/catégorie + panier — AUTO · à valider</t>
      </text>
    </comment>
    <comment authorId="0" ref="AD3">
      <text>
        <t xml:space="preserve">======
ID#AAACEw7hLzw
    (2026-08-03 10:52:00)
Codé automatiquement par dérivation de l'univers/catégorie + panier — AUTO · à valider</t>
      </text>
    </comment>
    <comment authorId="0" ref="AE3">
      <text>
        <t xml:space="preserve">======
ID#AAACEw7hObI
    (2026-08-03 10:52:02)
Codé automatiquement par dérivation de l'univers/catégorie + panier — AUTO · à valider</t>
      </text>
    </comment>
    <comment authorId="0" ref="AF3">
      <text>
        <t xml:space="preserve">======
ID#AAACEw7hMHo
    (2026-08-03 10:52:00)
Codé automatiquement par dérivation de l'univers/catégorie + panier — AUTO · à valider</t>
      </text>
    </comment>
    <comment authorId="0" ref="F136">
      <text>
        <t xml:space="preserve">======
ID#AAACEw7hLyA
    (2026-08-03 10:52:00)
GPS + adresse + horaires via Google Places (juin 2026)</t>
      </text>
    </comment>
    <comment authorId="0" ref="F70">
      <text>
        <t xml:space="preserve">======
ID#AAACEw7hMvA
    (2026-08-03 10:52:01)
GPS + adresse + horaires via Google Places (juin 2026)</t>
      </text>
    </comment>
    <comment authorId="0" ref="F4">
      <text>
        <t xml:space="preserve">======
ID#AAACEw7hM4I
    (2026-08-03 10:52:01)
GPS + adresse + horaires via Google Places (juin 2026)</t>
      </text>
    </comment>
    <comment authorId="0" ref="Y136">
      <text>
        <t xml:space="preserve">======
ID#AAACEw7hNkI
    (2026-08-03 10:52:01)
Codé automatiquement par dérivation de l'univers/catégorie + panier — AUTO · à valider</t>
      </text>
    </comment>
    <comment authorId="0" ref="Z136">
      <text>
        <t xml:space="preserve">======
ID#AAACEw7hMgY
    (2026-08-03 10:52:00)
Codé automatiquement par dérivation de l'univers/catégorie + panier — AUTO · à valider</t>
      </text>
    </comment>
    <comment authorId="0" ref="Y70">
      <text>
        <t xml:space="preserve">======
ID#AAACEw7hMvY
    (2026-08-03 10:52:01)
Codé automatiquement par dérivation de l'univers/catégorie + panier — AUTO · à valider</t>
      </text>
    </comment>
    <comment authorId="0" ref="AA136">
      <text>
        <t xml:space="preserve">======
ID#AAACEw7hMOA
    (2026-08-03 10:52:00)
Codé automatiquement par dérivation de l'univers/catégorie + panier — AUTO · à valider</t>
      </text>
    </comment>
    <comment authorId="0" ref="AB136">
      <text>
        <t xml:space="preserve">======
ID#AAACEw7hN6k
    (2026-08-03 10:52:02)
Codé automatiquement par dérivation de l'univers/catégorie + panier — AUTO · à valider</t>
      </text>
    </comment>
    <comment authorId="0" ref="Z70">
      <text>
        <t xml:space="preserve">======
ID#AAACEw7hMm0
    (2026-08-03 10:52:00)
Codé automatiquement par dérivation de l'univers/catégorie + panier — AUTO · à valider</t>
      </text>
    </comment>
    <comment authorId="0" ref="AC136">
      <text>
        <t xml:space="preserve">======
ID#AAACEw7hNvU
    (2026-08-03 10:52:01)
Codé automatiquement par dérivation de l'univers/catégorie + panier — AUTO · à valider</t>
      </text>
    </comment>
    <comment authorId="0" ref="AA70">
      <text>
        <t xml:space="preserve">======
ID#AAACEw7hNkE
    (2026-08-03 10:52:01)
Codé automatiquement par dérivation de l'univers/catégorie + panier — AUTO · à valider</t>
      </text>
    </comment>
    <comment authorId="0" ref="Y4">
      <text>
        <t xml:space="preserve">======
ID#AAACEw7hMC4
    (2026-08-03 10:52:00)
Codé automatiquement par dérivation de l'univers/catégorie + panier — AUTO · à valider</t>
      </text>
    </comment>
    <comment authorId="0" ref="AB70">
      <text>
        <t xml:space="preserve">======
ID#AAACEw7hNJk
    (2026-08-03 10:52:01)
Codé automatiquement par dérivation de l'univers/catégorie + panier — AUTO · à valider</t>
      </text>
    </comment>
    <comment authorId="0" ref="AD136">
      <text>
        <t xml:space="preserve">======
ID#AAACEw7hN6w
    (2026-08-03 10:52:02)
Codé automatiquement par dérivation de l'univers/catégorie + panier — AUTO · à valider</t>
      </text>
    </comment>
    <comment authorId="0" ref="Z4">
      <text>
        <t xml:space="preserve">======
ID#AAACEw7hMK8
    (2026-08-03 10:52:00)
Codé automatiquement par dérivation de l'univers/catégorie + panier — AUTO · à valider</t>
      </text>
    </comment>
    <comment authorId="0" ref="AC70">
      <text>
        <t xml:space="preserve">======
ID#AAACEw7hOHg
    (2026-08-03 10:52:02)
Codé automatiquement par dérivation de l'univers/catégorie + panier — AUTO · à valider</t>
      </text>
    </comment>
    <comment authorId="0" ref="AA4">
      <text>
        <t xml:space="preserve">======
ID#AAACEw7hNe0
    (2026-08-03 10:52:01)
Codé automatiquement par dérivation de l'univers/catégorie + panier — AUTO · à valider</t>
      </text>
    </comment>
    <comment authorId="0" ref="AE136">
      <text>
        <t xml:space="preserve">======
ID#AAACEw7hL2E
    (2026-08-03 10:52:00)
Codé automatiquement par dérivation de l'univers/catégorie + panier — AUTO · à valider</t>
      </text>
    </comment>
    <comment authorId="0" ref="AB4">
      <text>
        <t xml:space="preserve">======
ID#AAACEw7hNmA
    (2026-08-03 10:52:01)
Codé automatiquement par dérivation de l'univers/catégorie + panier — AUTO · à valider</t>
      </text>
    </comment>
    <comment authorId="0" ref="AD70">
      <text>
        <t xml:space="preserve">======
ID#AAACEw7hOg8
    (2026-08-03 10:52:02)
Codé automatiquement par dérivation de l'univers/catégorie + panier — AUTO · à valider</t>
      </text>
    </comment>
    <comment authorId="0" ref="AF136">
      <text>
        <t xml:space="preserve">======
ID#AAACEw7hOTg
    (2026-08-03 10:52:02)
Codé automatiquement par dérivation de l'univers/catégorie + panier — AUTO · à valider</t>
      </text>
    </comment>
    <comment authorId="0" ref="AE70">
      <text>
        <t xml:space="preserve">======
ID#AAACEw7hOQY
    (2026-08-03 10:52:02)
Codé automatiquement par dérivation de l'univers/catégorie + panier — AUTO · à valider</t>
      </text>
    </comment>
    <comment authorId="0" ref="AC4">
      <text>
        <t xml:space="preserve">======
ID#AAACEw7hOFo
    (2026-08-03 10:52:02)
Codé automatiquement par dérivation de l'univers/catégorie + panier — AUTO · à valider</t>
      </text>
    </comment>
    <comment authorId="0" ref="AD4">
      <text>
        <t xml:space="preserve">======
ID#AAACEw7hNTQ
    (2026-08-03 10:52:01)
Codé automatiquement par dérivation de l'univers/catégorie + panier — AUTO · à valider</t>
      </text>
    </comment>
    <comment authorId="0" ref="AF70">
      <text>
        <t xml:space="preserve">======
ID#AAACEw7hOmk
    (2026-08-03 10:52:02)
Codé automatiquement par dérivation de l'univers/catégorie + panier — AUTO · à valider</t>
      </text>
    </comment>
    <comment authorId="0" ref="AE4">
      <text>
        <t xml:space="preserve">======
ID#AAACEw7hOP0
    (2026-08-03 10:52:02)
Codé automatiquement par dérivation de l'univers/catégorie + panier — AUTO · à valider</t>
      </text>
    </comment>
    <comment authorId="0" ref="AF4">
      <text>
        <t xml:space="preserve">======
ID#AAACEw7hM3o
    (2026-08-03 10:52:01)
Codé automatiquement par dérivation de l'univers/catégorie + panier — AUTO · à valider</t>
      </text>
    </comment>
    <comment authorId="0" ref="F137">
      <text>
        <t xml:space="preserve">======
ID#AAACEw7hNxQ
    (2026-08-03 10:52:01)
Code d'origine proposé ACT-JARD (inexistant). En POI → POI-VIS ; univers AU-CUL en col Y. ≠ Musée de Marrakech (POI-010).</t>
      </text>
    </comment>
    <comment authorId="0" ref="F71">
      <text>
        <t xml:space="preserve">======
ID#AAACEw7hMsc
    (2026-08-03 10:52:01)
GPS + adresse + horaires via Google Places (juin 2026)</t>
      </text>
    </comment>
    <comment authorId="0" ref="F5">
      <text>
        <t xml:space="preserve">======
ID#AAACEw7hL5k
    (2026-08-03 10:52:00)
GPS + adresse + horaires via Google Places (juin 2026)</t>
      </text>
    </comment>
    <comment authorId="0" ref="Y137">
      <text>
        <t xml:space="preserve">======
ID#AAACEw7hORg
    (2026-08-03 10:52:02)
Codé automatiquement par dérivation de l'univers/catégorie + panier — AUTO · à valider</t>
      </text>
    </comment>
    <comment authorId="0" ref="Z137">
      <text>
        <t xml:space="preserve">======
ID#AAACEw7hNBo
    (2026-08-03 10:52:01)
Codé automatiquement par dérivation de l'univers/catégorie + panier — AUTO · à valider</t>
      </text>
    </comment>
    <comment authorId="0" ref="Y71">
      <text>
        <t xml:space="preserve">======
ID#AAACEw7hNZA
    (2026-08-03 10:52:01)
Codé automatiquement par dérivation de l'univers/catégorie + panier — AUTO · à valider</t>
      </text>
    </comment>
    <comment authorId="0" ref="AA137">
      <text>
        <t xml:space="preserve">======
ID#AAACEw7hNKc
    (2026-08-03 10:52:01)
Codé automatiquement par dérivation de l'univers/catégorie + panier — AUTO · à valider</t>
      </text>
    </comment>
    <comment authorId="0" ref="Z71">
      <text>
        <t xml:space="preserve">======
ID#AAACEw7hOE8
    (2026-08-03 10:52:02)
Codé automatiquement par dérivation de l'univers/catégorie + panier — AUTO · à valider</t>
      </text>
    </comment>
    <comment authorId="0" ref="AB137">
      <text>
        <t xml:space="preserve">======
ID#AAACEw7hNuY
    (2026-08-03 10:52:01)
Codé automatiquement par dérivation de l'univers/catégorie + panier — AUTO · à valider</t>
      </text>
    </comment>
    <comment authorId="0" ref="Y5">
      <text>
        <t xml:space="preserve">======
ID#AAACEw7hNqk
    (2026-08-03 10:52:01)
Codé automatiquement par dérivation de l'univers/catégorie + panier — AUTO · à valider</t>
      </text>
    </comment>
    <comment authorId="0" ref="AC137">
      <text>
        <t xml:space="preserve">======
ID#AAACEw7hOl0
    (2026-08-03 10:52:02)
Codé automatiquement par dérivation de l'univers/catégorie + panier — AUTO · à valider</t>
      </text>
    </comment>
    <comment authorId="0" ref="AA71">
      <text>
        <t xml:space="preserve">======
ID#AAACEw7hMrY
    (2026-08-03 10:52:00)
Codé automatiquement par dérivation de l'univers/catégorie + panier — AUTO · à valider</t>
      </text>
    </comment>
    <comment authorId="0" ref="Z5">
      <text>
        <t xml:space="preserve">======
ID#AAACEw7hOZA
    (2026-08-03 10:52:02)
Codé automatiquement par dérivation de l'univers/catégorie + panier — AUTO · à valider</t>
      </text>
    </comment>
    <comment authorId="0" ref="AD137">
      <text>
        <t xml:space="preserve">======
ID#AAACEw7hOY8
    (2026-08-03 10:52:02)
Codé automatiquement par dérivation de l'univers/catégorie + panier — AUTO · à valider</t>
      </text>
    </comment>
    <comment authorId="0" ref="AB71">
      <text>
        <t xml:space="preserve">======
ID#AAACEw7hMLo
    (2026-08-03 10:52:00)
Codé automatiquement par dérivation de l'univers/catégorie + panier — AUTO · à valider</t>
      </text>
    </comment>
    <comment authorId="0" ref="AA5">
      <text>
        <t xml:space="preserve">======
ID#AAACEw7hOk0
    (2026-08-03 10:52:02)
Codé automatiquement par dérivation de l'univers/catégorie + panier — AUTO · à valider</t>
      </text>
    </comment>
    <comment authorId="0" ref="AE137">
      <text>
        <t xml:space="preserve">======
ID#AAACEw7hOJ0
    (2026-08-03 10:52:02)
Codé automatiquement par dérivation de l'univers/catégorie + panier — AUTO · à valider</t>
      </text>
    </comment>
    <comment authorId="0" ref="AC71">
      <text>
        <t xml:space="preserve">======
ID#AAACEw7hMxM
    (2026-08-03 10:52:01)
Codé automatiquement par dérivation de l'univers/catégorie + panier — AUTO · à valider</t>
      </text>
    </comment>
    <comment authorId="0" ref="AD71">
      <text>
        <t xml:space="preserve">======
ID#AAACEw7hOic
    (2026-08-03 10:52:02)
Codé automatiquement par dérivation de l'univers/catégorie + panier — AUTO · à valider</t>
      </text>
    </comment>
    <comment authorId="0" ref="AB5">
      <text>
        <t xml:space="preserve">======
ID#AAACEw7hM8U
    (2026-08-03 10:52:01)
Codé automatiquement par dérivation de l'univers/catégorie + panier — AUTO · à valider</t>
      </text>
    </comment>
    <comment authorId="0" ref="AF137">
      <text>
        <t xml:space="preserve">======
ID#AAACEw7hMRI
    (2026-08-03 10:52:00)
Codé automatiquement par dérivation de l'univers/catégorie + panier — AUTO · à valider</t>
      </text>
    </comment>
    <comment authorId="0" ref="AE71">
      <text>
        <t xml:space="preserve">======
ID#AAACEw7hMsg
    (2026-08-03 10:52:01)
Codé automatiquement par dérivation de l'univers/catégorie + panier — AUTO · à valider</t>
      </text>
    </comment>
    <comment authorId="0" ref="AC5">
      <text>
        <t xml:space="preserve">======
ID#AAACEw7hL04
    (2026-08-03 10:52:00)
Codé automatiquement par dérivation de l'univers/catégorie + panier — AUTO · à valider</t>
      </text>
    </comment>
    <comment authorId="0" ref="AF71">
      <text>
        <t xml:space="preserve">======
ID#AAACEw7hNnM
    (2026-08-03 10:52:01)
Codé automatiquement par dérivation de l'univers/catégorie + panier — AUTO · à valider</t>
      </text>
    </comment>
    <comment authorId="0" ref="AD5">
      <text>
        <t xml:space="preserve">======
ID#AAACEw7hMaY
    (2026-08-03 10:52:00)
Codé automatiquement par dérivation de l'univers/catégorie + panier — AUTO · à valider</t>
      </text>
    </comment>
    <comment authorId="0" ref="AE5">
      <text>
        <t xml:space="preserve">======
ID#AAACEw7hMAI
    (2026-08-03 10:52:00)
Codé automatiquement par dérivation de l'univers/catégorie + panier — AUTO · à valider</t>
      </text>
    </comment>
    <comment authorId="0" ref="AF5">
      <text>
        <t xml:space="preserve">======
ID#AAACEw7hN8A
    (2026-08-03 10:52:02)
Codé automatiquement par dérivation de l'univers/catégorie + panier — AUTO · à valider</t>
      </text>
    </comment>
    <comment authorId="0" ref="F72">
      <text>
        <t xml:space="preserve">======
ID#AAACEw7hOmY
    (2026-08-03 10:52:02)
GPS + adresse + horaires via Google Places (juin 2026)</t>
      </text>
    </comment>
    <comment authorId="0" ref="F6">
      <text>
        <t xml:space="preserve">======
ID#AAACEw7hMxg
    (2026-08-03 10:52:01)
GPS + adresse + horaires via Google Places (juin 2026)</t>
      </text>
    </comment>
    <comment authorId="0" ref="Y72">
      <text>
        <t xml:space="preserve">======
ID#AAACEw7hMFk
    (2026-08-03 10:52:00)
Codé automatiquement par dérivation de l'univers/catégorie + panier — AUTO · à valider</t>
      </text>
    </comment>
    <comment authorId="0" ref="Z72">
      <text>
        <t xml:space="preserve">======
ID#AAACEw7hNZ0
    (2026-08-03 10:52:01)
Codé automatiquement par dérivation de l'univers/catégorie + panier — AUTO · à valider</t>
      </text>
    </comment>
    <comment authorId="0" ref="AA72">
      <text>
        <t xml:space="preserve">======
ID#AAACEw7hNEw
    (2026-08-03 10:52:01)
Codé automatiquement par dérivation de l'univers/catégorie + panier — AUTO · à valider</t>
      </text>
    </comment>
    <comment authorId="0" ref="Y6">
      <text>
        <t xml:space="preserve">======
ID#AAACEw7hM-Y
    (2026-08-03 10:52:01)
Codé automatiquement par dérivation de l'univers/catégorie + panier — AUTO · à valider</t>
      </text>
    </comment>
    <comment authorId="0" ref="AB72">
      <text>
        <t xml:space="preserve">======
ID#AAACEw7hNJU
    (2026-08-03 10:52:01)
Codé automatiquement par dérivation de l'univers/catégorie + panier — AUTO · à valider</t>
      </text>
    </comment>
    <comment authorId="0" ref="Z6">
      <text>
        <t xml:space="preserve">======
ID#AAACEw7hM0s
    (2026-08-03 10:52:01)
Codé automatiquement par dérivation de l'univers/catégorie + panier — AUTO · à valider</t>
      </text>
    </comment>
    <comment authorId="0" ref="AC72">
      <text>
        <t xml:space="preserve">======
ID#AAACEw7hNTs
    (2026-08-03 10:52:01)
Codé automatiquement par dérivation de l'univers/catégorie + panier — AUTO · à valider</t>
      </text>
    </comment>
    <comment authorId="0" ref="AA6">
      <text>
        <t xml:space="preserve">======
ID#AAACEw7hM-4
    (2026-08-03 10:52:01)
Codé automatiquement par dérivation de l'univers/catégorie + panier — AUTO · à valider</t>
      </text>
    </comment>
    <comment authorId="0" ref="AB6">
      <text>
        <t xml:space="preserve">======
ID#AAACEw7hM1E
    (2026-08-03 10:52:01)
Codé automatiquement par dérivation de l'univers/catégorie + panier — AUTO · à valider</t>
      </text>
    </comment>
    <comment authorId="0" ref="AD72">
      <text>
        <t xml:space="preserve">======
ID#AAACEw7hMQ4
    (2026-08-03 10:52:00)
Codé automatiquement par dérivation de l'univers/catégorie + panier — AUTO · à valider</t>
      </text>
    </comment>
    <comment authorId="0" ref="AC6">
      <text>
        <t xml:space="preserve">======
ID#AAACEw7hM2c
    (2026-08-03 10:52:01)
Codé automatiquement par dérivation de l'univers/catégorie + panier — AUTO · à valider</t>
      </text>
    </comment>
    <comment authorId="0" ref="AE72">
      <text>
        <t xml:space="preserve">======
ID#AAACEw7hLwo
    (2026-08-03 10:52:00)
Codé automatiquement par dérivation de l'univers/catégorie + panier — AUTO · à valider</t>
      </text>
    </comment>
    <comment authorId="0" ref="AF72">
      <text>
        <t xml:space="preserve">======
ID#AAACEw7hM_E
    (2026-08-03 10:52:01)
Codé automatiquement par dérivation de l'univers/catégorie + panier — AUTO · à valider</t>
      </text>
    </comment>
    <comment authorId="0" ref="AD6">
      <text>
        <t xml:space="preserve">======
ID#AAACEw7hMxY
    (2026-08-03 10:52:01)
Codé automatiquement par dérivation de l'univers/catégorie + panier — AUTO · à valider</t>
      </text>
    </comment>
    <comment authorId="0" ref="AE6">
      <text>
        <t xml:space="preserve">======
ID#AAACEw7hN54
    (2026-08-03 10:52:02)
Codé automatiquement par dérivation de l'univers/catégorie + panier — AUTO · à valider</t>
      </text>
    </comment>
    <comment authorId="0" ref="AF6">
      <text>
        <t xml:space="preserve">======
ID#AAACEw7hMBw
    (2026-08-03 10:52:00)
Codé automatiquement par dérivation de l'univers/catégorie + panier — AUTO · à valider</t>
      </text>
    </comment>
    <comment authorId="0" ref="F73">
      <text>
        <t xml:space="preserve">======
ID#AAACEw7hN1w
    (2026-08-03 10:52:02)
GPS + adresse + horaires via Google Places (juin 2026)</t>
      </text>
    </comment>
    <comment authorId="0" ref="F7">
      <text>
        <t xml:space="preserve">======
ID#AAACEw7hNAY
    (2026-08-03 10:52:01)
GPS + adresse + horaires via Google Places (juin 2026)</t>
      </text>
    </comment>
    <comment authorId="0" ref="Y73">
      <text>
        <t xml:space="preserve">======
ID#AAACEw7hMck
    (2026-08-03 10:52:00)
Codé automatiquement par dérivation de l'univers/catégorie + panier — AUTO · à valider</t>
      </text>
    </comment>
    <comment authorId="0" ref="Z73">
      <text>
        <t xml:space="preserve">======
ID#AAACEw7hNNE
    (2026-08-03 10:52:01)
Codé automatiquement par dérivation de l'univers/catégorie + panier — AUTO · à valider</t>
      </text>
    </comment>
    <comment authorId="0" ref="Y7">
      <text>
        <t xml:space="preserve">======
ID#AAACEw7hOCw
    (2026-08-03 10:52:02)
Codé automatiquement par dérivation de l'univers/catégorie + panier — AUTO · à valider</t>
      </text>
    </comment>
    <comment authorId="0" ref="AA73">
      <text>
        <t xml:space="preserve">======
ID#AAACEw7hOlQ
    (2026-08-03 10:52:02)
Codé automatiquement par dérivation de l'univers/catégorie + panier — AUTO · à valider</t>
      </text>
    </comment>
    <comment authorId="0" ref="Z7">
      <text>
        <t xml:space="preserve">======
ID#AAACEw7hOdQ
    (2026-08-03 10:52:02)
Codé automatiquement par dérivation de l'univers/catégorie + panier — AUTO · à valider</t>
      </text>
    </comment>
    <comment authorId="0" ref="AB73">
      <text>
        <t xml:space="preserve">======
ID#AAACEw7hNwo
    (2026-08-03 10:52:01)
Codé automatiquement par dérivation de l'univers/catégorie + panier — AUTO · à valider</t>
      </text>
    </comment>
    <comment authorId="0" ref="AA7">
      <text>
        <t xml:space="preserve">======
ID#AAACEw7hNCI
    (2026-08-03 10:52:01)
Codé automatiquement par dérivation de l'univers/catégorie + panier — AUTO · à valider</t>
      </text>
    </comment>
    <comment authorId="0" ref="AC73">
      <text>
        <t xml:space="preserve">======
ID#AAACEw7hNgM
    (2026-08-03 10:52:01)
Codé automatiquement par dérivation de l'univers/catégorie + panier — AUTO · à valider</t>
      </text>
    </comment>
    <comment authorId="0" ref="AB7">
      <text>
        <t xml:space="preserve">======
ID#AAACEw7hOqI
    (2026-08-03 10:52:02)
Codé automatiquement par dérivation de l'univers/catégorie + panier — AUTO · à valider</t>
      </text>
    </comment>
    <comment authorId="0" ref="AD73">
      <text>
        <t xml:space="preserve">======
ID#AAACEw7hMZo
    (2026-08-03 10:52:00)
Codé automatiquement par dérivation de l'univers/catégorie + panier — AUTO · à valider</t>
      </text>
    </comment>
    <comment authorId="0" ref="AC7">
      <text>
        <t xml:space="preserve">======
ID#AAACEw7hM1U
    (2026-08-03 10:52:01)
Codé automatiquement par dérivation de l'univers/catégorie + panier — AUTO · à valider</t>
      </text>
    </comment>
    <comment authorId="0" ref="AE73">
      <text>
        <t xml:space="preserve">======
ID#AAACEw7hMQA
    (2026-08-03 10:52:00)
Codé automatiquement par dérivation de l'univers/catégorie + panier — AUTO · à valider</t>
      </text>
    </comment>
    <comment authorId="0" ref="AD7">
      <text>
        <t xml:space="preserve">======
ID#AAACEw7hNgY
    (2026-08-03 10:52:01)
Codé automatiquement par dérivation de l'univers/catégorie + panier — AUTO · à valider</t>
      </text>
    </comment>
    <comment authorId="0" ref="AF73">
      <text>
        <t xml:space="preserve">======
ID#AAACEw7hNpQ
    (2026-08-03 10:52:01)
Codé automatiquement par dérivation de l'univers/catégorie + panier — AUTO · à valider</t>
      </text>
    </comment>
    <comment authorId="0" ref="AE7">
      <text>
        <t xml:space="preserve">======
ID#AAACEw7hMT4
    (2026-08-03 10:52:00)
Codé automatiquement par dérivation de l'univers/catégorie + panier — AUTO · à valider</t>
      </text>
    </comment>
    <comment authorId="0" ref="AF7">
      <text>
        <t xml:space="preserve">======
ID#AAACEw7hMO8
    (2026-08-03 10:52:00)
Codé automatiquement par dérivation de l'univers/catégorie + panier — AUTO · à valider</t>
      </text>
    </comment>
    <comment authorId="0" ref="F74">
      <text>
        <t xml:space="preserve">======
ID#AAACEw7hMaI
    (2026-08-03 10:52:00)
GPS + adresse + horaires via Google Places (juin 2026)</t>
      </text>
    </comment>
    <comment authorId="0" ref="F8">
      <text>
        <t xml:space="preserve">======
ID#AAACEw7hL34
    (2026-08-03 10:52:00)
GPS + adresse + horaires via Google Places (juin 2026)</t>
      </text>
    </comment>
    <comment authorId="0" ref="Y74">
      <text>
        <t xml:space="preserve">======
ID#AAACEw7hMGw
    (2026-08-03 10:52:00)
Codé automatiquement par dérivation de l'univers/catégorie + panier — AUTO · à valider</t>
      </text>
    </comment>
    <comment authorId="0" ref="Z74">
      <text>
        <t xml:space="preserve">======
ID#AAACEw7hMmk
    (2026-08-03 10:52:00)
Codé automatiquement par dérivation de l'univers/catégorie + panier — AUTO · à valider</t>
      </text>
    </comment>
    <comment authorId="0" ref="Y8">
      <text>
        <t xml:space="preserve">======
ID#AAACEw7hNas
    (2026-08-03 10:52:01)
Codé automatiquement par dérivation de l'univers/catégorie + panier — AUTO · à valider</t>
      </text>
    </comment>
    <comment authorId="0" ref="AA74">
      <text>
        <t xml:space="preserve">======
ID#AAACEw7hNJ8
    (2026-08-03 10:52:01)
Codé automatiquement par dérivation de l'univers/catégorie + panier — AUTO · à valider</t>
      </text>
    </comment>
    <comment authorId="0" ref="AB74">
      <text>
        <t xml:space="preserve">======
ID#AAACEw7hOlg
    (2026-08-03 10:52:02)
Codé automatiquement par dérivation de l'univers/catégorie + panier — AUTO · à valider</t>
      </text>
    </comment>
    <comment authorId="0" ref="Z8">
      <text>
        <t xml:space="preserve">======
ID#AAACEw7hM_w
    (2026-08-03 10:52:01)
Codé automatiquement par dérivation de l'univers/catégorie + panier — AUTO · à valider</t>
      </text>
    </comment>
    <comment authorId="0" ref="AA8">
      <text>
        <t xml:space="preserve">======
ID#AAACEw7hOb0
    (2026-08-03 10:52:02)
Codé automatiquement par dérivation de l'univers/catégorie + panier — AUTO · à valider</t>
      </text>
    </comment>
    <comment authorId="0" ref="AC74">
      <text>
        <t xml:space="preserve">======
ID#AAACEw7hLus
    (2026-08-03 10:52:00)
Codé automatiquement par dérivation de l'univers/catégorie + panier — AUTO · à valider</t>
      </text>
    </comment>
    <comment authorId="0" ref="AD74">
      <text>
        <t xml:space="preserve">======
ID#AAACEw7hM5k
    (2026-08-03 10:52:01)
Codé automatiquement par dérivation de l'univers/catégorie + panier — AUTO · à valider</t>
      </text>
    </comment>
    <comment authorId="0" ref="AB8">
      <text>
        <t xml:space="preserve">======
ID#AAACEw7hMZM
    (2026-08-03 10:52:00)
Codé automatiquement par dérivation de l'univers/catégorie + panier — AUTO · à valider</t>
      </text>
    </comment>
    <comment authorId="0" ref="AC8">
      <text>
        <t xml:space="preserve">======
ID#AAACEw7hNmY
    (2026-08-03 10:52:01)
Codé automatiquement par dérivation de l'univers/catégorie + panier — AUTO · à valider</t>
      </text>
    </comment>
    <comment authorId="0" ref="AE74">
      <text>
        <t xml:space="preserve">======
ID#AAACEw7hL9Q
    (2026-08-03 10:52:00)
Codé automatiquement par dérivation de l'univers/catégorie + panier — AUTO · à valider</t>
      </text>
    </comment>
    <comment authorId="0" ref="AD8">
      <text>
        <t xml:space="preserve">======
ID#AAACEw7hNyE
    (2026-08-03 10:52:01)
Codé automatiquement par dérivation de l'univers/catégorie + panier — AUTO · à valider</t>
      </text>
    </comment>
    <comment authorId="0" ref="AF74">
      <text>
        <t xml:space="preserve">======
ID#AAACEw7hMok
    (2026-08-03 10:52:00)
Codé automatiquement par dérivation de l'univers/catégorie + panier — AUTO · à valider</t>
      </text>
    </comment>
    <comment authorId="0" ref="AE8">
      <text>
        <t xml:space="preserve">======
ID#AAACEw7hOAY
    (2026-08-03 10:52:02)
Codé automatiquement par dérivation de l'univers/catégorie + panier — AUTO · à valider</t>
      </text>
    </comment>
    <comment authorId="0" ref="AF8">
      <text>
        <t xml:space="preserve">======
ID#AAACEw7hNhA
    (2026-08-03 10:52:01)
Codé automatiquement par dérivation de l'univers/catégorie + panier — AUTO · à valider</t>
      </text>
    </comment>
    <comment authorId="0" ref="F75">
      <text>
        <t xml:space="preserve">======
ID#AAACEw7hNR0
    (2026-08-03 10:52:01)
GPS + adresse + horaires via Google Places (juin 2026)</t>
      </text>
    </comment>
    <comment authorId="0" ref="F9">
      <text>
        <t xml:space="preserve">======
ID#AAACEw7hOAI
    (2026-08-03 10:52:02)
GPS + adresse + horaires via Google Places (juin 2026)</t>
      </text>
    </comment>
    <comment authorId="0" ref="Y75">
      <text>
        <t xml:space="preserve">======
ID#AAACEw7hNv8
    (2026-08-03 10:52:01)
Codé automatiquement par dérivation de l'univers/catégorie + panier — AUTO · à valider</t>
      </text>
    </comment>
    <comment authorId="0" ref="Z75">
      <text>
        <t xml:space="preserve">======
ID#AAACEw7hMoQ
    (2026-08-03 10:52:00)
Codé automatiquement par dérivation de l'univers/catégorie + panier — AUTO · à valider</t>
      </text>
    </comment>
    <comment authorId="0" ref="Y9">
      <text>
        <t xml:space="preserve">======
ID#AAACEw7hNgE
    (2026-08-03 10:52:01)
Codé automatiquement par dérivation de l'univers/catégorie + panier — AUTO · à valider</t>
      </text>
    </comment>
    <comment authorId="0" ref="AA75">
      <text>
        <t xml:space="preserve">======
ID#AAACEw7hMy4
    (2026-08-03 10:52:01)
Codé automatiquement par dérivation de l'univers/catégorie + panier — AUTO · à valider</t>
      </text>
    </comment>
    <comment authorId="0" ref="Z9">
      <text>
        <t xml:space="preserve">======
ID#AAACEw7hNAA
    (2026-08-03 10:52:01)
Codé automatiquement par dérivation de l'univers/catégorie + panier — AUTO · à valider</t>
      </text>
    </comment>
    <comment authorId="0" ref="AB75">
      <text>
        <t xml:space="preserve">======
ID#AAACEw7hMbk
    (2026-08-03 10:52:00)
Codé automatiquement par dérivation de l'univers/catégorie + panier — AUTO · à valider</t>
      </text>
    </comment>
    <comment authorId="0" ref="AC75">
      <text>
        <t xml:space="preserve">======
ID#AAACEw7hMic
    (2026-08-03 10:52:00)
Codé automatiquement par dérivation de l'univers/catégorie + panier — AUTO · à valider</t>
      </text>
    </comment>
    <comment authorId="0" ref="AA9">
      <text>
        <t xml:space="preserve">======
ID#AAACEw7hL0Q
    (2026-08-03 10:52:00)
Codé automatiquement par dérivation de l'univers/catégorie + panier — AUTO · à valider</t>
      </text>
    </comment>
    <comment authorId="0" ref="AD75">
      <text>
        <t xml:space="preserve">======
ID#AAACEw7hNkg
    (2026-08-03 10:52:01)
Codé automatiquement par dérivation de l'univers/catégorie + panier — AUTO · à valider</t>
      </text>
    </comment>
    <comment authorId="0" ref="AB9">
      <text>
        <t xml:space="preserve">======
ID#AAACEw7hOQ4
    (2026-08-03 10:52:02)
Codé automatiquement par dérivation de l'univers/catégorie + panier — AUTO · à valider</t>
      </text>
    </comment>
    <comment authorId="0" ref="AE75">
      <text>
        <t xml:space="preserve">======
ID#AAACEw7hNGo
    (2026-08-03 10:52:01)
Codé automatiquement par dérivation de l'univers/catégorie + panier — AUTO · à valider</t>
      </text>
    </comment>
    <comment authorId="0" ref="AC9">
      <text>
        <t xml:space="preserve">======
ID#AAACEw7hMSA
    (2026-08-03 10:52:00)
Codé automatiquement par dérivation de l'univers/catégorie + panier — AUTO · à valider</t>
      </text>
    </comment>
    <comment authorId="0" ref="AF75">
      <text>
        <t xml:space="preserve">======
ID#AAACEw7hOVs
    (2026-08-03 10:52:02)
Codé automatiquement par dérivation de l'univers/catégorie + panier — AUTO · à valider</t>
      </text>
    </comment>
    <comment authorId="0" ref="AD9">
      <text>
        <t xml:space="preserve">======
ID#AAACEw7hMJA
    (2026-08-03 10:52:00)
Codé automatiquement par dérivation de l'univers/catégorie + panier — AUTO · à valider</t>
      </text>
    </comment>
    <comment authorId="0" ref="AE9">
      <text>
        <t xml:space="preserve">======
ID#AAACEw7hOf4
    (2026-08-03 10:52:02)
Codé automatiquement par dérivation de l'univers/catégorie + panier — AUTO · à valider</t>
      </text>
    </comment>
    <comment authorId="0" ref="AF9">
      <text>
        <t xml:space="preserve">======
ID#AAACEw7hM34
    (2026-08-03 10:52:01)
Codé automatiquement par dérivation de l'univers/catégorie + panier — AUTO · à valider</t>
      </text>
    </comment>
    <comment authorId="0" ref="F76">
      <text>
        <t xml:space="preserve">======
ID#AAACEw7hLyQ
    (2026-08-03 10:52:00)
GPS + adresse + horaires via Google Places (juin 2026)</t>
      </text>
    </comment>
    <comment authorId="0" ref="F10">
      <text>
        <t xml:space="preserve">======
ID#AAACEw7hOkQ
    (2026-08-03 10:52:02)
GPS + adresse + horaires via Google Places (juin 2026)</t>
      </text>
    </comment>
    <comment authorId="0" ref="Y76">
      <text>
        <t xml:space="preserve">======
ID#AAACEw7hMY4
    (2026-08-03 10:52:00)
Codé automatiquement par dérivation de l'univers/catégorie + panier — AUTO · à valider</t>
      </text>
    </comment>
    <comment authorId="0" ref="Z76">
      <text>
        <t xml:space="preserve">======
ID#AAACEw7hOI4
    (2026-08-03 10:52:02)
Codé automatiquement par dérivation de l'univers/catégorie + panier — AUTO · à valider</t>
      </text>
    </comment>
    <comment authorId="0" ref="Y10">
      <text>
        <t xml:space="preserve">======
ID#AAACEw7hLyM
    (2026-08-03 10:52:00)
Codé automatiquement par dérivation de l'univers/catégorie + panier — AUTO · à valider</t>
      </text>
    </comment>
    <comment authorId="0" ref="AA76">
      <text>
        <t xml:space="preserve">======
ID#AAACEw7hLx4
    (2026-08-03 10:52:00)
Codé automatiquement par dérivation de l'univers/catégorie + panier — AUTO · à valider</t>
      </text>
    </comment>
    <comment authorId="0" ref="Z10">
      <text>
        <t xml:space="preserve">======
ID#AAACEw7hOLc
    (2026-08-03 10:52:02)
Codé automatiquement par dérivation de l'univers/catégorie + panier — AUTO · à valider</t>
      </text>
    </comment>
    <comment authorId="0" ref="AB76">
      <text>
        <t xml:space="preserve">======
ID#AAACEw7hMVA
    (2026-08-03 10:52:00)
Codé automatiquement par dérivation de l'univers/catégorie + panier — AUTO · à valider</t>
      </text>
    </comment>
    <comment authorId="0" ref="AA10">
      <text>
        <t xml:space="preserve">======
ID#AAACEw7hNEk
    (2026-08-03 10:52:01)
Codé automatiquement par dérivation de l'univers/catégorie + panier — AUTO · à valider</t>
      </text>
    </comment>
    <comment authorId="0" ref="AC76">
      <text>
        <t xml:space="preserve">======
ID#AAACEw7hM_g
    (2026-08-03 10:52:01)
Codé automatiquement par dérivation de l'univers/catégorie + panier — AUTO · à valider</t>
      </text>
    </comment>
    <comment authorId="0" ref="AD76">
      <text>
        <t xml:space="preserve">======
ID#AAACEw7hN0c
    (2026-08-03 10:52:01)
Codé automatiquement par dérivation de l'univers/catégorie + panier — AUTO · à valider</t>
      </text>
    </comment>
    <comment authorId="0" ref="AB10">
      <text>
        <t xml:space="preserve">======
ID#AAACEw7hMUA
    (2026-08-03 10:52:00)
Codé automatiquement par dérivation de l'univers/catégorie + panier — AUTO · à valider</t>
      </text>
    </comment>
    <comment authorId="0" ref="AC10">
      <text>
        <t xml:space="preserve">======
ID#AAACEw7hMqY
    (2026-08-03 10:52:00)
Codé automatiquement par dérivation de l'univers/catégorie + panier — AUTO · à valider</t>
      </text>
    </comment>
    <comment authorId="0" ref="AE76">
      <text>
        <t xml:space="preserve">======
ID#AAACEw7hL1s
    (2026-08-03 10:52:00)
Codé automatiquement par dérivation de l'univers/catégorie + panier — AUTO · à valider</t>
      </text>
    </comment>
    <comment authorId="0" ref="AD10">
      <text>
        <t xml:space="preserve">======
ID#AAACEw7hNf8
    (2026-08-03 10:52:01)
Codé automatiquement par dérivation de l'univers/catégorie + panier — AUTO · à valider</t>
      </text>
    </comment>
    <comment authorId="0" ref="AF76">
      <text>
        <t xml:space="preserve">======
ID#AAACEw7hOX8
    (2026-08-03 10:52:02)
Codé automatiquement par dérivation de l'univers/catégorie + panier — AUTO · à valider</t>
      </text>
    </comment>
    <comment authorId="0" ref="AE10">
      <text>
        <t xml:space="preserve">======
ID#AAACEw7hMxw
    (2026-08-03 10:52:01)
Codé automatiquement par dérivation de l'univers/catégorie + panier — AUTO · à valider</t>
      </text>
    </comment>
    <comment authorId="0" ref="AF10">
      <text>
        <t xml:space="preserve">======
ID#AAACEw7hNik
    (2026-08-03 10:52:01)
Codé automatiquement par dérivation de l'univers/catégorie + panier — AUTO · à valider</t>
      </text>
    </comment>
    <comment authorId="0" ref="F77">
      <text>
        <t xml:space="preserve">======
ID#AAACEw7hMWA
    (2026-08-03 10:52:00)
GPS + adresse + horaires via Google Places (juin 2026)</t>
      </text>
    </comment>
    <comment authorId="0" ref="F11">
      <text>
        <t xml:space="preserve">======
ID#AAACEw7hOD4
    (2026-08-03 10:52:02)
GPS + adresse + horaires via Google Places (juin 2026)</t>
      </text>
    </comment>
    <comment authorId="0" ref="Y77">
      <text>
        <t xml:space="preserve">======
ID#AAACEw7hNd0
    (2026-08-03 10:52:01)
Codé automatiquement par dérivation de l'univers/catégorie + panier — AUTO · à valider</t>
      </text>
    </comment>
    <comment authorId="0" ref="Z77">
      <text>
        <t xml:space="preserve">======
ID#AAACEw7hM3A
    (2026-08-03 10:52:01)
Codé automatiquement par dérivation de l'univers/catégorie + panier — AUTO · à valider</t>
      </text>
    </comment>
    <comment authorId="0" ref="AA77">
      <text>
        <t xml:space="preserve">======
ID#AAACEw7hNeg
    (2026-08-03 10:52:01)
Codé automatiquement par dérivation de l'univers/catégorie + panier — AUTO · à valider</t>
      </text>
    </comment>
    <comment authorId="0" ref="Y11">
      <text>
        <t xml:space="preserve">======
ID#AAACEw7hMuE
    (2026-08-03 10:52:01)
Codé automatiquement par dérivation de l'univers/catégorie + panier — AUTO · à valider</t>
      </text>
    </comment>
    <comment authorId="0" ref="AB77">
      <text>
        <t xml:space="preserve">======
ID#AAACEw7hNjM
    (2026-08-03 10:52:01)
Codé automatiquement par dérivation de l'univers/catégorie + panier — AUTO · à valider</t>
      </text>
    </comment>
    <comment authorId="0" ref="Z11">
      <text>
        <t xml:space="preserve">======
ID#AAACEw7hOaw
    (2026-08-03 10:52:02)
Codé automatiquement par dérivation de l'univers/catégorie + panier — AUTO · à valider</t>
      </text>
    </comment>
    <comment authorId="0" ref="AA11">
      <text>
        <t xml:space="preserve">======
ID#AAACEw7hN9Y
    (2026-08-03 10:52:02)
Codé automatiquement par dérivation de l'univers/catégorie + panier — AUTO · à valider</t>
      </text>
    </comment>
    <comment authorId="0" ref="AC77">
      <text>
        <t xml:space="preserve">======
ID#AAACEw7hNwQ
    (2026-08-03 10:52:01)
Codé automatiquement par dérivation de l'univers/catégorie + panier — AUTO · à valider</t>
      </text>
    </comment>
    <comment authorId="0" ref="AD77">
      <text>
        <t xml:space="preserve">======
ID#AAACEw7hOgs
    (2026-08-03 10:52:02)
Codé automatiquement par dérivation de l'univers/catégorie + panier — AUTO · à valider</t>
      </text>
    </comment>
    <comment authorId="0" ref="AB11">
      <text>
        <t xml:space="preserve">======
ID#AAACEw7hLxM
    (2026-08-03 10:52:00)
Codé automatiquement par dérivation de l'univers/catégorie + panier — AUTO · à valider</t>
      </text>
    </comment>
    <comment authorId="0" ref="AC11">
      <text>
        <t xml:space="preserve">======
ID#AAACEw7hMao
    (2026-08-03 10:52:00)
Codé automatiquement par dérivation de l'univers/catégorie + panier — AUTO · à valider</t>
      </text>
    </comment>
    <comment authorId="0" ref="AE77">
      <text>
        <t xml:space="preserve">======
ID#AAACEw7hMCo
    (2026-08-03 10:52:00)
Codé automatiquement par dérivation de l'univers/catégorie + panier — AUTO · à valider</t>
      </text>
    </comment>
    <comment authorId="0" ref="AD11">
      <text>
        <t xml:space="preserve">======
ID#AAACEw7hOMc
    (2026-08-03 10:52:02)
Codé automatiquement par dérivation de l'univers/catégorie + panier — AUTO · à valider</t>
      </text>
    </comment>
    <comment authorId="0" ref="AF77">
      <text>
        <t xml:space="preserve">======
ID#AAACEw7hL1w
    (2026-08-03 10:52:00)
Codé automatiquement par dérivation de l'univers/catégorie + panier — AUTO · à valider</t>
      </text>
    </comment>
    <comment authorId="0" ref="AE11">
      <text>
        <t xml:space="preserve">======
ID#AAACEw7hNc0
    (2026-08-03 10:52:01)
Codé automatiquement par dérivation de l'univers/catégorie + panier — AUTO · à valider</t>
      </text>
    </comment>
    <comment authorId="0" ref="AF11">
      <text>
        <t xml:space="preserve">======
ID#AAACEw7hNfw
    (2026-08-03 10:52:01)
Codé automatiquement par dérivation de l'univers/catégorie + panier — AUTO · à valider</t>
      </text>
    </comment>
    <comment authorId="0" ref="F78">
      <text>
        <t xml:space="preserve">======
ID#AAACEw7hMMU
    (2026-08-03 10:52:00)
GPS + adresse + horaires via Google Places (juin 2026)</t>
      </text>
    </comment>
    <comment authorId="0" ref="F12">
      <text>
        <t xml:space="preserve">======
ID#AAACEw7hL3Q
    (2026-08-03 10:52:00)
GPS + adresse + horaires via Google Places (juin 2026)</t>
      </text>
    </comment>
    <comment authorId="0" ref="Y78">
      <text>
        <t xml:space="preserve">======
ID#AAACEw7hOhU
    (2026-08-03 10:52:02)
Codé automatiquement par dérivation de l'univers/catégorie + panier — AUTO · à valider</t>
      </text>
    </comment>
    <comment authorId="0" ref="Z78">
      <text>
        <t xml:space="preserve">======
ID#AAACEw7hMnM
    (2026-08-03 10:52:00)
Codé automatiquement par dérivation de l'univers/catégorie + panier — AUTO · à valider</t>
      </text>
    </comment>
    <comment authorId="0" ref="Y12">
      <text>
        <t xml:space="preserve">======
ID#AAACEw7hNnA
    (2026-08-03 10:52:01)
Codé automatiquement par dérivation de l'univers/catégorie + panier — AUTO · à valider</t>
      </text>
    </comment>
    <comment authorId="0" ref="AA78">
      <text>
        <t xml:space="preserve">======
ID#AAACEw7hMow
    (2026-08-03 10:52:00)
Codé automatiquement par dérivation de l'univers/catégorie + panier — AUTO · à valider</t>
      </text>
    </comment>
    <comment authorId="0" ref="Z12">
      <text>
        <t xml:space="preserve">======
ID#AAACEw7hMb4
    (2026-08-03 10:52:00)
Codé automatiquement par dérivation de l'univers/catégorie + panier — AUTO · à valider</t>
      </text>
    </comment>
    <comment authorId="0" ref="AB78">
      <text>
        <t xml:space="preserve">======
ID#AAACEw7hL1g
    (2026-08-03 10:52:00)
Codé automatiquement par dérivation de l'univers/catégorie + panier — AUTO · à valider</t>
      </text>
    </comment>
    <comment authorId="0" ref="AC78">
      <text>
        <t xml:space="preserve">======
ID#AAACEw7hM-k
    (2026-08-03 10:52:01)
Codé automatiquement par dérivation de l'univers/catégorie + panier — AUTO · à valider</t>
      </text>
    </comment>
    <comment authorId="0" ref="AA12">
      <text>
        <t xml:space="preserve">======
ID#AAACEw7hM-E
    (2026-08-03 10:52:01)
Codé automatiquement par dérivation de l'univers/catégorie + panier — AUTO · à valider</t>
      </text>
    </comment>
    <comment authorId="0" ref="AD78">
      <text>
        <t xml:space="preserve">======
ID#AAACEw7hMNk
    (2026-08-03 10:52:00)
Codé automatiquement par dérivation de l'univers/catégorie + panier — AUTO · à valider</t>
      </text>
    </comment>
    <comment authorId="0" ref="AB12">
      <text>
        <t xml:space="preserve">======
ID#AAACEw7hMA8
    (2026-08-03 10:52:00)
Codé automatiquement par dérivation de l'univers/catégorie + panier — AUTO · à valider</t>
      </text>
    </comment>
    <comment authorId="0" ref="AE78">
      <text>
        <t xml:space="preserve">======
ID#AAACEw7hNp8
    (2026-08-03 10:52:01)
Codé automatiquement par dérivation de l'univers/catégorie + panier — AUTO · à valider</t>
      </text>
    </comment>
    <comment authorId="0" ref="AC12">
      <text>
        <t xml:space="preserve">======
ID#AAACEw7hMIw
    (2026-08-03 10:52:00)
Codé automatiquement par dérivation de l'univers/catégorie + panier — AUTO · à valider</t>
      </text>
    </comment>
    <comment authorId="0" ref="AD12">
      <text>
        <t xml:space="preserve">======
ID#AAACEw7hM84
    (2026-08-03 10:52:01)
Codé automatiquement par dérivation de l'univers/catégorie + panier — AUTO · à valider</t>
      </text>
    </comment>
    <comment authorId="0" ref="AF78">
      <text>
        <t xml:space="preserve">======
ID#AAACEw7hMyM
    (2026-08-03 10:52:01)
Codé automatiquement par dérivation de l'univers/catégorie + panier — AUTO · à valider</t>
      </text>
    </comment>
    <comment authorId="0" ref="AE12">
      <text>
        <t xml:space="preserve">======
ID#AAACEw7hOKw
    (2026-08-03 10:52:02)
Codé automatiquement par dérivation de l'univers/catégorie + panier — AUTO · à valider</t>
      </text>
    </comment>
    <comment authorId="0" ref="AF12">
      <text>
        <t xml:space="preserve">======
ID#AAACEw7hNo4
    (2026-08-03 10:52:01)
Codé automatiquement par dérivation de l'univers/catégorie + panier — AUTO · à valider</t>
      </text>
    </comment>
    <comment authorId="0" ref="F79">
      <text>
        <t xml:space="preserve">======
ID#AAACEw7hOoY
    (2026-08-03 10:52:02)
GPS + adresse + horaires via Google Places (juin 2026)</t>
      </text>
    </comment>
    <comment authorId="0" ref="F13">
      <text>
        <t xml:space="preserve">======
ID#AAACEw7hNNM
    (2026-08-03 10:52:01)
GPS + adresse + horaires via Google Places (juin 2026)</t>
      </text>
    </comment>
    <comment authorId="0" ref="Y79">
      <text>
        <t xml:space="preserve">======
ID#AAACEw7hOkc
    (2026-08-03 10:52:02)
Codé automatiquement par dérivation de l'univers/catégorie + panier — AUTO · à valider</t>
      </text>
    </comment>
    <comment authorId="0" ref="Z79">
      <text>
        <t xml:space="preserve">======
ID#AAACEw7hL58
    (2026-08-03 10:52:00)
Codé automatiquement par dérivation de l'univers/catégorie + panier — AUTO · à valider</t>
      </text>
    </comment>
    <comment authorId="0" ref="AA79">
      <text>
        <t xml:space="preserve">======
ID#AAACEw7hNKQ
    (2026-08-03 10:52:01)
Codé automatiquement par dérivation de l'univers/catégorie + panier — AUTO · à valider</t>
      </text>
    </comment>
    <comment authorId="0" ref="Y13">
      <text>
        <t xml:space="preserve">======
ID#AAACEw7hM5s
    (2026-08-03 10:52:01)
Codé automatiquement par dérivation de l'univers/catégorie + panier — AUTO · à valider</t>
      </text>
    </comment>
    <comment authorId="0" ref="AB79">
      <text>
        <t xml:space="preserve">======
ID#AAACEw7hNNo
    (2026-08-03 10:52:01)
Codé automatiquement par dérivation de l'univers/catégorie + panier — AUTO · à valider</t>
      </text>
    </comment>
    <comment authorId="0" ref="Z13">
      <text>
        <t xml:space="preserve">======
ID#AAACEw7hMzc
    (2026-08-03 10:52:01)
Codé automatiquement par dérivation de l'univers/catégorie + panier — AUTO · à valider</t>
      </text>
    </comment>
    <comment authorId="0" ref="AC79">
      <text>
        <t xml:space="preserve">======
ID#AAACEw7hMzE
    (2026-08-03 10:52:01)
Codé automatiquement par dérivation de l'univers/catégorie + panier — AUTO · à valider</t>
      </text>
    </comment>
    <comment authorId="0" ref="AA13">
      <text>
        <t xml:space="preserve">======
ID#AAACEw7hN7Y
    (2026-08-03 10:52:02)
Codé automatiquement par dérivation de l'univers/catégorie + panier — AUTO · à valider</t>
      </text>
    </comment>
    <comment authorId="0" ref="AD79">
      <text>
        <t xml:space="preserve">======
ID#AAACEw7hMxo
    (2026-08-03 10:52:01)
Codé automatiquement par dérivation de l'univers/catégorie + panier — AUTO · à valider</t>
      </text>
    </comment>
    <comment authorId="0" ref="AB13">
      <text>
        <t xml:space="preserve">======
ID#AAACEw7hMf0
    (2026-08-03 10:52:00)
Codé automatiquement par dérivation de l'univers/catégorie + panier — AUTO · à valider</t>
      </text>
    </comment>
    <comment authorId="0" ref="AE79">
      <text>
        <t xml:space="preserve">======
ID#AAACEw7hOa0
    (2026-08-03 10:52:02)
Codé automatiquement par dérivation de l'univers/catégorie + panier — AUTO · à valider</t>
      </text>
    </comment>
    <comment authorId="0" ref="AC13">
      <text>
        <t xml:space="preserve">======
ID#AAACEw7hLwc
    (2026-08-03 10:52:00)
Codé automatiquement par dérivation de l'univers/catégorie + panier — AUTO · à valider</t>
      </text>
    </comment>
    <comment authorId="0" ref="AF79">
      <text>
        <t xml:space="preserve">======
ID#AAACEw7hNw0
    (2026-08-03 10:52:01)
Codé automatiquement par dérivation de l'univers/catégorie + panier — AUTO · à valider</t>
      </text>
    </comment>
    <comment authorId="0" ref="AD13">
      <text>
        <t xml:space="preserve">======
ID#AAACEw7hMCA
    (2026-08-03 10:52:00)
Codé automatiquement par dérivation de l'univers/catégorie + panier — AUTO · à valider</t>
      </text>
    </comment>
    <comment authorId="0" ref="AE13">
      <text>
        <t xml:space="preserve">======
ID#AAACEw7hM2s
    (2026-08-03 10:52:01)
Codé automatiquement par dérivation de l'univers/catégorie + panier — AUTO · à valider</t>
      </text>
    </comment>
    <comment authorId="0" ref="AF13">
      <text>
        <t xml:space="preserve">======
ID#AAACEw7hMQs
    (2026-08-03 10:52:00)
Codé automatiquement par dérivation de l'univers/catégorie + panier — AUTO · à valider</t>
      </text>
    </comment>
    <comment authorId="0" ref="F80">
      <text>
        <t xml:space="preserve">======
ID#AAACEw7hMVs
    (2026-08-03 10:52:00)
GPS + adresse + horaires via Google Places (juin 2026)</t>
      </text>
    </comment>
    <comment authorId="0" ref="F14">
      <text>
        <t xml:space="preserve">======
ID#AAACEw7hM0I
    (2026-08-03 10:52:01)
GPS + adresse + horaires via Google Places (juin 2026)</t>
      </text>
    </comment>
    <comment authorId="0" ref="Y80">
      <text>
        <t xml:space="preserve">======
ID#AAACEw7hOHM
    (2026-08-03 10:52:02)
Codé automatiquement par dérivation de l'univers/catégorie + panier — AUTO · à valider</t>
      </text>
    </comment>
    <comment authorId="0" ref="Z80">
      <text>
        <t xml:space="preserve">======
ID#AAACEw7hOXA
    (2026-08-03 10:52:02)
Codé automatiquement par dérivation de l'univers/catégorie + panier — AUTO · à valider</t>
      </text>
    </comment>
    <comment authorId="0" ref="AA80">
      <text>
        <t xml:space="preserve">======
ID#AAACEw7hMyk
    (2026-08-03 10:52:01)
Codé automatiquement par dérivation de l'univers/catégorie + panier — AUTO · à valider</t>
      </text>
    </comment>
    <comment authorId="0" ref="Y14">
      <text>
        <t xml:space="preserve">======
ID#AAACEw7hMTU
    (2026-08-03 10:52:00)
Codé automatiquement par dérivation de l'univers/catégorie + panier — AUTO · à valider</t>
      </text>
    </comment>
    <comment authorId="0" ref="AB80">
      <text>
        <t xml:space="preserve">======
ID#AAACEw7hM-c
    (2026-08-03 10:52:01)
Codé automatiquement par dérivation de l'univers/catégorie + panier — AUTO · à valider</t>
      </text>
    </comment>
    <comment authorId="0" ref="Z14">
      <text>
        <t xml:space="preserve">======
ID#AAACEw7hL6E
    (2026-08-03 10:52:00)
Codé automatiquement par dérivation de l'univers/catégorie + panier — AUTO · à valider</t>
      </text>
    </comment>
    <comment authorId="0" ref="AC80">
      <text>
        <t xml:space="preserve">======
ID#AAACEw7hL38
    (2026-08-03 10:52:00)
Codé automatiquement par dérivation de l'univers/catégorie + panier — AUTO · à valider</t>
      </text>
    </comment>
    <comment authorId="0" ref="AA14">
      <text>
        <t xml:space="preserve">======
ID#AAACEw7hLts
    (2026-08-03 10:52:00)
Codé automatiquement par dérivation de l'univers/catégorie + panier — AUTO · à valider</t>
      </text>
    </comment>
    <comment authorId="0" ref="AD80">
      <text>
        <t xml:space="preserve">======
ID#AAACEw7hNNA
    (2026-08-03 10:52:01)
Codé automatiquement par dérivation de l'univers/catégorie + panier — AUTO · à valider</t>
      </text>
    </comment>
    <comment authorId="0" ref="AB14">
      <text>
        <t xml:space="preserve">======
ID#AAACEw7hOno
    (2026-08-03 10:52:02)
Codé automatiquement par dérivation de l'univers/catégorie + panier — AUTO · à valider</t>
      </text>
    </comment>
    <comment authorId="0" ref="AC14">
      <text>
        <t xml:space="preserve">======
ID#AAACEw7hMgM
    (2026-08-03 10:52:00)
Codé automatiquement par dérivation de l'univers/catégorie + panier — AUTO · à valider</t>
      </text>
    </comment>
    <comment authorId="0" ref="AE80">
      <text>
        <t xml:space="preserve">======
ID#AAACEw7hNL4
    (2026-08-03 10:52:01)
Codé automatiquement par dérivation de l'univers/catégorie + panier — AUTO · à valider</t>
      </text>
    </comment>
    <comment authorId="0" ref="AD14">
      <text>
        <t xml:space="preserve">======
ID#AAACEw7hNnE
    (2026-08-03 10:52:01)
Codé automatiquement par dérivation de l'univers/catégorie + panier — AUTO · à valider</t>
      </text>
    </comment>
    <comment authorId="0" ref="AF80">
      <text>
        <t xml:space="preserve">======
ID#AAACEw7hL20
    (2026-08-03 10:52:00)
Codé automatiquement par dérivation de l'univers/catégorie + panier — AUTO · à valider</t>
      </text>
    </comment>
    <comment authorId="0" ref="AE14">
      <text>
        <t xml:space="preserve">======
ID#AAACEw7hN7I
    (2026-08-03 10:52:02)
Codé automatiquement par dérivation de l'univers/catégorie + panier — AUTO · à valider</t>
      </text>
    </comment>
    <comment authorId="0" ref="AF14">
      <text>
        <t xml:space="preserve">======
ID#AAACEw7hOlM
    (2026-08-03 10:52:02)
Codé automatiquement par dérivation de l'univers/catégorie + panier — AUTO · à valider</t>
      </text>
    </comment>
    <comment authorId="0" ref="F81">
      <text>
        <t xml:space="preserve">======
ID#AAACEw7hNmI
    (2026-08-03 10:52:01)
GPS + adresse + horaires via Google Places (juin 2026)</t>
      </text>
    </comment>
    <comment authorId="0" ref="F15">
      <text>
        <t xml:space="preserve">======
ID#AAACEw7hNNU
    (2026-08-03 10:52:01)
GPS + adresse + horaires via Google Places (juin 2026)</t>
      </text>
    </comment>
    <comment authorId="0" ref="Y81">
      <text>
        <t xml:space="preserve">======
ID#AAACEw7hNzU
    (2026-08-03 10:52:01)
Codé automatiquement par dérivation de l'univers/catégorie + panier — AUTO · à valider</t>
      </text>
    </comment>
    <comment authorId="0" ref="Z81">
      <text>
        <t xml:space="preserve">======
ID#AAACEw7hM8M
    (2026-08-03 10:52:01)
Codé automatiquement par dérivation de l'univers/catégorie + panier — AUTO · à valider</t>
      </text>
    </comment>
    <comment authorId="0" ref="AA81">
      <text>
        <t xml:space="preserve">======
ID#AAACEw7hNCM
    (2026-08-03 10:52:01)
Codé automatiquement par dérivation de l'univers/catégorie + panier — AUTO · à valider</t>
      </text>
    </comment>
    <comment authorId="0" ref="Y15">
      <text>
        <t xml:space="preserve">======
ID#AAACEw7hN00
    (2026-08-03 10:52:01)
Codé automatiquement par dérivation de l'univers/catégorie + panier — AUTO · à valider</t>
      </text>
    </comment>
    <comment authorId="0" ref="Z15">
      <text>
        <t xml:space="preserve">======
ID#AAACEw7hOV4
    (2026-08-03 10:52:02)
Codé automatiquement par dérivation de l'univers/catégorie + panier — AUTO · à valider</t>
      </text>
    </comment>
    <comment authorId="0" ref="AB81">
      <text>
        <t xml:space="preserve">======
ID#AAACEw7hNss
    (2026-08-03 10:52:01)
Codé automatiquement par dérivation de l'univers/catégorie + panier — AUTO · à valider</t>
      </text>
    </comment>
    <comment authorId="0" ref="AA15">
      <text>
        <t xml:space="preserve">======
ID#AAACEw7hNi0
    (2026-08-03 10:52:01)
Codé automatiquement par dérivation de l'univers/catégorie + panier — AUTO · à valider</t>
      </text>
    </comment>
    <comment authorId="0" ref="AC81">
      <text>
        <t xml:space="preserve">======
ID#AAACEw7hMD8
    (2026-08-03 10:52:00)
Codé automatiquement par dérivation de l'univers/catégorie + panier — AUTO · à valider</t>
      </text>
    </comment>
    <comment authorId="0" ref="AD81">
      <text>
        <t xml:space="preserve">======
ID#AAACEw7hMBs
    (2026-08-03 10:52:00)
Codé automatiquement par dérivation de l'univers/catégorie + panier — AUTO · à valider</t>
      </text>
    </comment>
    <comment authorId="0" ref="AB15">
      <text>
        <t xml:space="preserve">======
ID#AAACEw7hL7E
    (2026-08-03 10:52:00)
Codé automatiquement par dérivation de l'univers/catégorie + panier — AUTO · à valider</t>
      </text>
    </comment>
    <comment authorId="0" ref="AC15">
      <text>
        <t xml:space="preserve">======
ID#AAACEw7hNs0
    (2026-08-03 10:52:01)
Codé automatiquement par dérivation de l'univers/catégorie + panier — AUTO · à valider</t>
      </text>
    </comment>
    <comment authorId="0" ref="AE81">
      <text>
        <t xml:space="preserve">======
ID#AAACEw7hL7Y
    (2026-08-03 10:52:00)
Codé automatiquement par dérivation de l'univers/catégorie + panier — AUTO · à valider</t>
      </text>
    </comment>
    <comment authorId="0" ref="AD15">
      <text>
        <t xml:space="preserve">======
ID#AAACEw7hOGE
    (2026-08-03 10:52:02)
Codé automatiquement par dérivation de l'univers/catégorie + panier — AUTO · à valider</t>
      </text>
    </comment>
    <comment authorId="0" ref="AF81">
      <text>
        <t xml:space="preserve">======
ID#AAACEw7hMVk
    (2026-08-03 10:52:00)
Codé automatiquement par dérivation de l'univers/catégorie + panier — AUTO · à valider</t>
      </text>
    </comment>
    <comment authorId="0" ref="AE15">
      <text>
        <t xml:space="preserve">======
ID#AAACEw7hMWI
    (2026-08-03 10:52:00)
Codé automatiquement par dérivation de l'univers/catégorie + panier — AUTO · à valider</t>
      </text>
    </comment>
    <comment authorId="0" ref="AF15">
      <text>
        <t xml:space="preserve">======
ID#AAACEw7hOoI
    (2026-08-03 10:52:02)
Codé automatiquement par dérivation de l'univers/catégorie + panier — AUTO · à valider</t>
      </text>
    </comment>
    <comment authorId="0" ref="F82">
      <text>
        <t xml:space="preserve">======
ID#AAACEw7hN0Q
    (2026-08-03 10:52:01)
GPS + adresse + horaires via Google Places (juin 2026)</t>
      </text>
    </comment>
    <comment authorId="0" ref="F16">
      <text>
        <t xml:space="preserve">======
ID#AAACEw7hNeY
    (2026-08-03 10:52:01)
GPS + adresse + horaires via Google Places (juin 2026)</t>
      </text>
    </comment>
    <comment authorId="0" ref="Y82">
      <text>
        <t xml:space="preserve">======
ID#AAACEw7hM7Y
    (2026-08-03 10:52:01)
Codé automatiquement par dérivation de l'univers/catégorie + panier — AUTO · à valider</t>
      </text>
    </comment>
    <comment authorId="0" ref="Z82">
      <text>
        <t xml:space="preserve">======
ID#AAACEw7hLxE
    (2026-08-03 10:52:00)
Codé automatiquement par dérivation de l'univers/catégorie + panier — AUTO · à valider</t>
      </text>
    </comment>
    <comment authorId="0" ref="AA82">
      <text>
        <t xml:space="preserve">======
ID#AAACEw7hN_k
    (2026-08-03 10:52:02)
Codé automatiquement par dérivation de l'univers/catégorie + panier — AUTO · à valider</t>
      </text>
    </comment>
    <comment authorId="0" ref="Y16">
      <text>
        <t xml:space="preserve">======
ID#AAACEw7hLxQ
    (2026-08-03 10:52:00)
Codé automatiquement par dérivation de l'univers/catégorie + panier — AUTO · à valider</t>
      </text>
    </comment>
    <comment authorId="0" ref="AB82">
      <text>
        <t xml:space="preserve">======
ID#AAACEw7hOaI
    (2026-08-03 10:52:02)
Codé automatiquement par dérivation de l'univers/catégorie + panier — AUTO · à valider</t>
      </text>
    </comment>
    <comment authorId="0" ref="Z16">
      <text>
        <t xml:space="preserve">======
ID#AAACEw7hNtA
    (2026-08-03 10:52:01)
Codé automatiquement par dérivation de l'univers/catégorie + panier — AUTO · à valider</t>
      </text>
    </comment>
    <comment authorId="0" ref="AA16">
      <text>
        <t xml:space="preserve">======
ID#AAACEw7hNXk
    (2026-08-03 10:52:01)
Codé automatiquement par dérivation de l'univers/catégorie + panier — AUTO · à valider</t>
      </text>
    </comment>
    <comment authorId="0" ref="AC82">
      <text>
        <t xml:space="preserve">======
ID#AAACEw7hMHU
    (2026-08-03 10:52:00)
Codé automatiquement par dérivation de l'univers/catégorie + panier — AUTO · à valider</t>
      </text>
    </comment>
    <comment authorId="0" ref="AB16">
      <text>
        <t xml:space="preserve">======
ID#AAACEw7hOMs
    (2026-08-03 10:52:02)
Codé automatiquement par dérivation de l'univers/catégorie + panier — AUTO · à valider</t>
      </text>
    </comment>
    <comment authorId="0" ref="AD82">
      <text>
        <t xml:space="preserve">======
ID#AAACEw7hMCg
    (2026-08-03 10:52:00)
Codé automatiquement par dérivation de l'univers/catégorie + panier — AUTO · à valider</t>
      </text>
    </comment>
    <comment authorId="0" ref="AC16">
      <text>
        <t xml:space="preserve">======
ID#AAACEw7hMlg
    (2026-08-03 10:52:00)
Codé automatiquement par dérivation de l'univers/catégorie + panier — AUTO · à valider</t>
      </text>
    </comment>
    <comment authorId="0" ref="AE82">
      <text>
        <t xml:space="preserve">======
ID#AAACEw7hN4g
    (2026-08-03 10:52:02)
Codé automatiquement par dérivation de l'univers/catégorie + panier — AUTO · à valider</t>
      </text>
    </comment>
    <comment authorId="0" ref="AF82">
      <text>
        <t xml:space="preserve">======
ID#AAACEw7hN4Q
    (2026-08-03 10:52:02)
Codé automatiquement par dérivation de l'univers/catégorie + panier — AUTO · à valider</t>
      </text>
    </comment>
    <comment authorId="0" ref="AD16">
      <text>
        <t xml:space="preserve">======
ID#AAACEw7hMB4
    (2026-08-03 10:52:00)
Codé automatiquement par dérivation de l'univers/catégorie + panier — AUTO · à valider</t>
      </text>
    </comment>
    <comment authorId="0" ref="AE16">
      <text>
        <t xml:space="preserve">======
ID#AAACEw7hLvA
    (2026-08-03 10:52:00)
Codé automatiquement par dérivation de l'univers/catégorie + panier — AUTO · à valider</t>
      </text>
    </comment>
    <comment authorId="0" ref="AF16">
      <text>
        <t xml:space="preserve">======
ID#AAACEw7hLto
    (2026-08-03 10:52:00)
Codé automatiquement par dérivation de l'univers/catégorie + panier — AUTO · à valider</t>
      </text>
    </comment>
    <comment authorId="0" ref="F83">
      <text>
        <t xml:space="preserve">======
ID#AAACEw7hN8w
    (2026-08-03 10:52:02)
GPS + adresse + horaires via Google Places (juin 2026)</t>
      </text>
    </comment>
    <comment authorId="0" ref="F17">
      <text>
        <t xml:space="preserve">======
ID#AAACEw7hM8w
    (2026-08-03 10:52:01)
GPS + adresse + horaires via Google Places (juin 2026)</t>
      </text>
    </comment>
    <comment authorId="0" ref="Y83">
      <text>
        <t xml:space="preserve">======
ID#AAACEw7hMcU
    (2026-08-03 10:52:00)
Codé automatiquement par dérivation de l'univers/catégorie + panier — AUTO · à valider</t>
      </text>
    </comment>
    <comment authorId="0" ref="Z83">
      <text>
        <t xml:space="preserve">======
ID#AAACEw7hMD0
    (2026-08-03 10:52:00)
Codé automatiquement par dérivation de l'univers/catégorie + panier — AUTO · à valider</t>
      </text>
    </comment>
    <comment authorId="0" ref="AA83">
      <text>
        <t xml:space="preserve">======
ID#AAACEw7hNks
    (2026-08-03 10:52:01)
Codé automatiquement par dérivation de l'univers/catégorie + panier — AUTO · à valider</t>
      </text>
    </comment>
    <comment authorId="0" ref="Y17">
      <text>
        <t xml:space="preserve">======
ID#AAACEw7hNIc
    (2026-08-03 10:52:01)
Codé automatiquement par dérivation de l'univers/catégorie + panier — AUTO · à valider</t>
      </text>
    </comment>
    <comment authorId="0" ref="Z17">
      <text>
        <t xml:space="preserve">======
ID#AAACEw7hMzI
    (2026-08-03 10:52:01)
Codé automatiquement par dérivation de l'univers/catégorie + panier — AUTO · à valider</t>
      </text>
    </comment>
    <comment authorId="0" ref="AB83">
      <text>
        <t xml:space="preserve">======
ID#AAACEw7hLvE
    (2026-08-03 10:52:00)
Codé automatiquement par dérivation de l'univers/catégorie + panier — AUTO · à valider</t>
      </text>
    </comment>
    <comment authorId="0" ref="AC83">
      <text>
        <t xml:space="preserve">======
ID#AAACEw7hM4k
    (2026-08-03 10:52:01)
Codé automatiquement par dérivation de l'univers/catégorie + panier — AUTO · à valider</t>
      </text>
    </comment>
    <comment authorId="0" ref="AA17">
      <text>
        <t xml:space="preserve">======
ID#AAACEw7hM00
    (2026-08-03 10:52:01)
Codé automatiquement par dérivation de l'univers/catégorie + panier — AUTO · à valider</t>
      </text>
    </comment>
    <comment authorId="0" ref="AD83">
      <text>
        <t xml:space="preserve">======
ID#AAACEw7hMZ0
    (2026-08-03 10:52:00)
Codé automatiquement par dérivation de l'univers/catégorie + panier — AUTO · à valider</t>
      </text>
    </comment>
    <comment authorId="0" ref="AB17">
      <text>
        <t xml:space="preserve">======
ID#AAACEw7hNTI
    (2026-08-03 10:52:01)
Codé automatiquement par dérivation de l'univers/catégorie + panier — AUTO · à valider</t>
      </text>
    </comment>
    <comment authorId="0" ref="AC17">
      <text>
        <t xml:space="preserve">======
ID#AAACEw7hOi8
    (2026-08-03 10:52:02)
Codé automatiquement par dérivation de l'univers/catégorie + panier — AUTO · à valider</t>
      </text>
    </comment>
    <comment authorId="0" ref="AE83">
      <text>
        <t xml:space="preserve">======
ID#AAACEw7hOFY
    (2026-08-03 10:52:02)
Codé automatiquement par dérivation de l'univers/catégorie + panier — AUTO · à valider</t>
      </text>
    </comment>
    <comment authorId="0" ref="AF83">
      <text>
        <t xml:space="preserve">======
ID#AAACEw7hOi0
    (2026-08-03 10:52:02)
Codé automatiquement par dérivation de l'univers/catégorie + panier — AUTO · à valider</t>
      </text>
    </comment>
    <comment authorId="0" ref="AD17">
      <text>
        <t xml:space="preserve">======
ID#AAACEw7hNsQ
    (2026-08-03 10:52:01)
Codé automatiquement par dérivation de l'univers/catégorie + panier — AUTO · à valider</t>
      </text>
    </comment>
    <comment authorId="0" ref="AE17">
      <text>
        <t xml:space="preserve">======
ID#AAACEw7hM9M
    (2026-08-03 10:52:01)
Codé automatiquement par dérivation de l'univers/catégorie + panier — AUTO · à valider</t>
      </text>
    </comment>
    <comment authorId="0" ref="AF17">
      <text>
        <t xml:space="preserve">======
ID#AAACEw7hNUk
    (2026-08-03 10:52:01)
Codé automatiquement par dérivation de l'univers/catégorie + panier — AUTO · à valider</t>
      </text>
    </comment>
    <comment authorId="0" ref="F84">
      <text>
        <t xml:space="preserve">======
ID#AAACEw7hMj0
    (2026-08-03 10:52:00)
GPS + adresse + horaires via Google Places (juin 2026)</t>
      </text>
    </comment>
    <comment authorId="0" ref="F18">
      <text>
        <t xml:space="preserve">======
ID#AAACEw7hNtg
    (2026-08-03 10:52:01)
GPS + adresse + horaires via Google Places (juin 2026)</t>
      </text>
    </comment>
    <comment authorId="0" ref="Y84">
      <text>
        <t xml:space="preserve">======
ID#AAACEw7hMJg
    (2026-08-03 10:52:00)
Codé automatiquement par dérivation de l'univers/catégorie + panier — AUTO · à valider</t>
      </text>
    </comment>
    <comment authorId="0" ref="Z84">
      <text>
        <t xml:space="preserve">======
ID#AAACEw7hNo8
    (2026-08-03 10:52:01)
Codé automatiquement par dérivation de l'univers/catégorie + panier — AUTO · à valider</t>
      </text>
    </comment>
    <comment authorId="0" ref="AA84">
      <text>
        <t xml:space="preserve">======
ID#AAACEw7hNRQ
    (2026-08-03 10:52:01)
Codé automatiquement par dérivation de l'univers/catégorie + panier — AUTO · à valider</t>
      </text>
    </comment>
    <comment authorId="0" ref="Y18">
      <text>
        <t xml:space="preserve">======
ID#AAACEw7hMjE
    (2026-08-03 10:52:00)
Codé automatiquement par dérivation de l'univers/catégorie + panier — AUTO · à valider</t>
      </text>
    </comment>
    <comment authorId="0" ref="Z18">
      <text>
        <t xml:space="preserve">======
ID#AAACEw7hObA
    (2026-08-03 10:52:02)
Codé automatiquement par dérivation de l'univers/catégorie + panier — AUTO · à valider</t>
      </text>
    </comment>
    <comment authorId="0" ref="AB84">
      <text>
        <t xml:space="preserve">======
ID#AAACEw7hNJA
    (2026-08-03 10:52:01)
Codé automatiquement par dérivation de l'univers/catégorie + panier — AUTO · à valider</t>
      </text>
    </comment>
    <comment authorId="0" ref="AA18">
      <text>
        <t xml:space="preserve">======
ID#AAACEw7hOcU
    (2026-08-03 10:52:02)
Codé automatiquement par dérivation de l'univers/catégorie + panier — AUTO · à valider</t>
      </text>
    </comment>
    <comment authorId="0" ref="AC84">
      <text>
        <t xml:space="preserve">======
ID#AAACEw7hOF0
    (2026-08-03 10:52:02)
Codé automatiquement par dérivation de l'univers/catégorie + panier — AUTO · à valider</t>
      </text>
    </comment>
    <comment authorId="0" ref="AB18">
      <text>
        <t xml:space="preserve">======
ID#AAACEw7hNQ0
    (2026-08-03 10:52:01)
Codé automatiquement par dérivation de l'univers/catégorie + panier — AUTO · à valider</t>
      </text>
    </comment>
    <comment authorId="0" ref="AD84">
      <text>
        <t xml:space="preserve">======
ID#AAACEw7hL4M
    (2026-08-03 10:52:00)
Codé automatiquement par dérivation de l'univers/catégorie + panier — AUTO · à valider</t>
      </text>
    </comment>
    <comment authorId="0" ref="AE84">
      <text>
        <t xml:space="preserve">======
ID#AAACEw7hN14
    (2026-08-03 10:52:02)
Codé automatiquement par dérivation de l'univers/catégorie + panier — AUTO · à valider</t>
      </text>
    </comment>
    <comment authorId="0" ref="AC18">
      <text>
        <t xml:space="preserve">======
ID#AAACEw7hMxU
    (2026-08-03 10:52:01)
Codé automatiquement par dérivation de l'univers/catégorie + panier — AUTO · à valider</t>
      </text>
    </comment>
    <comment authorId="0" ref="AD18">
      <text>
        <t xml:space="preserve">======
ID#AAACEw7hNQ4
    (2026-08-03 10:52:01)
Codé automatiquement par dérivation de l'univers/catégorie + panier — AUTO · à valider</t>
      </text>
    </comment>
    <comment authorId="0" ref="AF84">
      <text>
        <t xml:space="preserve">======
ID#AAACEw7hNAw
    (2026-08-03 10:52:01)
Codé automatiquement par dérivation de l'univers/catégorie + panier — AUTO · à valider</t>
      </text>
    </comment>
    <comment authorId="0" ref="AE18">
      <text>
        <t xml:space="preserve">======
ID#AAACEw7hOLA
    (2026-08-03 10:52:02)
Codé automatiquement par dérivation de l'univers/catégorie + panier — AUTO · à valider</t>
      </text>
    </comment>
    <comment authorId="0" ref="AF18">
      <text>
        <t xml:space="preserve">======
ID#AAACEw7hMTk
    (2026-08-03 10:52:00)
Codé automatiquement par dérivation de l'univers/catégorie + panier — AUTO · à valider</t>
      </text>
    </comment>
    <comment authorId="0" ref="F85">
      <text>
        <t xml:space="preserve">======
ID#AAACEw7hMQU
    (2026-08-03 10:52:00)
GPS + adresse + horaires via Google Places (juin 2026)</t>
      </text>
    </comment>
    <comment authorId="0" ref="F19">
      <text>
        <t xml:space="preserve">======
ID#AAACEw7hNVs
    (2026-08-03 10:52:01)
GPS + adresse + horaires via Google Places (juin 2026)</t>
      </text>
    </comment>
    <comment authorId="0" ref="Y85">
      <text>
        <t xml:space="preserve">======
ID#AAACEw7hNrs
    (2026-08-03 10:52:01)
Codé automatiquement par dérivation de l'univers/catégorie + panier — AUTO · à valider</t>
      </text>
    </comment>
    <comment authorId="0" ref="Z85">
      <text>
        <t xml:space="preserve">======
ID#AAACEw7hNBk
    (2026-08-03 10:52:01)
Codé automatiquement par dérivation de l'univers/catégorie + panier — AUTO · à valider</t>
      </text>
    </comment>
    <comment authorId="0" ref="AA85">
      <text>
        <t xml:space="preserve">======
ID#AAACEw7hNek
    (2026-08-03 10:52:01)
Codé automatiquement par dérivation de l'univers/catégorie + panier — AUTO · à valider</t>
      </text>
    </comment>
    <comment authorId="0" ref="Y19">
      <text>
        <t xml:space="preserve">======
ID#AAACEw7hNDY
    (2026-08-03 10:52:01)
Codé automatiquement par dérivation de l'univers/catégorie + panier — AUTO · à valider</t>
      </text>
    </comment>
    <comment authorId="0" ref="AB85">
      <text>
        <t xml:space="preserve">======
ID#AAACEw7hOGo
    (2026-08-03 10:52:02)
Codé automatiquement par dérivation de l'univers/catégorie + panier — AUTO · à valider</t>
      </text>
    </comment>
    <comment authorId="0" ref="Z19">
      <text>
        <t xml:space="preserve">======
ID#AAACEw7hMmE
    (2026-08-03 10:52:00)
Codé automatiquement par dérivation de l'univers/catégorie + panier — AUTO · à valider</t>
      </text>
    </comment>
    <comment authorId="0" ref="AC85">
      <text>
        <t xml:space="preserve">======
ID#AAACEw7hOOE
    (2026-08-03 10:52:02)
Codé automatiquement par dérivation de l'univers/catégorie + panier — AUTO · à valider</t>
      </text>
    </comment>
    <comment authorId="0" ref="AA19">
      <text>
        <t xml:space="preserve">======
ID#AAACEw7hLwk
    (2026-08-03 10:52:00)
Codé automatiquement par dérivation de l'univers/catégorie + panier — AUTO · à valider</t>
      </text>
    </comment>
    <comment authorId="0" ref="AD85">
      <text>
        <t xml:space="preserve">======
ID#AAACEw7hOEc
    (2026-08-03 10:52:02)
Codé automatiquement par dérivation de l'univers/catégorie + panier — AUTO · à valider</t>
      </text>
    </comment>
    <comment authorId="0" ref="AB19">
      <text>
        <t xml:space="preserve">======
ID#AAACEw7hMjo
    (2026-08-03 10:52:00)
Codé automatiquement par dérivation de l'univers/catégorie + panier — AUTO · à valider</t>
      </text>
    </comment>
    <comment authorId="0" ref="AE85">
      <text>
        <t xml:space="preserve">======
ID#AAACEw7hM8k
    (2026-08-03 10:52:01)
Codé automatiquement par dérivation de l'univers/catégorie + panier — AUTO · à valider</t>
      </text>
    </comment>
    <comment authorId="0" ref="AC19">
      <text>
        <t xml:space="preserve">======
ID#AAACEw7hND0
    (2026-08-03 10:52:01)
Codé automatiquement par dérivation de l'univers/catégorie + panier — AUTO · à valider</t>
      </text>
    </comment>
    <comment authorId="0" ref="AD19">
      <text>
        <t xml:space="preserve">======
ID#AAACEw7hN3I
    (2026-08-03 10:52:02)
Codé automatiquement par dérivation de l'univers/catégorie + panier — AUTO · à valider</t>
      </text>
    </comment>
    <comment authorId="0" ref="AF85">
      <text>
        <t xml:space="preserve">======
ID#AAACEw7hM58
    (2026-08-03 10:52:01)
Codé automatiquement par dérivation de l'univers/catégorie + panier — AUTO · à valider</t>
      </text>
    </comment>
    <comment authorId="0" ref="AE19">
      <text>
        <t xml:space="preserve">======
ID#AAACEw7hNyc
    (2026-08-03 10:52:01)
Codé automatiquement par dérivation de l'univers/catégorie + panier — AUTO · à valider</t>
      </text>
    </comment>
    <comment authorId="0" ref="AF19">
      <text>
        <t xml:space="preserve">======
ID#AAACEw7hOH8
    (2026-08-03 10:52:02)
Codé automatiquement par dérivation de l'univers/catégorie + panier — AUTO · à valider</t>
      </text>
    </comment>
    <comment authorId="0" ref="F86">
      <text>
        <t xml:space="preserve">======
ID#AAACEw7hOW4
    (2026-08-03 10:52:02)
GPS + adresse + horaires via Google Places (juin 2026)</t>
      </text>
    </comment>
    <comment authorId="0" ref="F20">
      <text>
        <t xml:space="preserve">======
ID#AAACEw7hMp8
    (2026-08-03 10:52:00)
GPS + adresse + horaires via Google Places (juin 2026)</t>
      </text>
    </comment>
    <comment authorId="0" ref="Y86">
      <text>
        <t xml:space="preserve">======
ID#AAACEw7hMis
    (2026-08-03 10:52:00)
Codé automatiquement par dérivation de l'univers/catégorie + panier — AUTO · à valider</t>
      </text>
    </comment>
    <comment authorId="0" ref="Z86">
      <text>
        <t xml:space="preserve">======
ID#AAACEw7hL_s
    (2026-08-03 10:52:00)
Codé automatiquement par dérivation de l'univers/catégorie + panier — AUTO · à valider</t>
      </text>
    </comment>
    <comment authorId="0" ref="Y20">
      <text>
        <t xml:space="preserve">======
ID#AAACEw7hMVU
    (2026-08-03 10:52:00)
Codé automatiquement par dérivation de l'univers/catégorie + panier — AUTO · à valider</t>
      </text>
    </comment>
    <comment authorId="0" ref="AA86">
      <text>
        <t xml:space="preserve">======
ID#AAACEw7hL6g
    (2026-08-03 10:52:00)
Codé automatiquement par dérivation de l'univers/catégorie + panier — AUTO · à valider</t>
      </text>
    </comment>
    <comment authorId="0" ref="Z20">
      <text>
        <t xml:space="preserve">======
ID#AAACEw7hN0A
    (2026-08-03 10:52:01)
Codé automatiquement par dérivation de l'univers/catégorie + panier — AUTO · à valider</t>
      </text>
    </comment>
    <comment authorId="0" ref="AB86">
      <text>
        <t xml:space="preserve">======
ID#AAACEw7hMgA
    (2026-08-03 10:52:00)
Codé automatiquement par dérivation de l'univers/catégorie + panier — AUTO · à valider</t>
      </text>
    </comment>
    <comment authorId="0" ref="AA20">
      <text>
        <t xml:space="preserve">======
ID#AAACEw7hN5g
    (2026-08-03 10:52:02)
Codé automatiquement par dérivation de l'univers/catégorie + panier — AUTO · à valider</t>
      </text>
    </comment>
    <comment authorId="0" ref="AC86">
      <text>
        <t xml:space="preserve">======
ID#AAACEw7hOnU
    (2026-08-03 10:52:02)
Codé automatiquement par dérivation de l'univers/catégorie + panier — AUTO · à valider</t>
      </text>
    </comment>
    <comment authorId="0" ref="AB20">
      <text>
        <t xml:space="preserve">======
ID#AAACEw7hNoE
    (2026-08-03 10:52:01)
Codé automatiquement par dérivation de l'univers/catégorie + panier — AUTO · à valider</t>
      </text>
    </comment>
    <comment authorId="0" ref="AD86">
      <text>
        <t xml:space="preserve">======
ID#AAACEw7hOYI
    (2026-08-03 10:52:02)
Codé automatiquement par dérivation de l'univers/catégorie + panier — AUTO · à valider</t>
      </text>
    </comment>
    <comment authorId="0" ref="AC20">
      <text>
        <t xml:space="preserve">======
ID#AAACEw7hNHw
    (2026-08-03 10:52:01)
Codé automatiquement par dérivation de l'univers/catégorie + panier — AUTO · à valider</t>
      </text>
    </comment>
    <comment authorId="0" ref="AE86">
      <text>
        <t xml:space="preserve">======
ID#AAACEw7hL0U
    (2026-08-03 10:52:00)
Codé automatiquement par dérivation de l'univers/catégorie + panier — AUTO · à valider</t>
      </text>
    </comment>
    <comment authorId="0" ref="AD20">
      <text>
        <t xml:space="preserve">======
ID#AAACEw7hMrc
    (2026-08-03 10:52:01)
Codé automatiquement par dérivation de l'univers/catégorie + panier — AUTO · à valider</t>
      </text>
    </comment>
    <comment authorId="0" ref="AF86">
      <text>
        <t xml:space="preserve">======
ID#AAACEw7hOoo
    (2026-08-03 10:52:02)
Codé automatiquement par dérivation de l'univers/catégorie + panier — AUTO · à valider</t>
      </text>
    </comment>
    <comment authorId="0" ref="AE20">
      <text>
        <t xml:space="preserve">======
ID#AAACEw7hNAk
    (2026-08-03 10:52:01)
Codé automatiquement par dérivation de l'univers/catégorie + panier — AUTO · à valider</t>
      </text>
    </comment>
    <comment authorId="0" ref="AF20">
      <text>
        <t xml:space="preserve">======
ID#AAACEw7hNn4
    (2026-08-03 10:52:01)
Codé automatiquement par dérivation de l'univers/catégorie + panier — AUTO · à valider</t>
      </text>
    </comment>
    <comment authorId="0" ref="F87">
      <text>
        <t xml:space="preserve">======
ID#AAACEw7hMUk
    (2026-08-03 10:52:00)
GPS + adresse + horaires via Google Places (juin 2026)</t>
      </text>
    </comment>
    <comment authorId="0" ref="F21">
      <text>
        <t xml:space="preserve">======
ID#AAACEw7hNoU
    (2026-08-03 10:52:01)
GPS + adresse + horaires via Google Places (juin 2026)</t>
      </text>
    </comment>
    <comment authorId="0" ref="Y87">
      <text>
        <t xml:space="preserve">======
ID#AAACEw7hMq4
    (2026-08-03 10:52:00)
Codé automatiquement par dérivation de l'univers/catégorie + panier — AUTO · à valider</t>
      </text>
    </comment>
    <comment authorId="0" ref="Z87">
      <text>
        <t xml:space="preserve">======
ID#AAACEw7hNws
    (2026-08-03 10:52:01)
Codé automatiquement par dérivation de l'univers/catégorie + panier — AUTO · à valider</t>
      </text>
    </comment>
    <comment authorId="0" ref="AA87">
      <text>
        <t xml:space="preserve">======
ID#AAACEw7hMwM
    (2026-08-03 10:52:01)
Codé automatiquement par dérivation de l'univers/catégorie + panier — AUTO · à valider</t>
      </text>
    </comment>
    <comment authorId="0" ref="Y21">
      <text>
        <t xml:space="preserve">======
ID#AAACEw7hMHM
    (2026-08-03 10:52:00)
Codé automatiquement par dérivation de l'univers/catégorie + panier — AUTO · à valider</t>
      </text>
    </comment>
    <comment authorId="0" ref="Z21">
      <text>
        <t xml:space="preserve">======
ID#AAACEw7hN_g
    (2026-08-03 10:52:02)
Codé automatiquement par dérivation de l'univers/catégorie + panier — AUTO · à valider</t>
      </text>
    </comment>
    <comment authorId="0" ref="AB87">
      <text>
        <t xml:space="preserve">======
ID#AAACEw7hOMk
    (2026-08-03 10:52:02)
Codé automatiquement par dérivation de l'univers/catégorie + panier — AUTO · à valider</t>
      </text>
    </comment>
    <comment authorId="0" ref="AA21">
      <text>
        <t xml:space="preserve">======
ID#AAACEw7hNbE
    (2026-08-03 10:52:01)
Codé automatiquement par dérivation de l'univers/catégorie + panier — AUTO · à valider</t>
      </text>
    </comment>
    <comment authorId="0" ref="AC87">
      <text>
        <t xml:space="preserve">======
ID#AAACEw7hMeg
    (2026-08-03 10:52:00)
Codé automatiquement par dérivation de l'univers/catégorie + panier — AUTO · à valider</t>
      </text>
    </comment>
    <comment authorId="0" ref="AD87">
      <text>
        <t xml:space="preserve">======
ID#AAACEw7hN-0
    (2026-08-03 10:52:02)
Codé automatiquement par dérivation de l'univers/catégorie + panier — AUTO · à valider</t>
      </text>
    </comment>
    <comment authorId="0" ref="AB21">
      <text>
        <t xml:space="preserve">======
ID#AAACEw7hLw0
    (2026-08-03 10:52:00)
Codé automatiquement par dérivation de l'univers/catégorie + panier — AUTO · à valider</t>
      </text>
    </comment>
    <comment authorId="0" ref="AE87">
      <text>
        <t xml:space="preserve">======
ID#AAACEw7hMg0
    (2026-08-03 10:52:00)
Codé automatiquement par dérivation de l'univers/catégorie + panier — AUTO · à valider</t>
      </text>
    </comment>
    <comment authorId="0" ref="AC21">
      <text>
        <t xml:space="preserve">======
ID#AAACEw7hNVA
    (2026-08-03 10:52:01)
Codé automatiquement par dérivation de l'univers/catégorie + panier — AUTO · à valider</t>
      </text>
    </comment>
    <comment authorId="0" ref="AF87">
      <text>
        <t xml:space="preserve">======
ID#AAACEw7hNf0
    (2026-08-03 10:52:01)
Codé automatiquement par dérivation de l'univers/catégorie + panier — AUTO · à valider</t>
      </text>
    </comment>
    <comment authorId="0" ref="AD21">
      <text>
        <t xml:space="preserve">======
ID#AAACEw7hMFs
    (2026-08-03 10:52:00)
Codé automatiquement par dérivation de l'univers/catégorie + panier — AUTO · à valider</t>
      </text>
    </comment>
    <comment authorId="0" ref="AE21">
      <text>
        <t xml:space="preserve">======
ID#AAACEw7hMwI
    (2026-08-03 10:52:01)
Codé automatiquement par dérivation de l'univers/catégorie + panier — AUTO · à valider</t>
      </text>
    </comment>
    <comment authorId="0" ref="AF21">
      <text>
        <t xml:space="preserve">======
ID#AAACEw7hMvk
    (2026-08-03 10:52:01)
Codé automatiquement par dérivation de l'univers/catégorie + panier — AUTO · à valider</t>
      </text>
    </comment>
    <comment authorId="0" ref="F88">
      <text>
        <t xml:space="preserve">======
ID#AAACEw7hMqQ
    (2026-08-03 10:52:00)
GPS + adresse + horaires via Google Places (juin 2026)</t>
      </text>
    </comment>
    <comment authorId="0" ref="F22">
      <text>
        <t xml:space="preserve">======
ID#AAACEw7hOd0
    (2026-08-03 10:52:02)
GPS + adresse + horaires via Google Places (juin 2026)</t>
      </text>
    </comment>
    <comment authorId="0" ref="Y88">
      <text>
        <t xml:space="preserve">======
ID#AAACEw7hN8E
    (2026-08-03 10:52:02)
Codé automatiquement par dérivation de l'univers/catégorie + panier — AUTO · à valider</t>
      </text>
    </comment>
    <comment authorId="0" ref="Z88">
      <text>
        <t xml:space="preserve">======
ID#AAACEw7hN4k
    (2026-08-03 10:52:02)
Codé automatiquement par dérivation de l'univers/catégorie + panier — AUTO · à valider</t>
      </text>
    </comment>
    <comment authorId="0" ref="AA88">
      <text>
        <t xml:space="preserve">======
ID#AAACEw7hNEo
    (2026-08-03 10:52:01)
Codé automatiquement par dérivation de l'univers/catégorie + panier — AUTO · à valider</t>
      </text>
    </comment>
    <comment authorId="0" ref="Y22">
      <text>
        <t xml:space="preserve">======
ID#AAACEw7hNIk
    (2026-08-03 10:52:01)
Codé automatiquement par dérivation de l'univers/catégorie + panier — AUTO · à valider</t>
      </text>
    </comment>
    <comment authorId="0" ref="Z22">
      <text>
        <t xml:space="preserve">======
ID#AAACEw7hNOk
    (2026-08-03 10:52:01)
Codé automatiquement par dérivation de l'univers/catégorie + panier — AUTO · à valider</t>
      </text>
    </comment>
    <comment authorId="0" ref="AB88">
      <text>
        <t xml:space="preserve">======
ID#AAACEw7hMDE
    (2026-08-03 10:52:00)
Codé automatiquement par dérivation de l'univers/catégorie + panier — AUTO · à valider</t>
      </text>
    </comment>
    <comment authorId="0" ref="AA22">
      <text>
        <t xml:space="preserve">======
ID#AAACEw7hNXM
    (2026-08-03 10:52:01)
Codé automatiquement par dérivation de l'univers/catégorie + panier — AUTO · à valider</t>
      </text>
    </comment>
    <comment authorId="0" ref="AC88">
      <text>
        <t xml:space="preserve">======
ID#AAACEw7hL0o
    (2026-08-03 10:52:00)
Codé automatiquement par dérivation de l'univers/catégorie + panier — AUTO · à valider</t>
      </text>
    </comment>
    <comment authorId="0" ref="AD88">
      <text>
        <t xml:space="preserve">======
ID#AAACEw7hM8g
    (2026-08-03 10:52:01)
Codé automatiquement par dérivation de l'univers/catégorie + panier — AUTO · à valider</t>
      </text>
    </comment>
    <comment authorId="0" ref="AB22">
      <text>
        <t xml:space="preserve">======
ID#AAACEw7hMkY
    (2026-08-03 10:52:00)
Codé automatiquement par dérivation de l'univers/catégorie + panier — AUTO · à valider</t>
      </text>
    </comment>
    <comment authorId="0" ref="AE88">
      <text>
        <t xml:space="preserve">======
ID#AAACEw7hNbg
    (2026-08-03 10:52:01)
Codé automatiquement par dérivation de l'univers/catégorie + panier — AUTO · à valider</t>
      </text>
    </comment>
    <comment authorId="0" ref="AC22">
      <text>
        <t xml:space="preserve">======
ID#AAACEw7hM8Y
    (2026-08-03 10:52:01)
Codé automatiquement par dérivation de l'univers/catégorie + panier — AUTO · à valider</t>
      </text>
    </comment>
    <comment authorId="0" ref="AF88">
      <text>
        <t xml:space="preserve">======
ID#AAACEw7hOSk
    (2026-08-03 10:52:02)
Codé automatiquement par dérivation de l'univers/catégorie + panier — AUTO · à valider</t>
      </text>
    </comment>
    <comment authorId="0" ref="AD22">
      <text>
        <t xml:space="preserve">======
ID#AAACEw7hNB0
    (2026-08-03 10:52:01)
Codé automatiquement par dérivation de l'univers/catégorie + panier — AUTO · à valider</t>
      </text>
    </comment>
    <comment authorId="0" ref="AE22">
      <text>
        <t xml:space="preserve">======
ID#AAACEw7hL5o
    (2026-08-03 10:52:00)
Codé automatiquement par dérivation de l'univers/catégorie + panier — AUTO · à valider</t>
      </text>
    </comment>
    <comment authorId="0" ref="AF22">
      <text>
        <t xml:space="preserve">======
ID#AAACEw7hNUM
    (2026-08-03 10:52:01)
Codé automatiquement par dérivation de l'univers/catégorie + panier — AUTO · à valider</t>
      </text>
    </comment>
    <comment authorId="0" ref="F89">
      <text>
        <t xml:space="preserve">======
ID#AAACEw7hOkY
    (2026-08-03 10:52:02)
GPS + adresse + horaires via Google Places (juin 2026)</t>
      </text>
    </comment>
    <comment authorId="0" ref="F23">
      <text>
        <t xml:space="preserve">======
ID#AAACEw7hNg8
    (2026-08-03 10:52:01)
GPS + adresse + horaires via Google Places (juin 2026)</t>
      </text>
    </comment>
    <comment authorId="0" ref="Y89">
      <text>
        <t xml:space="preserve">======
ID#AAACEw7hL-o
    (2026-08-03 10:52:00)
Codé automatiquement par dérivation de l'univers/catégorie + panier — AUTO · à valider</t>
      </text>
    </comment>
    <comment authorId="0" ref="Z89">
      <text>
        <t xml:space="preserve">======
ID#AAACEw7hObo
    (2026-08-03 10:52:02)
Codé automatiquement par dérivation de l'univers/catégorie + panier — AUTO · à valider</t>
      </text>
    </comment>
    <comment authorId="0" ref="AA89">
      <text>
        <t xml:space="preserve">======
ID#AAACEw7hNl0
    (2026-08-03 10:52:01)
Codé automatiquement par dérivation de l'univers/catégorie + panier — AUTO · à valider</t>
      </text>
    </comment>
    <comment authorId="0" ref="Y23">
      <text>
        <t xml:space="preserve">======
ID#AAACEw7hM8A
    (2026-08-03 10:52:01)
Codé automatiquement par dérivation de l'univers/catégorie + panier — AUTO · à valider</t>
      </text>
    </comment>
    <comment authorId="0" ref="AB89">
      <text>
        <t xml:space="preserve">======
ID#AAACEw7hMGc
    (2026-08-03 10:52:00)
Codé automatiquement par dérivation de l'univers/catégorie + panier — AUTO · à valider</t>
      </text>
    </comment>
    <comment authorId="0" ref="Z23">
      <text>
        <t xml:space="preserve">======
ID#AAACEw7hL5Q
    (2026-08-03 10:52:00)
Codé automatiquement par dérivation de l'univers/catégorie + panier — AUTO · à valider</t>
      </text>
    </comment>
    <comment authorId="0" ref="AC89">
      <text>
        <t xml:space="preserve">======
ID#AAACEw7hOf0
    (2026-08-03 10:52:02)
Codé automatiquement par dérivation de l'univers/catégorie + panier — AUTO · à valider</t>
      </text>
    </comment>
    <comment authorId="0" ref="AA23">
      <text>
        <t xml:space="preserve">======
ID#AAACEw7hMoE
    (2026-08-03 10:52:00)
Codé automatiquement par dérivation de l'univers/catégorie + panier — AUTO · à valider</t>
      </text>
    </comment>
    <comment authorId="0" ref="AB23">
      <text>
        <t xml:space="preserve">======
ID#AAACEw7hOdY
    (2026-08-03 10:52:02)
Codé automatiquement par dérivation de l'univers/catégorie + panier — AUTO · à valider</t>
      </text>
    </comment>
    <comment authorId="0" ref="AD89">
      <text>
        <t xml:space="preserve">======
ID#AAACEw7hOZU
    (2026-08-03 10:52:02)
Codé automatiquement par dérivation de l'univers/catégorie + panier — AUTO · à valider</t>
      </text>
    </comment>
    <comment authorId="0" ref="AC23">
      <text>
        <t xml:space="preserve">======
ID#AAACEw7hNS0
    (2026-08-03 10:52:01)
Codé automatiquement par dérivation de l'univers/catégorie + panier — AUTO · à valider</t>
      </text>
    </comment>
    <comment authorId="0" ref="AE89">
      <text>
        <t xml:space="preserve">======
ID#AAACEw7hNSA
    (2026-08-03 10:52:01)
Codé automatiquement par dérivation de l'univers/catégorie + panier — AUTO · à valider</t>
      </text>
    </comment>
    <comment authorId="0" ref="AD23">
      <text>
        <t xml:space="preserve">======
ID#AAACEw7hM_A
    (2026-08-03 10:52:01)
Codé automatiquement par dérivation de l'univers/catégorie + panier — AUTO · à valider</t>
      </text>
    </comment>
    <comment authorId="0" ref="AF89">
      <text>
        <t xml:space="preserve">======
ID#AAACEw7hM0c
    (2026-08-03 10:52:01)
Codé automatiquement par dérivation de l'univers/catégorie + panier — AUTO · à valider</t>
      </text>
    </comment>
    <comment authorId="0" ref="AE23">
      <text>
        <t xml:space="preserve">======
ID#AAACEw7hMrM
    (2026-08-03 10:52:00)
Codé automatiquement par dérivation de l'univers/catégorie + panier — AUTO · à valider</t>
      </text>
    </comment>
    <comment authorId="0" ref="AF23">
      <text>
        <t xml:space="preserve">======
ID#AAACEw7hNYM
    (2026-08-03 10:52:01)
Codé automatiquement par dérivation de l'univers/catégorie + panier — AUTO · à valider</t>
      </text>
    </comment>
    <comment authorId="0" ref="F90">
      <text>
        <t xml:space="preserve">======
ID#AAACEw7hMXQ
    (2026-08-03 10:52:00)
GPS + adresse + horaires via Google Places (juin 2026)</t>
      </text>
    </comment>
    <comment authorId="0" ref="F24">
      <text>
        <t xml:space="preserve">======
ID#AAACEw7hMd4
    (2026-08-03 10:52:00)
GPS + adresse + horaires via Google Places (juin 2026)</t>
      </text>
    </comment>
    <comment authorId="0" ref="Y90">
      <text>
        <t xml:space="preserve">======
ID#AAACEw7hNr8
    (2026-08-03 10:52:01)
Codé automatiquement par dérivation de l'univers/catégorie + panier — AUTO · à valider</t>
      </text>
    </comment>
    <comment authorId="0" ref="Z90">
      <text>
        <t xml:space="preserve">======
ID#AAACEw7hOBc
    (2026-08-03 10:52:02)
Codé automatiquement par dérivation de l'univers/catégorie + panier — AUTO · à valider</t>
      </text>
    </comment>
    <comment authorId="0" ref="AA90">
      <text>
        <t xml:space="preserve">======
ID#AAACEw7hNCY
    (2026-08-03 10:52:01)
Codé automatiquement par dérivation de l'univers/catégorie + panier — AUTO · à valider</t>
      </text>
    </comment>
    <comment authorId="0" ref="Y24">
      <text>
        <t xml:space="preserve">======
ID#AAACEw7hM0o
    (2026-08-03 10:52:01)
Codé automatiquement par dérivation de l'univers/catégorie + panier — AUTO · à valider</t>
      </text>
    </comment>
    <comment authorId="0" ref="Z24">
      <text>
        <t xml:space="preserve">======
ID#AAACEw7hNP4
    (2026-08-03 10:52:01)
Codé automatiquement par dérivation de l'univers/catégorie + panier — AUTO · à valider</t>
      </text>
    </comment>
    <comment authorId="0" ref="AB90">
      <text>
        <t xml:space="preserve">======
ID#AAACEw7hOjE
    (2026-08-03 10:52:02)
Codé automatiquement par dérivation de l'univers/catégorie + panier — AUTO · à valider</t>
      </text>
    </comment>
    <comment authorId="0" ref="AC90">
      <text>
        <t xml:space="preserve">======
ID#AAACEw7hNLg
    (2026-08-03 10:52:01)
Codé automatiquement par dérivation de l'univers/catégorie + panier — AUTO · à valider</t>
      </text>
    </comment>
    <comment authorId="0" ref="AA24">
      <text>
        <t xml:space="preserve">======
ID#AAACEw7hMWc
    (2026-08-03 10:52:00)
Codé automatiquement par dérivation de l'univers/catégorie + panier — AUTO · à valider</t>
      </text>
    </comment>
    <comment authorId="0" ref="AD90">
      <text>
        <t xml:space="preserve">======
ID#AAACEw7hM7I
    (2026-08-03 10:52:01)
Codé automatiquement par dérivation de l'univers/catégorie + panier — AUTO · à valider</t>
      </text>
    </comment>
    <comment authorId="0" ref="AB24">
      <text>
        <t xml:space="preserve">======
ID#AAACEw7hMtM
    (2026-08-03 10:52:01)
Codé automatiquement par dérivation de l'univers/catégorie + panier — AUTO · à valider</t>
      </text>
    </comment>
    <comment authorId="0" ref="AE90">
      <text>
        <t xml:space="preserve">======
ID#AAACEw7hOgc
    (2026-08-03 10:52:02)
Codé automatiquement par dérivation de l'univers/catégorie + panier — AUTO · à valider</t>
      </text>
    </comment>
    <comment authorId="0" ref="AC24">
      <text>
        <t xml:space="preserve">======
ID#AAACEw7hNvg
    (2026-08-03 10:52:01)
Codé automatiquement par dérivation de l'univers/catégorie + panier — AUTO · à valider</t>
      </text>
    </comment>
    <comment authorId="0" ref="AD24">
      <text>
        <t xml:space="preserve">======
ID#AAACEw7hONc
    (2026-08-03 10:52:02)
Codé automatiquement par dérivation de l'univers/catégorie + panier — AUTO · à valider</t>
      </text>
    </comment>
    <comment authorId="0" ref="AF90">
      <text>
        <t xml:space="preserve">======
ID#AAACEw7hMew
    (2026-08-03 10:52:00)
Codé automatiquement par dérivation de l'univers/catégorie + panier — AUTO · à valider</t>
      </text>
    </comment>
    <comment authorId="0" ref="AE24">
      <text>
        <t xml:space="preserve">======
ID#AAACEw7hL9I
    (2026-08-03 10:52:00)
Codé automatiquement par dérivation de l'univers/catégorie + panier — AUTO · à valider</t>
      </text>
    </comment>
    <comment authorId="0" ref="AF24">
      <text>
        <t xml:space="preserve">======
ID#AAACEw7hNNY
    (2026-08-03 10:52:01)
Codé automatiquement par dérivation de l'univers/catégorie + panier — AUTO · à valider</t>
      </text>
    </comment>
    <comment authorId="0" ref="F91">
      <text>
        <t xml:space="preserve">======
ID#AAACEw7hOdM
    (2026-08-03 10:52:02)
GPS + adresse + horaires via Google Places (juin 2026)</t>
      </text>
    </comment>
    <comment authorId="0" ref="F25">
      <text>
        <t xml:space="preserve">======
ID#AAACEw7hMn0
    (2026-08-03 10:52:00)
GPS + adresse + horaires via Google Places (juin 2026)</t>
      </text>
    </comment>
    <comment authorId="0" ref="Y91">
      <text>
        <t xml:space="preserve">======
ID#AAACEw7hNqw
    (2026-08-03 10:52:01)
Codé automatiquement par dérivation de l'univers/catégorie + panier — AUTO · à valider</t>
      </text>
    </comment>
    <comment authorId="0" ref="Z91">
      <text>
        <t xml:space="preserve">======
ID#AAACEw7hLtw
    (2026-08-03 10:52:00)
Codé automatiquement par dérivation de l'univers/catégorie + panier — AUTO · à valider</t>
      </text>
    </comment>
    <comment authorId="0" ref="AA91">
      <text>
        <t xml:space="preserve">======
ID#AAACEw7hM9U
    (2026-08-03 10:52:01)
Codé automatiquement par dérivation de l'univers/catégorie + panier — AUTO · à valider</t>
      </text>
    </comment>
    <comment authorId="0" ref="Y25">
      <text>
        <t xml:space="preserve">======
ID#AAACEw7hNWk
    (2026-08-03 10:52:01)
Codé automatiquement par dérivation de l'univers/catégorie + panier — AUTO · à valider</t>
      </text>
    </comment>
    <comment authorId="0" ref="AB91">
      <text>
        <t xml:space="preserve">======
ID#AAACEw7hOL8
    (2026-08-03 10:52:02)
Codé automatiquement par dérivation de l'univers/catégorie + panier — AUTO · à valider</t>
      </text>
    </comment>
    <comment authorId="0" ref="Z25">
      <text>
        <t xml:space="preserve">======
ID#AAACEw7hLws
    (2026-08-03 10:52:00)
Codé automatiquement par dérivation de l'univers/catégorie + panier — AUTO · à valider</t>
      </text>
    </comment>
    <comment authorId="0" ref="AC91">
      <text>
        <t xml:space="preserve">======
ID#AAACEw7hMd8
    (2026-08-03 10:52:00)
Codé automatiquement par dérivation de l'univers/catégorie + panier — AUTO · à valider</t>
      </text>
    </comment>
    <comment authorId="0" ref="AA25">
      <text>
        <t xml:space="preserve">======
ID#AAACEw7hMqA
    (2026-08-03 10:52:00)
Codé automatiquement par dérivation de l'univers/catégorie + panier — AUTO · à valider</t>
      </text>
    </comment>
    <comment authorId="0" ref="AB25">
      <text>
        <t xml:space="preserve">======
ID#AAACEw7hNOQ
    (2026-08-03 10:52:01)
Codé automatiquement par dérivation de l'univers/catégorie + panier — AUTO · à valider</t>
      </text>
    </comment>
    <comment authorId="0" ref="AD91">
      <text>
        <t xml:space="preserve">======
ID#AAACEw7hM_0
    (2026-08-03 10:52:01)
Codé automatiquement par dérivation de l'univers/catégorie + panier — AUTO · à valider</t>
      </text>
    </comment>
    <comment authorId="0" ref="AC25">
      <text>
        <t xml:space="preserve">======
ID#AAACEw7hM6o
    (2026-08-03 10:52:01)
Codé automatiquement par dérivation de l'univers/catégorie + panier — AUTO · à valider</t>
      </text>
    </comment>
    <comment authorId="0" ref="AE91">
      <text>
        <t xml:space="preserve">======
ID#AAACEw7hOoE
    (2026-08-03 10:52:02)
Codé automatiquement par dérivation de l'univers/catégorie + panier — AUTO · à valider</t>
      </text>
    </comment>
    <comment authorId="0" ref="AF91">
      <text>
        <t xml:space="preserve">======
ID#AAACEw7hORA
    (2026-08-03 10:52:02)
Codé automatiquement par dérivation de l'univers/catégorie + panier — AUTO · à valider</t>
      </text>
    </comment>
    <comment authorId="0" ref="AD25">
      <text>
        <t xml:space="preserve">======
ID#AAACEw7hMcc
    (2026-08-03 10:52:00)
Codé automatiquement par dérivation de l'univers/catégorie + panier — AUTO · à valider</t>
      </text>
    </comment>
    <comment authorId="0" ref="AE25">
      <text>
        <t xml:space="preserve">======
ID#AAACEw7hNHc
    (2026-08-03 10:52:01)
Codé automatiquement par dérivation de l'univers/catégorie + panier — AUTO · à valider</t>
      </text>
    </comment>
    <comment authorId="0" ref="AF25">
      <text>
        <t xml:space="preserve">======
ID#AAACEw7hM08
    (2026-08-03 10:52:01)
Codé automatiquement par dérivation de l'univers/catégorie + panier — AUTO · à valider</t>
      </text>
    </comment>
    <comment authorId="0" ref="F92">
      <text>
        <t xml:space="preserve">======
ID#AAACEw7hNK4
    (2026-08-03 10:52:01)
GPS + adresse + horaires via Google Places (juin 2026)</t>
      </text>
    </comment>
    <comment authorId="0" ref="F26">
      <text>
        <t xml:space="preserve">======
ID#AAACEw7hNx4
    (2026-08-03 10:52:01)
GPS + adresse + horaires via Google Places (juin 2026)</t>
      </text>
    </comment>
    <comment authorId="0" ref="Y92">
      <text>
        <t xml:space="preserve">======
ID#AAACEw7hOSM
    (2026-08-03 10:52:02)
Codé automatiquement par dérivation de l'univers/catégorie + panier — AUTO · à valider</t>
      </text>
    </comment>
    <comment authorId="0" ref="Z92">
      <text>
        <t xml:space="preserve">======
ID#AAACEw7hOEg
    (2026-08-03 10:52:02)
Codé automatiquement par dérivation de l'univers/catégorie + panier — AUTO · à valider</t>
      </text>
    </comment>
    <comment authorId="0" ref="AA92">
      <text>
        <t xml:space="preserve">======
ID#AAACEw7hNnk
    (2026-08-03 10:52:01)
Codé automatiquement par dérivation de l'univers/catégorie + panier — AUTO · à valider</t>
      </text>
    </comment>
    <comment authorId="0" ref="Y26">
      <text>
        <t xml:space="preserve">======
ID#AAACEw7hMLg
    (2026-08-03 10:52:00)
Codé automatiquement par dérivation de l'univers/catégorie + panier — AUTO · à valider</t>
      </text>
    </comment>
    <comment authorId="0" ref="Z26">
      <text>
        <t xml:space="preserve">======
ID#AAACEw7hOjQ
    (2026-08-03 10:52:02)
Codé automatiquement par dérivation de l'univers/catégorie + panier — AUTO · à valider</t>
      </text>
    </comment>
    <comment authorId="0" ref="AB92">
      <text>
        <t xml:space="preserve">======
ID#AAACEw7hOEI
    (2026-08-03 10:52:02)
Codé automatiquement par dérivation de l'univers/catégorie + panier — AUTO · à valider</t>
      </text>
    </comment>
    <comment authorId="0" ref="AA26">
      <text>
        <t xml:space="preserve">======
ID#AAACEw7hMoo
    (2026-08-03 10:52:00)
Codé automatiquement par dérivation de l'univers/catégorie + panier — AUTO · à valider</t>
      </text>
    </comment>
    <comment authorId="0" ref="AC92">
      <text>
        <t xml:space="preserve">======
ID#AAACEw7hMPA
    (2026-08-03 10:52:00)
Codé automatiquement par dérivation de l'univers/catégorie + panier — AUTO · à valider</t>
      </text>
    </comment>
    <comment authorId="0" ref="AD92">
      <text>
        <t xml:space="preserve">======
ID#AAACEw7hNeQ
    (2026-08-03 10:52:01)
Codé automatiquement par dérivation de l'univers/catégorie + panier — AUTO · à valider</t>
      </text>
    </comment>
    <comment authorId="0" ref="AB26">
      <text>
        <t xml:space="preserve">======
ID#AAACEw7hN1E
    (2026-08-03 10:52:01)
Codé automatiquement par dérivation de l'univers/catégorie + panier — AUTO · à valider</t>
      </text>
    </comment>
    <comment authorId="0" ref="AC26">
      <text>
        <t xml:space="preserve">======
ID#AAACEw7hNPw
    (2026-08-03 10:52:01)
Codé automatiquement par dérivation de l'univers/catégorie + panier — AUTO · à valider</t>
      </text>
    </comment>
    <comment authorId="0" ref="AE92">
      <text>
        <t xml:space="preserve">======
ID#AAACEw7hNq0
    (2026-08-03 10:52:01)
Codé automatiquement par dérivation de l'univers/catégorie + panier — AUTO · à valider</t>
      </text>
    </comment>
    <comment authorId="0" ref="AF92">
      <text>
        <t xml:space="preserve">======
ID#AAACEw7hOnI
    (2026-08-03 10:52:02)
Codé automatiquement par dérivation de l'univers/catégorie + panier — AUTO · à valider</t>
      </text>
    </comment>
    <comment authorId="0" ref="AD26">
      <text>
        <t xml:space="preserve">======
ID#AAACEw7hL8Y
    (2026-08-03 10:52:00)
Codé automatiquement par dérivation de l'univers/catégorie + panier — AUTO · à valider</t>
      </text>
    </comment>
    <comment authorId="0" ref="AE26">
      <text>
        <t xml:space="preserve">======
ID#AAACEw7hNVw
    (2026-08-03 10:52:01)
Codé automatiquement par dérivation de l'univers/catégorie + panier — AUTO · à valider</t>
      </text>
    </comment>
    <comment authorId="0" ref="AF26">
      <text>
        <t xml:space="preserve">======
ID#AAACEw7hL2g
    (2026-08-03 10:52:00)
Codé automatiquement par dérivation de l'univers/catégorie + panier — AUTO · à valider</t>
      </text>
    </comment>
    <comment authorId="0" ref="F93">
      <text>
        <t xml:space="preserve">======
ID#AAACEw7hNXo
    (2026-08-03 10:52:01)
GPS + adresse + horaires via Google Places (juin 2026)</t>
      </text>
    </comment>
    <comment authorId="0" ref="F27">
      <text>
        <t xml:space="preserve">======
ID#AAACEw7hOmI
    (2026-08-03 10:52:02)
GPS + adresse + horaires via Google Places (juin 2026)</t>
      </text>
    </comment>
    <comment authorId="0" ref="Y93">
      <text>
        <t xml:space="preserve">======
ID#AAACEw7hMnE
    (2026-08-03 10:52:00)
Codé automatiquement par dérivation de l'univers/catégorie + panier — AUTO · à valider</t>
      </text>
    </comment>
    <comment authorId="0" ref="Z93">
      <text>
        <t xml:space="preserve">======
ID#AAACEw7hMYM
    (2026-08-03 10:52:00)
Codé automatiquement par dérivation de l'univers/catégorie + panier — AUTO · à valider</t>
      </text>
    </comment>
    <comment authorId="0" ref="Y27">
      <text>
        <t xml:space="preserve">======
ID#AAACEw7hOXY
    (2026-08-03 10:52:02)
Codé automatiquement par dérivation de l'univers/catégorie + panier — AUTO · à valider</t>
      </text>
    </comment>
    <comment authorId="0" ref="AA93">
      <text>
        <t xml:space="preserve">======
ID#AAACEw7hMEw
    (2026-08-03 10:52:00)
Codé automatiquement par dérivation de l'univers/catégorie + panier — AUTO · à valider</t>
      </text>
    </comment>
    <comment authorId="0" ref="Z27">
      <text>
        <t xml:space="preserve">======
ID#AAACEw7hNPY
    (2026-08-03 10:52:01)
Codé automatiquement par dérivation de l'univers/catégorie + panier — AUTO · à valider</t>
      </text>
    </comment>
    <comment authorId="0" ref="AB93">
      <text>
        <t xml:space="preserve">======
ID#AAACEw7hMo0
    (2026-08-03 10:52:00)
Codé automatiquement par dérivation de l'univers/catégorie + panier — AUTO · à valider</t>
      </text>
    </comment>
    <comment authorId="0" ref="AA27">
      <text>
        <t xml:space="preserve">======
ID#AAACEw7hN7E
    (2026-08-03 10:52:02)
Codé automatiquement par dérivation de l'univers/catégorie + panier — AUTO · à valider</t>
      </text>
    </comment>
    <comment authorId="0" ref="AC93">
      <text>
        <t xml:space="preserve">======
ID#AAACEw7hNiA
    (2026-08-03 10:52:01)
Codé automatiquement par dérivation de l'univers/catégorie + panier — AUTO · à valider</t>
      </text>
    </comment>
    <comment authorId="0" ref="AB27">
      <text>
        <t xml:space="preserve">======
ID#AAACEw7hN9M
    (2026-08-03 10:52:02)
Codé automatiquement par dérivation de l'univers/catégorie + panier — AUTO · à valider</t>
      </text>
    </comment>
    <comment authorId="0" ref="AD93">
      <text>
        <t xml:space="preserve">======
ID#AAACEw7hOaE
    (2026-08-03 10:52:02)
Codé automatiquement par dérivation de l'univers/catégorie + panier — AUTO · à valider</t>
      </text>
    </comment>
    <comment authorId="0" ref="AE93">
      <text>
        <t xml:space="preserve">======
ID#AAACEw7hMW4
    (2026-08-03 10:52:00)
Codé automatiquement par dérivation de l'univers/catégorie + panier — AUTO · à valider</t>
      </text>
    </comment>
    <comment authorId="0" ref="AC27">
      <text>
        <t xml:space="preserve">======
ID#AAACEw7hMDo
    (2026-08-03 10:52:00)
Codé automatiquement par dérivation de l'univers/catégorie + panier — AUTO · à valider</t>
      </text>
    </comment>
    <comment authorId="0" ref="AD27">
      <text>
        <t xml:space="preserve">======
ID#AAACEw7hMX8
    (2026-08-03 10:52:00)
Codé automatiquement par dérivation de l'univers/catégorie + panier — AUTO · à valider</t>
      </text>
    </comment>
    <comment authorId="0" ref="AF93">
      <text>
        <t xml:space="preserve">======
ID#AAACEw7hLyc
    (2026-08-03 10:52:00)
Codé automatiquement par dérivation de l'univers/catégorie + panier — AUTO · à valider</t>
      </text>
    </comment>
    <comment authorId="0" ref="AE27">
      <text>
        <t xml:space="preserve">======
ID#AAACEw7hMmA
    (2026-08-03 10:52:00)
Codé automatiquement par dérivation de l'univers/catégorie + panier — AUTO · à valider</t>
      </text>
    </comment>
    <comment authorId="0" ref="AF27">
      <text>
        <t xml:space="preserve">======
ID#AAACEw7hNjA
    (2026-08-03 10:52:01)
Codé automatiquement par dérivation de l'univers/catégorie + panier — AUTO · à valider</t>
      </text>
    </comment>
    <comment authorId="0" ref="F94">
      <text>
        <t xml:space="preserve">======
ID#AAACEw7hMGU
    (2026-08-03 10:52:00)
GPS + adresse + horaires via Google Places (juin 2026)</t>
      </text>
    </comment>
    <comment authorId="0" ref="F28">
      <text>
        <t xml:space="preserve">======
ID#AAACEw7hOUw
    (2026-08-03 10:52:02)
GPS + adresse + horaires via Google Places (juin 2026)</t>
      </text>
    </comment>
    <comment authorId="0" ref="Y94">
      <text>
        <t xml:space="preserve">======
ID#AAACEw7hNyk
    (2026-08-03 10:52:01)
Codé automatiquement par dérivation de l'univers/catégorie + panier — AUTO · à valider</t>
      </text>
    </comment>
    <comment authorId="0" ref="Z94">
      <text>
        <t xml:space="preserve">======
ID#AAACEw7hNiQ
    (2026-08-03 10:52:01)
Codé automatiquement par dérivation de l'univers/catégorie + panier — AUTO · à valider</t>
      </text>
    </comment>
    <comment authorId="0" ref="AA94">
      <text>
        <t xml:space="preserve">======
ID#AAACEw7hNe8
    (2026-08-03 10:52:01)
Codé automatiquement par dérivation de l'univers/catégorie + panier — AUTO · à valider</t>
      </text>
    </comment>
    <comment authorId="0" ref="Y28">
      <text>
        <t xml:space="preserve">======
ID#AAACEw7hLz0
    (2026-08-03 10:52:00)
Codé automatiquement par dérivation de l'univers/catégorie + panier — AUTO · à valider</t>
      </text>
    </comment>
    <comment authorId="0" ref="Z28">
      <text>
        <t xml:space="preserve">======
ID#AAACEw7hNoo
    (2026-08-03 10:52:01)
Codé automatiquement par dérivation de l'univers/catégorie + panier — AUTO · à valider</t>
      </text>
    </comment>
    <comment authorId="0" ref="AB94">
      <text>
        <t xml:space="preserve">======
ID#AAACEw7hMBE
    (2026-08-03 10:52:00)
Codé automatiquement par dérivation de l'univers/catégorie + panier — AUTO · à valider</t>
      </text>
    </comment>
    <comment authorId="0" ref="AA28">
      <text>
        <t xml:space="preserve">======
ID#AAACEw7hOX4
    (2026-08-03 10:52:02)
Codé automatiquement par dérivation de l'univers/catégorie + panier — AUTO · à valider</t>
      </text>
    </comment>
    <comment authorId="0" ref="AC94">
      <text>
        <t xml:space="preserve">======
ID#AAACEw7hM64
    (2026-08-03 10:52:01)
Codé automatiquement par dérivation de l'univers/catégorie + panier — AUTO · à valider</t>
      </text>
    </comment>
    <comment authorId="0" ref="AB28">
      <text>
        <t xml:space="preserve">======
ID#AAACEw7hNm4
    (2026-08-03 10:52:01)
Codé automatiquement par dérivation de l'univers/catégorie + panier — AUTO · à valider</t>
      </text>
    </comment>
    <comment authorId="0" ref="AD94">
      <text>
        <t xml:space="preserve">======
ID#AAACEw7hM80
    (2026-08-03 10:52:01)
Codé automatiquement par dérivation de l'univers/catégorie + panier — AUTO · à valider</t>
      </text>
    </comment>
    <comment authorId="0" ref="AC28">
      <text>
        <t xml:space="preserve">======
ID#AAACEw7hNKY
    (2026-08-03 10:52:01)
Codé automatiquement par dérivation de l'univers/catégorie + panier — AUTO · à valider</t>
      </text>
    </comment>
    <comment authorId="0" ref="AE94">
      <text>
        <t xml:space="preserve">======
ID#AAACEw7hMko
    (2026-08-03 10:52:00)
Codé automatiquement par dérivation de l'univers/catégorie + panier — AUTO · à valider</t>
      </text>
    </comment>
    <comment authorId="0" ref="AF94">
      <text>
        <t xml:space="preserve">======
ID#AAACEw7hN4c
    (2026-08-03 10:52:02)
Codé automatiquement par dérivation de l'univers/catégorie + panier — AUTO · à valider</t>
      </text>
    </comment>
    <comment authorId="0" ref="AD28">
      <text>
        <t xml:space="preserve">======
ID#AAACEw7hOHU
    (2026-08-03 10:52:02)
Codé automatiquement par dérivation de l'univers/catégorie + panier — AUTO · à valider</t>
      </text>
    </comment>
    <comment authorId="0" ref="AE28">
      <text>
        <t xml:space="preserve">======
ID#AAACEw7hOJY
    (2026-08-03 10:52:02)
Codé automatiquement par dérivation de l'univers/catégorie + panier — AUTO · à valider</t>
      </text>
    </comment>
    <comment authorId="0" ref="AF28">
      <text>
        <t xml:space="preserve">======
ID#AAACEw7hM2k
    (2026-08-03 10:52:01)
Codé automatiquement par dérivation de l'univers/catégorie + panier — AUTO · à valider</t>
      </text>
    </comment>
    <comment authorId="0" ref="F95">
      <text>
        <t xml:space="preserve">======
ID#AAACEw7hOYg
    (2026-08-03 10:52:02)
GPS + adresse + horaires via Google Places (juin 2026)</t>
      </text>
    </comment>
    <comment authorId="0" ref="F29">
      <text>
        <t xml:space="preserve">======
ID#AAACEw7hNRc
    (2026-08-03 10:52:01)
GPS + adresse + horaires via Google Places (juin 2026)</t>
      </text>
    </comment>
    <comment authorId="0" ref="Y95">
      <text>
        <t xml:space="preserve">======
ID#AAACEw7hOh4
    (2026-08-03 10:52:02)
Codé automatiquement par dérivation de l'univers/catégorie + panier — AUTO · à valider</t>
      </text>
    </comment>
    <comment authorId="0" ref="Z95">
      <text>
        <t xml:space="preserve">======
ID#AAACEw7hN-g
    (2026-08-03 10:52:02)
Codé automatiquement par dérivation de l'univers/catégorie + panier — AUTO · à valider</t>
      </text>
    </comment>
    <comment authorId="0" ref="AA95">
      <text>
        <t xml:space="preserve">======
ID#AAACEw7hNcw
    (2026-08-03 10:52:01)
Codé automatiquement par dérivation de l'univers/catégorie + panier — AUTO · à valider</t>
      </text>
    </comment>
    <comment authorId="0" ref="Y29">
      <text>
        <t xml:space="preserve">======
ID#AAACEw7hObY
    (2026-08-03 10:52:02)
Codé automatiquement par dérivation de l'univers/catégorie + panier — AUTO · à valider</t>
      </text>
    </comment>
    <comment authorId="0" ref="AB95">
      <text>
        <t xml:space="preserve">======
ID#AAACEw7hM_c
    (2026-08-03 10:52:01)
Codé automatiquement par dérivation de l'univers/catégorie + panier — AUTO · à valider</t>
      </text>
    </comment>
    <comment authorId="0" ref="Z29">
      <text>
        <t xml:space="preserve">======
ID#AAACEw7hL8o
    (2026-08-03 10:52:00)
Codé automatiquement par dérivation de l'univers/catégorie + panier — AUTO · à valider</t>
      </text>
    </comment>
    <comment authorId="0" ref="AC95">
      <text>
        <t xml:space="preserve">======
ID#AAACEw7hN0U
    (2026-08-03 10:52:01)
Codé automatiquement par dérivation de l'univers/catégorie + panier — AUTO · à valider</t>
      </text>
    </comment>
    <comment authorId="0" ref="AA29">
      <text>
        <t xml:space="preserve">======
ID#AAACEw7hMKY
    (2026-08-03 10:52:00)
Codé automatiquement par dérivation de l'univers/catégorie + panier — AUTO · à valider</t>
      </text>
    </comment>
    <comment authorId="0" ref="AD95">
      <text>
        <t xml:space="preserve">======
ID#AAACEw7hM_8
    (2026-08-03 10:52:01)
Codé automatiquement par dérivation de l'univers/catégorie + panier — AUTO · à valider</t>
      </text>
    </comment>
    <comment authorId="0" ref="AB29">
      <text>
        <t xml:space="preserve">======
ID#AAACEw7hMgg
    (2026-08-03 10:52:00)
Codé automatiquement par dérivation de l'univers/catégorie + panier — AUTO · à valider</t>
      </text>
    </comment>
    <comment authorId="0" ref="AE95">
      <text>
        <t xml:space="preserve">======
ID#AAACEw7hN0w
    (2026-08-03 10:52:01)
Codé automatiquement par dérivation de l'univers/catégorie + panier — AUTO · à valider</t>
      </text>
    </comment>
    <comment authorId="0" ref="AC29">
      <text>
        <t xml:space="preserve">======
ID#AAACEw7hMYU
    (2026-08-03 10:52:00)
Codé automatiquement par dérivation de l'univers/catégorie + panier — AUTO · à valider</t>
      </text>
    </comment>
    <comment authorId="0" ref="AF95">
      <text>
        <t xml:space="preserve">======
ID#AAACEw7hNhk
    (2026-08-03 10:52:01)
Codé automatiquement par dérivation de l'univers/catégorie + panier — AUTO · à valider</t>
      </text>
    </comment>
    <comment authorId="0" ref="AD29">
      <text>
        <t xml:space="preserve">======
ID#AAACEw7hM2w
    (2026-08-03 10:52:01)
Codé automatiquement par dérivation de l'univers/catégorie + panier — AUTO · à valider</t>
      </text>
    </comment>
    <comment authorId="0" ref="AE29">
      <text>
        <t xml:space="preserve">======
ID#AAACEw7hNLo
    (2026-08-03 10:52:01)
Codé automatiquement par dérivation de l'univers/catégorie + panier — AUTO · à valider</t>
      </text>
    </comment>
    <comment authorId="0" ref="AF29">
      <text>
        <t xml:space="preserve">======
ID#AAACEw7hN4o
    (2026-08-03 10:52:02)
Codé automatiquement par dérivation de l'univers/catégorie + panier — AUTO · à valider</t>
      </text>
    </comment>
    <comment authorId="0" ref="F96">
      <text>
        <t xml:space="preserve">======
ID#AAACEw7hMdM
    (2026-08-03 10:52:00)
GPS + adresse + horaires via Google Places (juin 2026)</t>
      </text>
    </comment>
    <comment authorId="0" ref="F30">
      <text>
        <t xml:space="preserve">======
ID#AAACEw7hNQk
    (2026-08-03 10:52:01)
GPS + adresse + horaires via Google Places (juin 2026)</t>
      </text>
    </comment>
    <comment authorId="0" ref="Y96">
      <text>
        <t xml:space="preserve">======
ID#AAACEw7hOB8
    (2026-08-03 10:52:02)
Codé automatiquement par dérivation de l'univers/catégorie + panier — AUTO · à valider</t>
      </text>
    </comment>
    <comment authorId="0" ref="Z96">
      <text>
        <t xml:space="preserve">======
ID#AAACEw7hOWU
    (2026-08-03 10:52:02)
Codé automatiquement par dérivation de l'univers/catégorie + panier — AUTO · à valider</t>
      </text>
    </comment>
    <comment authorId="0" ref="Y30">
      <text>
        <t xml:space="preserve">======
ID#AAACEw7hN6Q
    (2026-08-03 10:52:02)
Codé automatiquement par dérivation de l'univers/catégorie + panier — AUTO · à valider</t>
      </text>
    </comment>
    <comment authorId="0" ref="AA96">
      <text>
        <t xml:space="preserve">======
ID#AAACEw7hL7k
    (2026-08-03 10:52:00)
Codé automatiquement par dérivation de l'univers/catégorie + panier — AUTO · à valider</t>
      </text>
    </comment>
    <comment authorId="0" ref="AB96">
      <text>
        <t xml:space="preserve">======
ID#AAACEw7hOhQ
    (2026-08-03 10:52:02)
Codé automatiquement par dérivation de l'univers/catégorie + panier — AUTO · à valider</t>
      </text>
    </comment>
    <comment authorId="0" ref="Z30">
      <text>
        <t xml:space="preserve">======
ID#AAACEw7hM6s
    (2026-08-03 10:52:01)
Codé automatiquement par dérivation de l'univers/catégorie + panier — AUTO · à valider</t>
      </text>
    </comment>
    <comment authorId="0" ref="AC96">
      <text>
        <t xml:space="preserve">======
ID#AAACEw7hNtI
    (2026-08-03 10:52:01)
Codé automatiquement par dérivation de l'univers/catégorie + panier — AUTO · à valider</t>
      </text>
    </comment>
    <comment authorId="0" ref="AA30">
      <text>
        <t xml:space="preserve">======
ID#AAACEw7hOpY
    (2026-08-03 10:52:02)
Codé automatiquement par dérivation de l'univers/catégorie + panier — AUTO · à valider</t>
      </text>
    </comment>
    <comment authorId="0" ref="AB30">
      <text>
        <t xml:space="preserve">======
ID#AAACEw7hM1g
    (2026-08-03 10:52:01)
Codé automatiquement par dérivation de l'univers/catégorie + panier — AUTO · à valider</t>
      </text>
    </comment>
    <comment authorId="0" ref="AD96">
      <text>
        <t xml:space="preserve">======
ID#AAACEw7hMfY
    (2026-08-03 10:52:00)
Codé automatiquement par dérivation de l'univers/catégorie + panier — AUTO · à valider</t>
      </text>
    </comment>
    <comment authorId="0" ref="AE96">
      <text>
        <t xml:space="preserve">======
ID#AAACEw7hNvI
    (2026-08-03 10:52:01)
Codé automatiquement par dérivation de l'univers/catégorie + panier — AUTO · à valider</t>
      </text>
    </comment>
    <comment authorId="0" ref="AC30">
      <text>
        <t xml:space="preserve">======
ID#AAACEw7hOiI
    (2026-08-03 10:52:02)
Codé automatiquement par dérivation de l'univers/catégorie + panier — AUTO · à valider</t>
      </text>
    </comment>
    <comment authorId="0" ref="AD30">
      <text>
        <t xml:space="preserve">======
ID#AAACEw7hOBU
    (2026-08-03 10:52:02)
Codé automatiquement par dérivation de l'univers/catégorie + panier — AUTO · à valider</t>
      </text>
    </comment>
    <comment authorId="0" ref="AF96">
      <text>
        <t xml:space="preserve">======
ID#AAACEw7hMGI
    (2026-08-03 10:52:00)
Codé automatiquement par dérivation de l'univers/catégorie + panier — AUTO · à valider</t>
      </text>
    </comment>
    <comment authorId="0" ref="AE30">
      <text>
        <t xml:space="preserve">======
ID#AAACEw7hNI8
    (2026-08-03 10:52:01)
Codé automatiquement par dérivation de l'univers/catégorie + panier — AUTO · à valider</t>
      </text>
    </comment>
    <comment authorId="0" ref="AF30">
      <text>
        <t xml:space="preserve">======
ID#AAACEw7hMbE
    (2026-08-03 10:52:00)
Codé automatiquement par dérivation de l'univers/catégorie + panier — AUTO · à valider</t>
      </text>
    </comment>
    <comment authorId="0" ref="F97">
      <text>
        <t xml:space="preserve">======
ID#AAACEw7hOYM
    (2026-08-03 10:52:02)
GPS + adresse + horaires via Google Places (juin 2026)</t>
      </text>
    </comment>
    <comment authorId="0" ref="F31">
      <text>
        <t xml:space="preserve">======
ID#AAACEw7hNbU
    (2026-08-03 10:52:01)
GPS + adresse + horaires via Google Places (juin 2026)</t>
      </text>
    </comment>
    <comment authorId="0" ref="Y97">
      <text>
        <t xml:space="preserve">======
ID#AAACEw7hNzY
    (2026-08-03 10:52:01)
Codé automatiquement par dérivation de l'univers/catégorie + panier — AUTO · à valider</t>
      </text>
    </comment>
    <comment authorId="0" ref="Z97">
      <text>
        <t xml:space="preserve">======
ID#AAACEw7hN5I
    (2026-08-03 10:52:02)
Codé automatiquement par dérivation de l'univers/catégorie + panier — AUTO · à valider</t>
      </text>
    </comment>
    <comment authorId="0" ref="AA97">
      <text>
        <t xml:space="preserve">======
ID#AAACEw7hNTc
    (2026-08-03 10:52:01)
Codé automatiquement par dérivation de l'univers/catégorie + panier — AUTO · à valider</t>
      </text>
    </comment>
    <comment authorId="0" ref="Y31">
      <text>
        <t xml:space="preserve">======
ID#AAACEw7hLuQ
    (2026-08-03 10:52:00)
Codé automatiquement par dérivation de l'univers/catégorie + panier — AUTO · à valider</t>
      </text>
    </comment>
    <comment authorId="0" ref="AB97">
      <text>
        <t xml:space="preserve">======
ID#AAACEw7hNGE
    (2026-08-03 10:52:01)
Codé automatiquement par dérivation de l'univers/catégorie + panier — AUTO · à valider</t>
      </text>
    </comment>
    <comment authorId="0" ref="Z31">
      <text>
        <t xml:space="preserve">======
ID#AAACEw7hOVQ
    (2026-08-03 10:52:02)
Codé automatiquement par dérivation de l'univers/catégorie + panier — AUTO · à valider</t>
      </text>
    </comment>
    <comment authorId="0" ref="AC97">
      <text>
        <t xml:space="preserve">======
ID#AAACEw7hNXY
    (2026-08-03 10:52:01)
Codé automatiquement par dérivation de l'univers/catégorie + panier — AUTO · à valider</t>
      </text>
    </comment>
    <comment authorId="0" ref="AA31">
      <text>
        <t xml:space="preserve">======
ID#AAACEw7hM-s
    (2026-08-03 10:52:01)
Codé automatiquement par dérivation de l'univers/catégorie + panier — AUTO · à valider</t>
      </text>
    </comment>
    <comment authorId="0" ref="AD97">
      <text>
        <t xml:space="preserve">======
ID#AAACEw7hN9Q
    (2026-08-03 10:52:02)
Codé automatiquement par dérivation de l'univers/catégorie + panier — AUTO · à valider</t>
      </text>
    </comment>
    <comment authorId="0" ref="AB31">
      <text>
        <t xml:space="preserve">======
ID#AAACEw7hNH0
    (2026-08-03 10:52:01)
Codé automatiquement par dérivation de l'univers/catégorie + panier — AUTO · à valider</t>
      </text>
    </comment>
    <comment authorId="0" ref="AC31">
      <text>
        <t xml:space="preserve">======
ID#AAACEw7hNLk
    (2026-08-03 10:52:01)
Codé automatiquement par dérivation de l'univers/catégorie + panier — AUTO · à valider</t>
      </text>
    </comment>
    <comment authorId="0" ref="AE97">
      <text>
        <t xml:space="preserve">======
ID#AAACEw7hL3k
    (2026-08-03 10:52:00)
Codé automatiquement par dérivation de l'univers/catégorie + panier — AUTO · à valider</t>
      </text>
    </comment>
    <comment authorId="0" ref="AD31">
      <text>
        <t xml:space="preserve">======
ID#AAACEw7hLzc
    (2026-08-03 10:52:00)
Codé automatiquement par dérivation de l'univers/catégorie + panier — AUTO · à valider</t>
      </text>
    </comment>
    <comment authorId="0" ref="AF97">
      <text>
        <t xml:space="preserve">======
ID#AAACEw7hLvo
    (2026-08-03 10:52:00)
Codé automatiquement par dérivation de l'univers/catégorie + panier — AUTO · à valider</t>
      </text>
    </comment>
    <comment authorId="0" ref="AE31">
      <text>
        <t xml:space="preserve">======
ID#AAACEw7hOiQ
    (2026-08-03 10:52:02)
Codé automatiquement par dérivation de l'univers/catégorie + panier — AUTO · à valider</t>
      </text>
    </comment>
    <comment authorId="0" ref="AF31">
      <text>
        <t xml:space="preserve">======
ID#AAACEw7hNFQ
    (2026-08-03 10:52:01)
Codé automatiquement par dérivation de l'univers/catégorie + panier — AUTO · à valider</t>
      </text>
    </comment>
    <comment authorId="0" ref="F98">
      <text>
        <t xml:space="preserve">======
ID#AAACEw7hLzg
    (2026-08-03 10:52:00)
GPS + adresse + horaires via Google Places (juin 2026)</t>
      </text>
    </comment>
    <comment authorId="0" ref="F32">
      <text>
        <t xml:space="preserve">======
ID#AAACEw7hNU4
    (2026-08-03 10:52:01)
GPS + adresse + horaires via Google Places (juin 2026)</t>
      </text>
    </comment>
    <comment authorId="0" ref="Y98">
      <text>
        <t xml:space="preserve">======
ID#AAACEw7hM_o
    (2026-08-03 10:52:01)
Codé automatiquement par dérivation de l'univers/catégorie + panier — AUTO · à valider</t>
      </text>
    </comment>
    <comment authorId="0" ref="Z98">
      <text>
        <t xml:space="preserve">======
ID#AAACEw7hORc
    (2026-08-03 10:52:02)
Codé automatiquement par dérivation de l'univers/catégorie + panier — AUTO · à valider</t>
      </text>
    </comment>
    <comment authorId="0" ref="Y32">
      <text>
        <t xml:space="preserve">======
ID#AAACEw7hMrA
    (2026-08-03 10:52:00)
Codé automatiquement par dérivation de l'univers/catégorie + panier — AUTO · à valider</t>
      </text>
    </comment>
    <comment authorId="0" ref="AA98">
      <text>
        <t xml:space="preserve">======
ID#AAACEw7hMEI
    (2026-08-03 10:52:00)
Codé automatiquement par dérivation de l'univers/catégorie + panier — AUTO · à valider</t>
      </text>
    </comment>
    <comment authorId="0" ref="Z32">
      <text>
        <t xml:space="preserve">======
ID#AAACEw7hNwI
    (2026-08-03 10:52:01)
Codé automatiquement par dérivation de l'univers/catégorie + panier — AUTO · à valider</t>
      </text>
    </comment>
    <comment authorId="0" ref="AB98">
      <text>
        <t xml:space="preserve">======
ID#AAACEw7hM7w
    (2026-08-03 10:52:01)
Codé automatiquement par dérivation de l'univers/catégorie + panier — AUTO · à valider</t>
      </text>
    </comment>
    <comment authorId="0" ref="AC98">
      <text>
        <t xml:space="preserve">======
ID#AAACEw7hNc4
    (2026-08-03 10:52:01)
Codé automatiquement par dérivation de l'univers/catégorie + panier — AUTO · à valider</t>
      </text>
    </comment>
    <comment authorId="0" ref="AA32">
      <text>
        <t xml:space="preserve">======
ID#AAACEw7hMTQ
    (2026-08-03 10:52:00)
Codé automatiquement par dérivation de l'univers/catégorie + panier — AUTO · à valider</t>
      </text>
    </comment>
    <comment authorId="0" ref="AD98">
      <text>
        <t xml:space="preserve">======
ID#AAACEw7hM0E
    (2026-08-03 10:52:01)
Codé automatiquement par dérivation de l'univers/catégorie + panier — AUTO · à valider</t>
      </text>
    </comment>
    <comment authorId="0" ref="AB32">
      <text>
        <t xml:space="preserve">======
ID#AAACEw7hMdo
    (2026-08-03 10:52:00)
Codé automatiquement par dérivation de l'univers/catégorie + panier — AUTO · à valider</t>
      </text>
    </comment>
    <comment authorId="0" ref="AC32">
      <text>
        <t xml:space="preserve">======
ID#AAACEw7hN3M
    (2026-08-03 10:52:02)
Codé automatiquement par dérivation de l'univers/catégorie + panier — AUTO · à valider</t>
      </text>
    </comment>
    <comment authorId="0" ref="AE98">
      <text>
        <t xml:space="preserve">======
ID#AAACEw7hNtM
    (2026-08-03 10:52:01)
Codé automatiquement par dérivation de l'univers/catégorie + panier — AUTO · à valider</t>
      </text>
    </comment>
    <comment authorId="0" ref="AD32">
      <text>
        <t xml:space="preserve">======
ID#AAACEw7hNuM
    (2026-08-03 10:52:01)
Codé automatiquement par dérivation de l'univers/catégorie + panier — AUTO · à valider</t>
      </text>
    </comment>
    <comment authorId="0" ref="AF98">
      <text>
        <t xml:space="preserve">======
ID#AAACEw7hL08
    (2026-08-03 10:52:00)
Codé automatiquement par dérivation de l'univers/catégorie + panier — AUTO · à valider</t>
      </text>
    </comment>
    <comment authorId="0" ref="AE32">
      <text>
        <t xml:space="preserve">======
ID#AAACEw7hOFs
    (2026-08-03 10:52:02)
Codé automatiquement par dérivation de l'univers/catégorie + panier — AUTO · à valider</t>
      </text>
    </comment>
    <comment authorId="0" ref="AF32">
      <text>
        <t xml:space="preserve">======
ID#AAACEw7hMkQ
    (2026-08-03 10:52:00)
Codé automatiquement par dérivation de l'univers/catégorie + panier — AUTO · à valider</t>
      </text>
    </comment>
    <comment authorId="0" ref="F99">
      <text>
        <t xml:space="preserve">======
ID#AAACEw7hN-E
    (2026-08-03 10:52:02)
GPS + adresse + horaires via Google Places (juin 2026)</t>
      </text>
    </comment>
    <comment authorId="0" ref="F33">
      <text>
        <t xml:space="preserve">======
ID#AAACEw7hOXM
    (2026-08-03 10:52:02)
GPS + adresse + horaires via Google Places (juin 2026)</t>
      </text>
    </comment>
    <comment authorId="0" ref="Y99">
      <text>
        <t xml:space="preserve">======
ID#AAACEw7hNqo
    (2026-08-03 10:52:01)
Codé automatiquement par dérivation de l'univers/catégorie + panier — AUTO · à valider</t>
      </text>
    </comment>
    <comment authorId="0" ref="Z99">
      <text>
        <t xml:space="preserve">======
ID#AAACEw7hN_s
    (2026-08-03 10:52:02)
Codé automatiquement par dérivation de l'univers/catégorie + panier — AUTO · à valider</t>
      </text>
    </comment>
    <comment authorId="0" ref="AA99">
      <text>
        <t xml:space="preserve">======
ID#AAACEw7hOCk
    (2026-08-03 10:52:02)
Codé automatiquement par dérivation de l'univers/catégorie + panier — AUTO · à valider</t>
      </text>
    </comment>
    <comment authorId="0" ref="Y33">
      <text>
        <t xml:space="preserve">======
ID#AAACEw7hMw8
    (2026-08-03 10:52:01)
Codé automatiquement par dérivation de l'univers/catégorie + panier — AUTO · à valider</t>
      </text>
    </comment>
    <comment authorId="0" ref="AB99">
      <text>
        <t xml:space="preserve">======
ID#AAACEw7hOc8
    (2026-08-03 10:52:02)
Codé automatiquement par dérivation de l'univers/catégorie + panier — AUTO · à valider</t>
      </text>
    </comment>
    <comment authorId="0" ref="Z33">
      <text>
        <t xml:space="preserve">======
ID#AAACEw7hMDA
    (2026-08-03 10:52:00)
Codé automatiquement par dérivation de l'univers/catégorie + panier — AUTO · à valider</t>
      </text>
    </comment>
    <comment authorId="0" ref="AC99">
      <text>
        <t xml:space="preserve">======
ID#AAACEw7hNOg
    (2026-08-03 10:52:01)
Codé automatiquement par dérivation de l'univers/catégorie + panier — AUTO · à valider</t>
      </text>
    </comment>
    <comment authorId="0" ref="AA33">
      <text>
        <t xml:space="preserve">======
ID#AAACEw7hOE0
    (2026-08-03 10:52:02)
Codé automatiquement par dérivation de l'univers/catégorie + panier — AUTO · à valider</t>
      </text>
    </comment>
    <comment authorId="0" ref="AB33">
      <text>
        <t xml:space="preserve">======
ID#AAACEw7hOSo
    (2026-08-03 10:52:02)
Codé automatiquement par dérivation de l'univers/catégorie + panier — AUTO · à valider</t>
      </text>
    </comment>
    <comment authorId="0" ref="AD99">
      <text>
        <t xml:space="preserve">======
ID#AAACEw7hNcM
    (2026-08-03 10:52:01)
Codé automatiquement par dérivation de l'univers/catégorie + panier — AUTO · à valider</t>
      </text>
    </comment>
    <comment authorId="0" ref="AC33">
      <text>
        <t xml:space="preserve">======
ID#AAACEw7hNKg
    (2026-08-03 10:52:01)
Codé automatiquement par dérivation de l'univers/catégorie + panier — AUTO · à valider</t>
      </text>
    </comment>
    <comment authorId="0" ref="AE99">
      <text>
        <t xml:space="preserve">======
ID#AAACEw7hMzM
    (2026-08-03 10:52:01)
Codé automatiquement par dérivation de l'univers/catégorie + panier — AUTO · à valider</t>
      </text>
    </comment>
    <comment authorId="0" ref="AF99">
      <text>
        <t xml:space="preserve">======
ID#AAACEw7hNT0
    (2026-08-03 10:52:01)
Codé automatiquement par dérivation de l'univers/catégorie + panier — AUTO · à valider</t>
      </text>
    </comment>
    <comment authorId="0" ref="AD33">
      <text>
        <t xml:space="preserve">======
ID#AAACEw7hNLA
    (2026-08-03 10:52:01)
Codé automatiquement par dérivation de l'univers/catégorie + panier — AUTO · à valider</t>
      </text>
    </comment>
    <comment authorId="0" ref="AE33">
      <text>
        <t xml:space="preserve">======
ID#AAACEw7hOQk
    (2026-08-03 10:52:02)
Codé automatiquement par dérivation de l'univers/catégorie + panier — AUTO · à valider</t>
      </text>
    </comment>
    <comment authorId="0" ref="AF33">
      <text>
        <t xml:space="preserve">======
ID#AAACEw7hMcM
    (2026-08-03 10:52:00)
Codé automatiquement par dérivation de l'univers/catégorie + panier — AUTO · à valider</t>
      </text>
    </comment>
    <comment authorId="0" ref="F100">
      <text>
        <t xml:space="preserve">======
ID#AAACEw7hN6U
    (2026-08-03 10:52:02)
GPS + adresse + horaires via Google Places (juin 2026)</t>
      </text>
    </comment>
    <comment authorId="0" ref="F34">
      <text>
        <t xml:space="preserve">======
ID#AAACEw7hOd4
    (2026-08-03 10:52:02)
GPS + adresse + horaires via Google Places (juin 2026)</t>
      </text>
    </comment>
    <comment authorId="0" ref="Y100">
      <text>
        <t xml:space="preserve">======
ID#AAACEw7hN3Q
    (2026-08-03 10:52:02)
Codé automatiquement par dérivation de l'univers/catégorie + panier — AUTO · à valider</t>
      </text>
    </comment>
    <comment authorId="0" ref="Z100">
      <text>
        <t xml:space="preserve">======
ID#AAACEw7hNVk
    (2026-08-03 10:52:01)
Codé automatiquement par dérivation de l'univers/catégorie + panier — AUTO · à valider</t>
      </text>
    </comment>
    <comment authorId="0" ref="Y34">
      <text>
        <t xml:space="preserve">======
ID#AAACEw7hM0g
    (2026-08-03 10:52:01)
Codé automatiquement par dérivation de l'univers/catégorie + panier — AUTO · à valider</t>
      </text>
    </comment>
    <comment authorId="0" ref="AA100">
      <text>
        <t xml:space="preserve">======
ID#AAACEw7hL8Q
    (2026-08-03 10:52:00)
Codé automatiquement par dérivation de l'univers/catégorie + panier — AUTO · à valider</t>
      </text>
    </comment>
    <comment authorId="0" ref="AB100">
      <text>
        <t xml:space="preserve">======
ID#AAACEw7hL14
    (2026-08-03 10:52:00)
Codé automatiquement par dérivation de l'univers/catégorie + panier — AUTO · à valider</t>
      </text>
    </comment>
    <comment authorId="0" ref="Z34">
      <text>
        <t xml:space="preserve">======
ID#AAACEw7hLuA
    (2026-08-03 10:52:00)
Codé automatiquement par dérivation de l'univers/catégorie + panier — AUTO · à valider</t>
      </text>
    </comment>
    <comment authorId="0" ref="AC100">
      <text>
        <t xml:space="preserve">======
ID#AAACEw7hOV8
    (2026-08-03 10:52:02)
Codé automatiquement par dérivation de l'univers/catégorie + panier — AUTO · à valider</t>
      </text>
    </comment>
    <comment authorId="0" ref="AA34">
      <text>
        <t xml:space="preserve">======
ID#AAACEw7hMyI
    (2026-08-03 10:52:01)
Codé automatiquement par dérivation de l'univers/catégorie + panier — AUTO · à valider</t>
      </text>
    </comment>
    <comment authorId="0" ref="AD100">
      <text>
        <t xml:space="preserve">======
ID#AAACEw7hM4M
    (2026-08-03 10:52:01)
Codé automatiquement par dérivation de l'univers/catégorie + panier — AUTO · à valider</t>
      </text>
    </comment>
    <comment authorId="0" ref="AB34">
      <text>
        <t xml:space="preserve">======
ID#AAACEw7hMRM
    (2026-08-03 10:52:00)
Codé automatiquement par dérivation de l'univers/catégorie + panier — AUTO · à valider</t>
      </text>
    </comment>
    <comment authorId="0" ref="AE100">
      <text>
        <t xml:space="preserve">======
ID#AAACEw7hM54
    (2026-08-03 10:52:01)
Codé automatiquement par dérivation de l'univers/catégorie + panier — AUTO · à valider</t>
      </text>
    </comment>
    <comment authorId="0" ref="AC34">
      <text>
        <t xml:space="preserve">======
ID#AAACEw7hOac
    (2026-08-03 10:52:02)
Codé automatiquement par dérivation de l'univers/catégorie + panier — AUTO · à valider</t>
      </text>
    </comment>
    <comment authorId="0" ref="AF100">
      <text>
        <t xml:space="preserve">======
ID#AAACEw7hNM0
    (2026-08-03 10:52:01)
Codé automatiquement par dérivation de l'univers/catégorie + panier — AUTO · à valider</t>
      </text>
    </comment>
    <comment authorId="0" ref="AD34">
      <text>
        <t xml:space="preserve">======
ID#AAACEw7hNLM
    (2026-08-03 10:52:01)
Codé automatiquement par dérivation de l'univers/catégorie + panier — AUTO · à valider</t>
      </text>
    </comment>
    <comment authorId="0" ref="AE34">
      <text>
        <t xml:space="preserve">======
ID#AAACEw7hN0I
    (2026-08-03 10:52:01)
Codé automatiquement par dérivation de l'univers/catégorie + panier — AUTO · à valider</t>
      </text>
    </comment>
    <comment authorId="0" ref="AF34">
      <text>
        <t xml:space="preserve">======
ID#AAACEw7hMTA
    (2026-08-03 10:52:00)
Codé automatiquement par dérivation de l'univers/catégorie + panier — AUTO · à valider</t>
      </text>
    </comment>
    <comment authorId="0" ref="F35">
      <text>
        <t xml:space="preserve">======
ID#AAACEw7hMxs
    (2026-08-03 10:52:01)
GPS + adresse + horaires via Google Places (juin 2026)</t>
      </text>
    </comment>
    <comment authorId="0" ref="Y35">
      <text>
        <t xml:space="preserve">======
ID#AAACEw7hOGk
    (2026-08-03 10:52:02)
Codé automatiquement par dérivation de l'univers/catégorie + panier — AUTO · à valider</t>
      </text>
    </comment>
    <comment authorId="0" ref="Z35">
      <text>
        <t xml:space="preserve">======
ID#AAACEw7hNoQ
    (2026-08-03 10:52:01)
Codé automatiquement par dérivation de l'univers/catégorie + panier — AUTO · à valider</t>
      </text>
    </comment>
    <comment authorId="0" ref="AA35">
      <text>
        <t xml:space="preserve">======
ID#AAACEw7hMRs
    (2026-08-03 10:52:00)
Codé automatiquement par dérivation de l'univers/catégorie + panier — AUTO · à valider</t>
      </text>
    </comment>
    <comment authorId="0" ref="AB35">
      <text>
        <t xml:space="preserve">======
ID#AAACEw7hOco
    (2026-08-03 10:52:02)
Codé automatiquement par dérivation de l'univers/catégorie + panier — AUTO · à valider</t>
      </text>
    </comment>
    <comment authorId="0" ref="AC35">
      <text>
        <t xml:space="preserve">======
ID#AAACEw7hMaw
    (2026-08-03 10:52:00)
Codé automatiquement par dérivation de l'univers/catégorie + panier — AUTO · à valider</t>
      </text>
    </comment>
    <comment authorId="0" ref="AD35">
      <text>
        <t xml:space="preserve">======
ID#AAACEw7hNMI
    (2026-08-03 10:52:01)
Codé automatiquement par dérivation de l'univers/catégorie + panier — AUTO · à valider</t>
      </text>
    </comment>
    <comment authorId="0" ref="AE35">
      <text>
        <t xml:space="preserve">======
ID#AAACEw7hNJ4
    (2026-08-03 10:52:01)
Codé automatiquement par dérivation de l'univers/catégorie + panier — AUTO · à valider</t>
      </text>
    </comment>
    <comment authorId="0" ref="AF35">
      <text>
        <t xml:space="preserve">======
ID#AAACEw7hOAk
    (2026-08-03 10:52:02)
Codé automatiquement par dérivation de l'univers/catégorie + panier — AUTO · à valider</t>
      </text>
    </comment>
    <comment authorId="0" ref="F36">
      <text>
        <t xml:space="preserve">======
ID#AAACEw7hONM
    (2026-08-03 10:52:02)
GPS + adresse + horaires via Google Places (juin 2026)</t>
      </text>
    </comment>
    <comment authorId="0" ref="Y36">
      <text>
        <t xml:space="preserve">======
ID#AAACEw7hL1U
    (2026-08-03 10:52:00)
Codé automatiquement par dérivation de l'univers/catégorie + panier — AUTO · à valider</t>
      </text>
    </comment>
    <comment authorId="0" ref="Z36">
      <text>
        <t xml:space="preserve">======
ID#AAACEw7hOYA
    (2026-08-03 10:52:02)
Codé automatiquement par dérivation de l'univers/catégorie + panier — AUTO · à valider</t>
      </text>
    </comment>
    <comment authorId="0" ref="AA36">
      <text>
        <t xml:space="preserve">======
ID#AAACEw7hN_U
    (2026-08-03 10:52:02)
Codé automatiquement par dérivation de l'univers/catégorie + panier — AUTO · à valider</t>
      </text>
    </comment>
    <comment authorId="0" ref="AB36">
      <text>
        <t xml:space="preserve">======
ID#AAACEw7hNiY
    (2026-08-03 10:52:01)
Codé automatiquement par dérivation de l'univers/catégorie + panier — AUTO · à valider</t>
      </text>
    </comment>
    <comment authorId="0" ref="AC36">
      <text>
        <t xml:space="preserve">======
ID#AAACEw7hMSg
    (2026-08-03 10:52:00)
Codé automatiquement par dérivation de l'univers/catégorie + panier — AUTO · à valider</t>
      </text>
    </comment>
    <comment authorId="0" ref="AD36">
      <text>
        <t xml:space="preserve">======
ID#AAACEw7hNY0
    (2026-08-03 10:52:01)
Codé automatiquement par dérivation de l'univers/catégorie + panier — AUTO · à valider</t>
      </text>
    </comment>
    <comment authorId="0" ref="AE36">
      <text>
        <t xml:space="preserve">======
ID#AAACEw7hMFY
    (2026-08-03 10:52:00)
Codé automatiquement par dérivation de l'univers/catégorie + panier — AUTO · à valider</t>
      </text>
    </comment>
    <comment authorId="0" ref="AF36">
      <text>
        <t xml:space="preserve">======
ID#AAACEw7hOEY
    (2026-08-03 10:52:02)
Codé automatiquement par dérivation de l'univers/catégorie + panier — AUTO · à valider</t>
      </text>
    </comment>
    <comment authorId="0" ref="F37">
      <text>
        <t xml:space="preserve">======
ID#AAACEw7hNVU
    (2026-08-03 10:52:01)
GPS + adresse + horaires via Google Places (juin 2026)</t>
      </text>
    </comment>
    <comment authorId="0" ref="Y37">
      <text>
        <t xml:space="preserve">======
ID#AAACEw7hN5A
    (2026-08-03 10:52:02)
Codé automatiquement par dérivation de l'univers/catégorie + panier — AUTO · à valider</t>
      </text>
    </comment>
    <comment authorId="0" ref="Z37">
      <text>
        <t xml:space="preserve">======
ID#AAACEw7hLy8
    (2026-08-03 10:52:00)
Codé automatiquement par dérivation de l'univers/catégorie + panier — AUTO · à valider</t>
      </text>
    </comment>
    <comment authorId="0" ref="AA37">
      <text>
        <t xml:space="preserve">======
ID#AAACEw7hMfI
    (2026-08-03 10:52:00)
Codé automatiquement par dérivation de l'univers/catégorie + panier — AUTO · à valider</t>
      </text>
    </comment>
    <comment authorId="0" ref="AB37">
      <text>
        <t xml:space="preserve">======
ID#AAACEw7hOAo
    (2026-08-03 10:52:02)
Codé automatiquement par dérivation de l'univers/catégorie + panier — AUTO · à valider</t>
      </text>
    </comment>
    <comment authorId="0" ref="AC37">
      <text>
        <t xml:space="preserve">======
ID#AAACEw7hMRQ
    (2026-08-03 10:52:00)
Codé automatiquement par dérivation de l'univers/catégorie + panier — AUTO · à valider</t>
      </text>
    </comment>
    <comment authorId="0" ref="AD37">
      <text>
        <t xml:space="preserve">======
ID#AAACEw7hMNQ
    (2026-08-03 10:52:00)
Codé automatiquement par dérivation de l'univers/catégorie + panier — AUTO · à valider</t>
      </text>
    </comment>
    <comment authorId="0" ref="AE37">
      <text>
        <t xml:space="preserve">======
ID#AAACEw7hNIs
    (2026-08-03 10:52:01)
Codé automatiquement par dérivation de l'univers/catégorie + panier — AUTO · à valider</t>
      </text>
    </comment>
    <comment authorId="0" ref="AF37">
      <text>
        <t xml:space="preserve">======
ID#AAACEw7hMCk
    (2026-08-03 10:52:00)
Codé automatiquement par dérivation de l'univers/catégorie + panier — AUTO · à valider</t>
      </text>
    </comment>
    <comment authorId="0" ref="F38">
      <text>
        <t xml:space="preserve">======
ID#AAACEw7hMH0
    (2026-08-03 10:52:00)
GPS + adresse + horaires via Google Places (juin 2026)</t>
      </text>
    </comment>
    <comment authorId="0" ref="Y38">
      <text>
        <t xml:space="preserve">======
ID#AAACEw7hMHA
    (2026-08-03 10:52:00)
Codé automatiquement par dérivation de l'univers/catégorie + panier — AUTO · à valider</t>
      </text>
    </comment>
    <comment authorId="0" ref="Z38">
      <text>
        <t xml:space="preserve">======
ID#AAACEw7hNfA
    (2026-08-03 10:52:01)
Codé automatiquement par dérivation de l'univers/catégorie + panier — AUTO · à valider</t>
      </text>
    </comment>
    <comment authorId="0" ref="AA38">
      <text>
        <t xml:space="preserve">======
ID#AAACEw7hMEM
    (2026-08-03 10:52:00)
Codé automatiquement par dérivation de l'univers/catégorie + panier — AUTO · à valider</t>
      </text>
    </comment>
    <comment authorId="0" ref="AB38">
      <text>
        <t xml:space="preserve">======
ID#AAACEw7hOWE
    (2026-08-03 10:52:02)
Codé automatiquement par dérivation de l'univers/catégorie + panier — AUTO · à valider</t>
      </text>
    </comment>
    <comment authorId="0" ref="AC38">
      <text>
        <t xml:space="preserve">======
ID#AAACEw7hOWQ
    (2026-08-03 10:52:02)
Codé automatiquement par dérivation de l'univers/catégorie + panier — AUTO · à valider</t>
      </text>
    </comment>
    <comment authorId="0" ref="AD38">
      <text>
        <t xml:space="preserve">======
ID#AAACEw7hN_Y
    (2026-08-03 10:52:02)
Codé automatiquement par dérivation de l'univers/catégorie + panier — AUTO · à valider</t>
      </text>
    </comment>
    <comment authorId="0" ref="AE38">
      <text>
        <t xml:space="preserve">======
ID#AAACEw7hMFU
    (2026-08-03 10:52:00)
Codé automatiquement par dérivation de l'univers/catégorie + panier — AUTO · à valider</t>
      </text>
    </comment>
    <comment authorId="0" ref="AF38">
      <text>
        <t xml:space="preserve">======
ID#AAACEw7hOMQ
    (2026-08-03 10:52:02)
Codé automatiquement par dérivation de l'univers/catégorie + panier — AUTO · à valider</t>
      </text>
    </comment>
    <comment authorId="0" ref="F39">
      <text>
        <t xml:space="preserve">======
ID#AAACEw7hMYI
    (2026-08-03 10:52:00)
GPS + adresse + horaires via Google Places (juin 2026)</t>
      </text>
    </comment>
    <comment authorId="0" ref="Y39">
      <text>
        <t xml:space="preserve">======
ID#AAACEw7hL1A
    (2026-08-03 10:52:00)
Codé automatiquement par dérivation de l'univers/catégorie + panier — AUTO · à valider</t>
      </text>
    </comment>
    <comment authorId="0" ref="Z39">
      <text>
        <t xml:space="preserve">======
ID#AAACEw7hNQo
    (2026-08-03 10:52:01)
Codé automatiquement par dérivation de l'univers/catégorie + panier — AUTO · à valider</t>
      </text>
    </comment>
    <comment authorId="0" ref="AA39">
      <text>
        <t xml:space="preserve">======
ID#AAACEw7hOQU
    (2026-08-03 10:52:02)
Codé automatiquement par dérivation de l'univers/catégorie + panier — AUTO · à valider</t>
      </text>
    </comment>
    <comment authorId="0" ref="AB39">
      <text>
        <t xml:space="preserve">======
ID#AAACEw7hOVw
    (2026-08-03 10:52:02)
Codé automatiquement par dérivation de l'univers/catégorie + panier — AUTO · à valider</t>
      </text>
    </comment>
    <comment authorId="0" ref="AC39">
      <text>
        <t xml:space="preserve">======
ID#AAACEw7hL2w
    (2026-08-03 10:52:00)
Codé automatiquement par dérivation de l'univers/catégorie + panier — AUTO · à valider</t>
      </text>
    </comment>
    <comment authorId="0" ref="AD39">
      <text>
        <t xml:space="preserve">======
ID#AAACEw7hM2g
    (2026-08-03 10:52:01)
Codé automatiquement par dérivation de l'univers/catégorie + panier — AUTO · à valider</t>
      </text>
    </comment>
    <comment authorId="0" ref="AE39">
      <text>
        <t xml:space="preserve">======
ID#AAACEw7hNQM
    (2026-08-03 10:52:01)
Codé automatiquement par dérivation de l'univers/catégorie + panier — AUTO · à valider</t>
      </text>
    </comment>
    <comment authorId="0" ref="AF39">
      <text>
        <t xml:space="preserve">======
ID#AAACEw7hOcs
    (2026-08-03 10:52:02)
Codé automatiquement par dérivation de l'univers/catégorie + panier — AUTO · à valider</t>
      </text>
    </comment>
    <comment authorId="0" ref="F40">
      <text>
        <t xml:space="preserve">======
ID#AAACEw7hN5o
    (2026-08-03 10:52:02)
GPS + adresse + horaires via Google Places (juin 2026)</t>
      </text>
    </comment>
    <comment authorId="0" ref="Y40">
      <text>
        <t xml:space="preserve">======
ID#AAACEw7hMiM
    (2026-08-03 10:52:00)
Codé automatiquement par dérivation de l'univers/catégorie + panier — AUTO · à valider</t>
      </text>
    </comment>
    <comment authorId="0" ref="Z40">
      <text>
        <t xml:space="preserve">======
ID#AAACEw7hNGk
    (2026-08-03 10:52:01)
Codé automatiquement par dérivation de l'univers/catégorie + panier — AUTO · à valider</t>
      </text>
    </comment>
    <comment authorId="0" ref="AA40">
      <text>
        <t xml:space="preserve">======
ID#AAACEw7hOZQ
    (2026-08-03 10:52:02)
Codé automatiquement par dérivation de l'univers/catégorie + panier — AUTO · à valider</t>
      </text>
    </comment>
    <comment authorId="0" ref="AB40">
      <text>
        <t xml:space="preserve">======
ID#AAACEw7hMV0
    (2026-08-03 10:52:00)
Codé automatiquement par dérivation de l'univers/catégorie + panier — AUTO · à valider</t>
      </text>
    </comment>
    <comment authorId="0" ref="AC40">
      <text>
        <t xml:space="preserve">======
ID#AAACEw7hOQo
    (2026-08-03 10:52:02)
Codé automatiquement par dérivation de l'univers/catégorie + panier — AUTO · à valider</t>
      </text>
    </comment>
    <comment authorId="0" ref="AD40">
      <text>
        <t xml:space="preserve">======
ID#AAACEw7hORU
    (2026-08-03 10:52:02)
Codé automatiquement par dérivation de l'univers/catégorie + panier — AUTO · à valider</t>
      </text>
    </comment>
    <comment authorId="0" ref="AE40">
      <text>
        <t xml:space="preserve">======
ID#AAACEw7hNUQ
    (2026-08-03 10:52:01)
Codé automatiquement par dérivation de l'univers/catégorie + panier — AUTO · à valider</t>
      </text>
    </comment>
    <comment authorId="0" ref="AF40">
      <text>
        <t xml:space="preserve">======
ID#AAACEw7hN_o
    (2026-08-03 10:52:02)
Codé automatiquement par dérivation de l'univers/catégorie + panier — AUTO · à valider</t>
      </text>
    </comment>
    <comment authorId="0" ref="F41">
      <text>
        <t xml:space="preserve">======
ID#AAACEw7hM_Y
    (2026-08-03 10:52:01)
GPS + adresse + horaires via Google Places (juin 2026)</t>
      </text>
    </comment>
    <comment authorId="0" ref="Y41">
      <text>
        <t xml:space="preserve">======
ID#AAACEw7hM78
    (2026-08-03 10:52:01)
Codé automatiquement par dérivation de l'univers/catégorie + panier — AUTO · à valider</t>
      </text>
    </comment>
    <comment authorId="0" ref="Z41">
      <text>
        <t xml:space="preserve">======
ID#AAACEw7hNZY
    (2026-08-03 10:52:01)
Codé automatiquement par dérivation de l'univers/catégorie + panier — AUTO · à valider</t>
      </text>
    </comment>
    <comment authorId="0" ref="AA41">
      <text>
        <t xml:space="preserve">======
ID#AAACEw7hODo
    (2026-08-03 10:52:02)
Codé automatiquement par dérivation de l'univers/catégorie + panier — AUTO · à valider</t>
      </text>
    </comment>
    <comment authorId="0" ref="AB41">
      <text>
        <t xml:space="preserve">======
ID#AAACEw7hM3M
    (2026-08-03 10:52:01)
Codé automatiquement par dérivation de l'univers/catégorie + panier — AUTO · à valider</t>
      </text>
    </comment>
    <comment authorId="0" ref="AC41">
      <text>
        <t xml:space="preserve">======
ID#AAACEw7hMzo
    (2026-08-03 10:52:01)
Codé automatiquement par dérivation de l'univers/catégorie + panier — AUTO · à valider</t>
      </text>
    </comment>
    <comment authorId="0" ref="AD41">
      <text>
        <t xml:space="preserve">======
ID#AAACEw7hNrw
    (2026-08-03 10:52:01)
Codé automatiquement par dérivation de l'univers/catégorie + panier — AUTO · à valider</t>
      </text>
    </comment>
    <comment authorId="0" ref="AE41">
      <text>
        <t xml:space="preserve">======
ID#AAACEw7hN8Y
    (2026-08-03 10:52:02)
Codé automatiquement par dérivation de l'univers/catégorie + panier — AUTO · à valider</t>
      </text>
    </comment>
    <comment authorId="0" ref="AF41">
      <text>
        <t xml:space="preserve">======
ID#AAACEw7hMFE
    (2026-08-03 10:52:00)
Codé automatiquement par dérivation de l'univers/catégorie + panier — AUTO · à valider</t>
      </text>
    </comment>
    <comment authorId="0" ref="F42">
      <text>
        <t xml:space="preserve">======
ID#AAACEw7hNs8
    (2026-08-03 10:52:01)
GPS + adresse + horaires via Google Places (juin 2026)</t>
      </text>
    </comment>
    <comment authorId="0" ref="Y42">
      <text>
        <t xml:space="preserve">======
ID#AAACEw7hMOE
    (2026-08-03 10:52:00)
Codé automatiquement par dérivation de l'univers/catégorie + panier — AUTO · à valider</t>
      </text>
    </comment>
    <comment authorId="0" ref="Z42">
      <text>
        <t xml:space="preserve">======
ID#AAACEw7hN4s
    (2026-08-03 10:52:02)
Codé automatiquement par dérivation de l'univers/catégorie + panier — AUTO · à valider</t>
      </text>
    </comment>
    <comment authorId="0" ref="AA42">
      <text>
        <t xml:space="preserve">======
ID#AAACEw7hOFI
    (2026-08-03 10:52:02)
Codé automatiquement par dérivation de l'univers/catégorie + panier — AUTO · à valider</t>
      </text>
    </comment>
    <comment authorId="0" ref="AB42">
      <text>
        <t xml:space="preserve">======
ID#AAACEw7hMso
    (2026-08-03 10:52:01)
Codé automatiquement par dérivation de l'univers/catégorie + panier — AUTO · à valider</t>
      </text>
    </comment>
    <comment authorId="0" ref="AC42">
      <text>
        <t xml:space="preserve">======
ID#AAACEw7hMqI
    (2026-08-03 10:52:00)
Codé automatiquement par dérivation de l'univers/catégorie + panier — AUTO · à valider</t>
      </text>
    </comment>
    <comment authorId="0" ref="AD42">
      <text>
        <t xml:space="preserve">======
ID#AAACEw7hNB4
    (2026-08-03 10:52:01)
Codé automatiquement par dérivation de l'univers/catégorie + panier — AUTO · à valider</t>
      </text>
    </comment>
    <comment authorId="0" ref="AE42">
      <text>
        <t xml:space="preserve">======
ID#AAACEw7hNFg
    (2026-08-03 10:52:01)
Codé automatiquement par dérivation de l'univers/catégorie + panier — AUTO · à valider</t>
      </text>
    </comment>
    <comment authorId="0" ref="AF42">
      <text>
        <t xml:space="preserve">======
ID#AAACEw7hMWg
    (2026-08-03 10:52:00)
Codé automatiquement par dérivation de l'univers/catégorie + panier — AUTO · à valider</t>
      </text>
    </comment>
    <comment authorId="0" ref="F43">
      <text>
        <t xml:space="preserve">======
ID#AAACEw7hM0Y
    (2026-08-03 10:52:01)
GPS + adresse + horaires via Google Places (juin 2026)</t>
      </text>
    </comment>
    <comment authorId="0" ref="Y43">
      <text>
        <t xml:space="preserve">======
ID#AAACEw7hMd0
    (2026-08-03 10:52:00)
Codé automatiquement par dérivation de l'univers/catégorie + panier — AUTO · à valider</t>
      </text>
    </comment>
    <comment authorId="0" ref="Z43">
      <text>
        <t xml:space="preserve">======
ID#AAACEw7hOew
    (2026-08-03 10:52:02)
Codé automatiquement par dérivation de l'univers/catégorie + panier — AUTO · à valider</t>
      </text>
    </comment>
    <comment authorId="0" ref="AA43">
      <text>
        <t xml:space="preserve">======
ID#AAACEw7hMiY
    (2026-08-03 10:52:00)
Codé automatiquement par dérivation de l'univers/catégorie + panier — AUTO · à valider</t>
      </text>
    </comment>
    <comment authorId="0" ref="AB43">
      <text>
        <t xml:space="preserve">======
ID#AAACEw7hOUQ
    (2026-08-03 10:52:02)
Codé automatiquement par dérivation de l'univers/catégorie + panier — AUTO · à valider</t>
      </text>
    </comment>
    <comment authorId="0" ref="AC43">
      <text>
        <t xml:space="preserve">======
ID#AAACEw7hNjg
    (2026-08-03 10:52:01)
Codé automatiquement par dérivation de l'univers/catégorie + panier — AUTO · à valider</t>
      </text>
    </comment>
    <comment authorId="0" ref="AD43">
      <text>
        <t xml:space="preserve">======
ID#AAACEw7hNwM
    (2026-08-03 10:52:01)
Codé automatiquement par dérivation de l'univers/catégorie + panier — AUTO · à valider</t>
      </text>
    </comment>
    <comment authorId="0" ref="AE43">
      <text>
        <t xml:space="preserve">======
ID#AAACEw7hMuo
    (2026-08-03 10:52:01)
Codé automatiquement par dérivation de l'univers/catégorie + panier — AUTO · à valider</t>
      </text>
    </comment>
    <comment authorId="0" ref="AF43">
      <text>
        <t xml:space="preserve">======
ID#AAACEw7hL-c
    (2026-08-03 10:52:00)
Codé automatiquement par dérivation de l'univers/catégorie + panier — AUTO · à valider</t>
      </text>
    </comment>
    <comment authorId="0" ref="F44">
      <text>
        <t xml:space="preserve">======
ID#AAACEw7hOlc
    (2026-08-03 10:52:02)
GPS + adresse via Google Places (juin 2026)</t>
      </text>
    </comment>
    <comment authorId="0" ref="Y44">
      <text>
        <t xml:space="preserve">======
ID#AAACEw7hNv4
    (2026-08-03 10:52:01)
Codé automatiquement par dérivation de l'univers/catégorie + panier — AUTO · à valider</t>
      </text>
    </comment>
    <comment authorId="0" ref="Z44">
      <text>
        <t xml:space="preserve">======
ID#AAACEw7hM-w
    (2026-08-03 10:52:01)
Codé automatiquement par dérivation de l'univers/catégorie + panier — AUTO · à valider</t>
      </text>
    </comment>
    <comment authorId="0" ref="AA44">
      <text>
        <t xml:space="preserve">======
ID#AAACEw7hMzw
    (2026-08-03 10:52:01)
Codé automatiquement par dérivation de l'univers/catégorie + panier — AUTO · à valider</t>
      </text>
    </comment>
    <comment authorId="0" ref="AB44">
      <text>
        <t xml:space="preserve">======
ID#AAACEw7hOgY
    (2026-08-03 10:52:02)
Codé automatiquement par dérivation de l'univers/catégorie + panier — AUTO · à valider</t>
      </text>
    </comment>
    <comment authorId="0" ref="AC44">
      <text>
        <t xml:space="preserve">======
ID#AAACEw7hM1s
    (2026-08-03 10:52:01)
Codé automatiquement par dérivation de l'univers/catégorie + panier — AUTO · à valider</t>
      </text>
    </comment>
    <comment authorId="0" ref="AD44">
      <text>
        <t xml:space="preserve">======
ID#AAACEw7hNw4
    (2026-08-03 10:52:01)
Codé automatiquement par dérivation de l'univers/catégorie + panier — AUTO · à valider</t>
      </text>
    </comment>
    <comment authorId="0" ref="AE44">
      <text>
        <t xml:space="preserve">======
ID#AAACEw7hOBA
    (2026-08-03 10:52:02)
Codé automatiquement par dérivation de l'univers/catégorie + panier — AUTO · à valider</t>
      </text>
    </comment>
    <comment authorId="0" ref="AF44">
      <text>
        <t xml:space="preserve">======
ID#AAACEw7hN-8
    (2026-08-03 10:52:02)
Codé automatiquement par dérivation de l'univers/catégorie + panier — AUTO · à valider</t>
      </text>
    </comment>
    <comment authorId="0" ref="F45">
      <text>
        <t xml:space="preserve">======
ID#AAACEw7hOCg
    (2026-08-03 10:52:02)
GPS + adresse + horaires via Google Places (juin 2026)</t>
      </text>
    </comment>
    <comment authorId="0" ref="Y45">
      <text>
        <t xml:space="preserve">======
ID#AAACEw7hM50
    (2026-08-03 10:52:01)
Codé automatiquement par dérivation de l'univers/catégorie + panier — AUTO · à valider</t>
      </text>
    </comment>
    <comment authorId="0" ref="Z45">
      <text>
        <t xml:space="preserve">======
ID#AAACEw7hNy4
    (2026-08-03 10:52:01)
Codé automatiquement par dérivation de l'univers/catégorie + panier — AUTO · à valider</t>
      </text>
    </comment>
    <comment authorId="0" ref="AA45">
      <text>
        <t xml:space="preserve">======
ID#AAACEw7hNbk
    (2026-08-03 10:52:01)
Codé automatiquement par dérivation de l'univers/catégorie + panier — AUTO · à valider</t>
      </text>
    </comment>
    <comment authorId="0" ref="AB45">
      <text>
        <t xml:space="preserve">======
ID#AAACEw7hMK0
    (2026-08-03 10:52:00)
Codé automatiquement par dérivation de l'univers/catégorie + panier — AUTO · à valider</t>
      </text>
    </comment>
    <comment authorId="0" ref="AC45">
      <text>
        <t xml:space="preserve">======
ID#AAACEw7hNC8
    (2026-08-03 10:52:01)
Codé automatiquement par dérivation de l'univers/catégorie + panier — AUTO · à valider</t>
      </text>
    </comment>
    <comment authorId="0" ref="AD45">
      <text>
        <t xml:space="preserve">======
ID#AAACEw7hMOs
    (2026-08-03 10:52:00)
Codé automatiquement par dérivation de l'univers/catégorie + panier — AUTO · à valider</t>
      </text>
    </comment>
    <comment authorId="0" ref="AE45">
      <text>
        <t xml:space="preserve">======
ID#AAACEw7hLzA
    (2026-08-03 10:52:00)
Codé automatiquement par dérivation de l'univers/catégorie + panier — AUTO · à valider</t>
      </text>
    </comment>
    <comment authorId="0" ref="AF45">
      <text>
        <t xml:space="preserve">======
ID#AAACEw7hOEE
    (2026-08-03 10:52:02)
Codé automatiquement par dérivation de l'univers/catégorie + panier — AUTO · à valider</t>
      </text>
    </comment>
    <comment authorId="0" ref="F46">
      <text>
        <t xml:space="preserve">======
ID#AAACEw7hOK0
    (2026-08-03 10:52:02)
GPS + adresse via Google Places (juin 2026)</t>
      </text>
    </comment>
    <comment authorId="0" ref="Y46">
      <text>
        <t xml:space="preserve">======
ID#AAACEw7hMkc
    (2026-08-03 10:52:00)
Codé automatiquement par dérivation de l'univers/catégorie + panier — AUTO · à valider</t>
      </text>
    </comment>
    <comment authorId="0" ref="Z46">
      <text>
        <t xml:space="preserve">======
ID#AAACEw7hOgE
    (2026-08-03 10:52:02)
Codé automatiquement par dérivation de l'univers/catégorie + panier — AUTO · à valider</t>
      </text>
    </comment>
    <comment authorId="0" ref="AA46">
      <text>
        <t xml:space="preserve">======
ID#AAACEw7hOYo
    (2026-08-03 10:52:02)
Codé automatiquement par dérivation de l'univers/catégorie + panier — AUTO · à valider</t>
      </text>
    </comment>
    <comment authorId="0" ref="AB46">
      <text>
        <t xml:space="preserve">======
ID#AAACEw7hMjs
    (2026-08-03 10:52:00)
Codé automatiquement par dérivation de l'univers/catégorie + panier — AUTO · à valider</t>
      </text>
    </comment>
    <comment authorId="0" ref="AC46">
      <text>
        <t xml:space="preserve">======
ID#AAACEw7hM2M
    (2026-08-03 10:52:01)
Codé automatiquement par dérivation de l'univers/catégorie + panier — AUTO · à valider</t>
      </text>
    </comment>
    <comment authorId="0" ref="AD46">
      <text>
        <t xml:space="preserve">======
ID#AAACEw7hNRA
    (2026-08-03 10:52:01)
Codé automatiquement par dérivation de l'univers/catégorie + panier — AUTO · à valider</t>
      </text>
    </comment>
    <comment authorId="0" ref="AE46">
      <text>
        <t xml:space="preserve">======
ID#AAACEw7hMLQ
    (2026-08-03 10:52:00)
Codé automatiquement par dérivation de l'univers/catégorie + panier — AUTO · à valider</t>
      </text>
    </comment>
    <comment authorId="0" ref="AF46">
      <text>
        <t xml:space="preserve">======
ID#AAACEw7hOGM
    (2026-08-03 10:52:02)
Codé automatiquement par dérivation de l'univers/catégorie + panier — AUTO · à valider</t>
      </text>
    </comment>
    <comment authorId="0" ref="F47">
      <text>
        <t xml:space="preserve">======
ID#AAACEw7hNNc
    (2026-08-03 10:52:01)
GPS + adresse + horaires via Google Places (juin 2026)</t>
      </text>
    </comment>
    <comment authorId="0" ref="Y47">
      <text>
        <t xml:space="preserve">======
ID#AAACEw7hOVU
    (2026-08-03 10:52:02)
Codé automatiquement par dérivation de l'univers/catégorie + panier — AUTO · à valider</t>
      </text>
    </comment>
    <comment authorId="0" ref="Z47">
      <text>
        <t xml:space="preserve">======
ID#AAACEw7hNBg
    (2026-08-03 10:52:01)
Codé automatiquement par dérivation de l'univers/catégorie + panier — AUTO · à valider</t>
      </text>
    </comment>
    <comment authorId="0" ref="AA47">
      <text>
        <t xml:space="preserve">======
ID#AAACEw7hMFc
    (2026-08-03 10:52:00)
Codé automatiquement par dérivation de l'univers/catégorie + panier — AUTO · à valider</t>
      </text>
    </comment>
    <comment authorId="0" ref="AB47">
      <text>
        <t xml:space="preserve">======
ID#AAACEw7hNxw
    (2026-08-03 10:52:01)
Codé automatiquement par dérivation de l'univers/catégorie + panier — AUTO · à valider</t>
      </text>
    </comment>
    <comment authorId="0" ref="AC47">
      <text>
        <t xml:space="preserve">======
ID#AAACEw7hNIA
    (2026-08-03 10:52:01)
Codé automatiquement par dérivation de l'univers/catégorie + panier — AUTO · à valider</t>
      </text>
    </comment>
    <comment authorId="0" ref="AD47">
      <text>
        <t xml:space="preserve">======
ID#AAACEw7hMSM
    (2026-08-03 10:52:00)
Codé automatiquement par dérivation de l'univers/catégorie + panier — AUTO · à valider</t>
      </text>
    </comment>
    <comment authorId="0" ref="AE47">
      <text>
        <t xml:space="preserve">======
ID#AAACEw7hMLU
    (2026-08-03 10:52:00)
Codé automatiquement par dérivation de l'univers/catégorie + panier — AUTO · à valider</t>
      </text>
    </comment>
    <comment authorId="0" ref="AF47">
      <text>
        <t xml:space="preserve">======
ID#AAACEw7hNm8
    (2026-08-03 10:52:01)
Codé automatiquement par dérivation de l'univers/catégorie + panier — AUTO · à valider</t>
      </text>
    </comment>
    <comment authorId="0" ref="F48">
      <text>
        <t xml:space="preserve">======
ID#AAACEw7hMHI
    (2026-08-03 10:52:00)
GPS + adresse + horaires via Google Places (juin 2026)</t>
      </text>
    </comment>
    <comment authorId="0" ref="Y48">
      <text>
        <t xml:space="preserve">======
ID#AAACEw7hMWk
    (2026-08-03 10:52:00)
Codé automatiquement par dérivation de l'univers/catégorie + panier — AUTO · à valider</t>
      </text>
    </comment>
    <comment authorId="0" ref="Z48">
      <text>
        <t xml:space="preserve">======
ID#AAACEw7hMRU
    (2026-08-03 10:52:00)
Codé automatiquement par dérivation de l'univers/catégorie + panier — AUTO · à valider</t>
      </text>
    </comment>
    <comment authorId="0" ref="AA48">
      <text>
        <t xml:space="preserve">======
ID#AAACEw7hN5k
    (2026-08-03 10:52:02)
Codé automatiquement par dérivation de l'univers/catégorie + panier — AUTO · à valider</t>
      </text>
    </comment>
    <comment authorId="0" ref="AB48">
      <text>
        <t xml:space="preserve">======
ID#AAACEw7hOY4
    (2026-08-03 10:52:02)
Codé automatiquement par dérivation de l'univers/catégorie + panier — AUTO · à valider</t>
      </text>
    </comment>
    <comment authorId="0" ref="AC48">
      <text>
        <t xml:space="preserve">======
ID#AAACEw7hNW8
    (2026-08-03 10:52:01)
Codé automatiquement par dérivation de l'univers/catégorie + panier — AUTO · à valider</t>
      </text>
    </comment>
    <comment authorId="0" ref="AD48">
      <text>
        <t xml:space="preserve">======
ID#AAACEw7hNto
    (2026-08-03 10:52:01)
Codé automatiquement par dérivation de l'univers/catégorie + panier — AUTO · à valider</t>
      </text>
    </comment>
    <comment authorId="0" ref="AE48">
      <text>
        <t xml:space="preserve">======
ID#AAACEw7hMZQ
    (2026-08-03 10:52:00)
Codé automatiquement par dérivation de l'univers/catégorie + panier — AUTO · à valider</t>
      </text>
    </comment>
    <comment authorId="0" ref="AF48">
      <text>
        <t xml:space="preserve">======
ID#AAACEw7hNms
    (2026-08-03 10:52:01)
Codé automatiquement par dérivation de l'univers/catégorie + panier — AUTO · à valider</t>
      </text>
    </comment>
    <comment authorId="0" ref="F49">
      <text>
        <t xml:space="preserve">======
ID#AAACEw7hL5s
    (2026-08-03 10:52:00)
GPS + adresse + horaires via Google Places (juin 2026)</t>
      </text>
    </comment>
    <comment authorId="0" ref="Y49">
      <text>
        <t xml:space="preserve">======
ID#AAACEw7hOow
    (2026-08-03 10:52:02)
Codé automatiquement par dérivation de l'univers/catégorie + panier — AUTO · à valider</t>
      </text>
    </comment>
    <comment authorId="0" ref="Z49">
      <text>
        <t xml:space="preserve">======
ID#AAACEw7hM7A
    (2026-08-03 10:52:01)
Codé automatiquement par dérivation de l'univers/catégorie + panier — AUTO · à valider</t>
      </text>
    </comment>
    <comment authorId="0" ref="AA49">
      <text>
        <t xml:space="preserve">======
ID#AAACEw7hNvE
    (2026-08-03 10:52:01)
Codé automatiquement par dérivation de l'univers/catégorie + panier — AUTO · à valider</t>
      </text>
    </comment>
    <comment authorId="0" ref="AB49">
      <text>
        <t xml:space="preserve">======
ID#AAACEw7hMGs
    (2026-08-03 10:52:00)
Codé automatiquement par dérivation de l'univers/catégorie + panier — AUTO · à valider</t>
      </text>
    </comment>
    <comment authorId="0" ref="AC49">
      <text>
        <t xml:space="preserve">======
ID#AAACEw7hLxA
    (2026-08-03 10:52:00)
Codé automatiquement par dérivation de l'univers/catégorie + panier — AUTO · à valider</t>
      </text>
    </comment>
    <comment authorId="0" ref="AD49">
      <text>
        <t xml:space="preserve">======
ID#AAACEw7hMOw
    (2026-08-03 10:52:00)
Codé automatiquement par dérivation de l'univers/catégorie + panier — AUTO · à valider</t>
      </text>
    </comment>
    <comment authorId="0" ref="AE49">
      <text>
        <t xml:space="preserve">======
ID#AAACEw7hMBM
    (2026-08-03 10:52:00)
Codé automatiquement par dérivation de l'univers/catégorie + panier — AUTO · à valider</t>
      </text>
    </comment>
    <comment authorId="0" ref="AF49">
      <text>
        <t xml:space="preserve">======
ID#AAACEw7hNzk
    (2026-08-03 10:52:01)
Codé automatiquement par dérivation de l'univers/catégorie + panier — AUTO · à valider</t>
      </text>
    </comment>
    <comment authorId="0" ref="F50">
      <text>
        <t xml:space="preserve">======
ID#AAACEw7hL7o
    (2026-08-03 10:52:00)
GPS + adresse + horaires via Google Places (juin 2026)</t>
      </text>
    </comment>
    <comment authorId="0" ref="Y50">
      <text>
        <t xml:space="preserve">======
ID#AAACEw7hOHI
    (2026-08-03 10:52:02)
Codé automatiquement par dérivation de l'univers/catégorie + panier — AUTO · à valider</t>
      </text>
    </comment>
    <comment authorId="0" ref="Z50">
      <text>
        <t xml:space="preserve">======
ID#AAACEw7hMK4
    (2026-08-03 10:52:00)
Codé automatiquement par dérivation de l'univers/catégorie + panier — AUTO · à valider</t>
      </text>
    </comment>
    <comment authorId="0" ref="AA50">
      <text>
        <t xml:space="preserve">======
ID#AAACEw7hMZA
    (2026-08-03 10:52:00)
Codé automatiquement par dérivation de l'univers/catégorie + panier — AUTO · à valider</t>
      </text>
    </comment>
    <comment authorId="0" ref="AB50">
      <text>
        <t xml:space="preserve">======
ID#AAACEw7hOTU
    (2026-08-03 10:52:02)
Codé automatiquement par dérivation de l'univers/catégorie + panier — AUTO · à valider</t>
      </text>
    </comment>
    <comment authorId="0" ref="AC50">
      <text>
        <t xml:space="preserve">======
ID#AAACEw7hMPQ
    (2026-08-03 10:52:00)
Codé automatiquement par dérivation de l'univers/catégorie + panier — AUTO · à valider</t>
      </text>
    </comment>
    <comment authorId="0" ref="AD50">
      <text>
        <t xml:space="preserve">======
ID#AAACEw7hOTM
    (2026-08-03 10:52:02)
Codé automatiquement par dérivation de l'univers/catégorie + panier — AUTO · à valider</t>
      </text>
    </comment>
    <comment authorId="0" ref="AE50">
      <text>
        <t xml:space="preserve">======
ID#AAACEw7hOgo
    (2026-08-03 10:52:02)
Codé automatiquement par dérivation de l'univers/catégorie + panier — AUTO · à valider</t>
      </text>
    </comment>
    <comment authorId="0" ref="AF50">
      <text>
        <t xml:space="preserve">======
ID#AAACEw7hOP4
    (2026-08-03 10:52:02)
Codé automatiquement par dérivation de l'univers/catégorie + panier — AUTO · à valider</t>
      </text>
    </comment>
    <comment authorId="0" ref="F51">
      <text>
        <t xml:space="preserve">======
ID#AAACEw7hMXw
    (2026-08-03 10:52:00)
GPS + adresse + horaires via Google Places (juin 2026)</t>
      </text>
    </comment>
    <comment authorId="0" ref="Y51">
      <text>
        <t xml:space="preserve">======
ID#AAACEw7hONk
    (2026-08-03 10:52:02)
Codé automatiquement par dérivation de l'univers/catégorie + panier — AUTO · à valider</t>
      </text>
    </comment>
    <comment authorId="0" ref="Z51">
      <text>
        <t xml:space="preserve">======
ID#AAACEw7hODs
    (2026-08-03 10:52:02)
Codé automatiquement par dérivation de l'univers/catégorie + panier — AUTO · à valider</t>
      </text>
    </comment>
    <comment authorId="0" ref="AA51">
      <text>
        <t xml:space="preserve">======
ID#AAACEw7hNbY
    (2026-08-03 10:52:01)
Codé automatiquement par dérivation de l'univers/catégorie + panier — AUTO · à valider</t>
      </text>
    </comment>
    <comment authorId="0" ref="AB51">
      <text>
        <t xml:space="preserve">======
ID#AAACEw7hOjo
    (2026-08-03 10:52:02)
Codé automatiquement par dérivation de l'univers/catégorie + panier — AUTO · à valider</t>
      </text>
    </comment>
    <comment authorId="0" ref="AC51">
      <text>
        <t xml:space="preserve">======
ID#AAACEw7hOVg
    (2026-08-03 10:52:02)
Codé automatiquement par dérivation de l'univers/catégorie + panier — AUTO · à valider</t>
      </text>
    </comment>
    <comment authorId="0" ref="AD51">
      <text>
        <t xml:space="preserve">======
ID#AAACEw7hMDw
    (2026-08-03 10:52:00)
Codé automatiquement par dérivation de l'univers/catégorie + panier — AUTO · à valider</t>
      </text>
    </comment>
    <comment authorId="0" ref="AE51">
      <text>
        <t xml:space="preserve">======
ID#AAACEw7hNXE
    (2026-08-03 10:52:01)
Codé automatiquement par dérivation de l'univers/catégorie + panier — AUTO · à valider</t>
      </text>
    </comment>
    <comment authorId="0" ref="AF51">
      <text>
        <t xml:space="preserve">======
ID#AAACEw7hM2A
    (2026-08-03 10:52:01)
Codé automatiquement par dérivation de l'univers/catégorie + panier — AUTO · à valider</t>
      </text>
    </comment>
    <comment authorId="0" ref="F52">
      <text>
        <t xml:space="preserve">======
ID#AAACEw7hL_A
    (2026-08-03 10:52:00)
GPS + adresse + horaires via Google Places (juin 2026)</t>
      </text>
    </comment>
    <comment authorId="0" ref="Y52">
      <text>
        <t xml:space="preserve">======
ID#AAACEw7hMOU
    (2026-08-03 10:52:00)
Codé automatiquement par dérivation de l'univers/catégorie + panier — AUTO · à valider</t>
      </text>
    </comment>
    <comment authorId="0" ref="Z52">
      <text>
        <t xml:space="preserve">======
ID#AAACEw7hOUo
    (2026-08-03 10:52:02)
Codé automatiquement par dérivation de l'univers/catégorie + panier — AUTO · à valider</t>
      </text>
    </comment>
    <comment authorId="0" ref="AA52">
      <text>
        <t xml:space="preserve">======
ID#AAACEw7hNxc
    (2026-08-03 10:52:01)
Codé automatiquement par dérivation de l'univers/catégorie + panier — AUTO · à valider</t>
      </text>
    </comment>
    <comment authorId="0" ref="AB52">
      <text>
        <t xml:space="preserve">======
ID#AAACEw7hL1M
    (2026-08-03 10:52:00)
Codé automatiquement par dérivation de l'univers/catégorie + panier — AUTO · à valider</t>
      </text>
    </comment>
    <comment authorId="0" ref="AC52">
      <text>
        <t xml:space="preserve">======
ID#AAACEw7hNu8
    (2026-08-03 10:52:01)
Codé automatiquement par dérivation de l'univers/catégorie + panier — AUTO · à valider</t>
      </text>
    </comment>
    <comment authorId="0" ref="AD52">
      <text>
        <t xml:space="preserve">======
ID#AAACEw7hMP0
    (2026-08-03 10:52:00)
Codé automatiquement par dérivation de l'univers/catégorie + panier — AUTO · à valider</t>
      </text>
    </comment>
    <comment authorId="0" ref="AE52">
      <text>
        <t xml:space="preserve">======
ID#AAACEw7hM-0
    (2026-08-03 10:52:01)
Codé automatiquement par dérivation de l'univers/catégorie + panier — AUTO · à valider</t>
      </text>
    </comment>
    <comment authorId="0" ref="AF52">
      <text>
        <t xml:space="preserve">======
ID#AAACEw7hNgU
    (2026-08-03 10:52:01)
Codé automatiquement par dérivation de l'univers/catégorie + panier — AUTO · à valider</t>
      </text>
    </comment>
    <comment authorId="0" ref="F53">
      <text>
        <t xml:space="preserve">======
ID#AAACEw7hN_8
    (2026-08-03 10:52:02)
GPS + adresse + horaires via Google Places (juin 2026)</t>
      </text>
    </comment>
    <comment authorId="0" ref="Y53">
      <text>
        <t xml:space="preserve">======
ID#AAACEw7hOpM
    (2026-08-03 10:52:02)
Codé automatiquement par dérivation de l'univers/catégorie + panier — AUTO · à valider</t>
      </text>
    </comment>
    <comment authorId="0" ref="Z53">
      <text>
        <t xml:space="preserve">======
ID#AAACEw7hMr8
    (2026-08-03 10:52:01)
Codé automatiquement par dérivation de l'univers/catégorie + panier — AUTO · à valider</t>
      </text>
    </comment>
    <comment authorId="0" ref="AA53">
      <text>
        <t xml:space="preserve">======
ID#AAACEw7hOXQ
    (2026-08-03 10:52:02)
Codé automatiquement par dérivation de l'univers/catégorie + panier — AUTO · à valider</t>
      </text>
    </comment>
    <comment authorId="0" ref="AB53">
      <text>
        <t xml:space="preserve">======
ID#AAACEw7hMw4
    (2026-08-03 10:52:01)
Codé automatiquement par dérivation de l'univers/catégorie + panier — AUTO · à valider</t>
      </text>
    </comment>
    <comment authorId="0" ref="AC53">
      <text>
        <t xml:space="preserve">======
ID#AAACEw7hMqc
    (2026-08-03 10:52:00)
Codé automatiquement par dérivation de l'univers/catégorie + panier — AUTO · à valider</t>
      </text>
    </comment>
    <comment authorId="0" ref="AD53">
      <text>
        <t xml:space="preserve">======
ID#AAACEw7hOkU
    (2026-08-03 10:52:02)
Codé automatiquement par dérivation de l'univers/catégorie + panier — AUTO · à valider</t>
      </text>
    </comment>
    <comment authorId="0" ref="AE53">
      <text>
        <t xml:space="preserve">======
ID#AAACEw7hMTE
    (2026-08-03 10:52:00)
Codé automatiquement par dérivation de l'univers/catégorie + panier — AUTO · à valider</t>
      </text>
    </comment>
    <comment authorId="0" ref="AF53">
      <text>
        <t xml:space="preserve">======
ID#AAACEw7hNEU
    (2026-08-03 10:52:01)
Codé automatiquement par dérivation de l'univers/catégorie + panier — AUTO · à valider</t>
      </text>
    </comment>
    <comment authorId="0" ref="F54">
      <text>
        <t xml:space="preserve">======
ID#AAACEw7hNG0
    (2026-08-03 10:52:01)
GPS + adresse + horaires via Google Places (juin 2026)</t>
      </text>
    </comment>
    <comment authorId="0" ref="Y54">
      <text>
        <t xml:space="preserve">======
ID#AAACEw7hNwE
    (2026-08-03 10:52:01)
Codé automatiquement par dérivation de l'univers/catégorie + panier — AUTO · à valider</t>
      </text>
    </comment>
    <comment authorId="0" ref="Z54">
      <text>
        <t xml:space="preserve">======
ID#AAACEw7hNnI
    (2026-08-03 10:52:01)
Codé automatiquement par dérivation de l'univers/catégorie + panier — AUTO · à valider</t>
      </text>
    </comment>
    <comment authorId="0" ref="AA54">
      <text>
        <t xml:space="preserve">======
ID#AAACEw7hMa0
    (2026-08-03 10:52:00)
Codé automatiquement par dérivation de l'univers/catégorie + panier — AUTO · à valider</t>
      </text>
    </comment>
    <comment authorId="0" ref="AB54">
      <text>
        <t xml:space="preserve">======
ID#AAACEw7hNZw
    (2026-08-03 10:52:01)
Codé automatiquement par dérivation de l'univers/catégorie + panier — AUTO · à valider</t>
      </text>
    </comment>
    <comment authorId="0" ref="AC54">
      <text>
        <t xml:space="preserve">======
ID#AAACEw7hMOc
    (2026-08-03 10:52:00)
Codé automatiquement par dérivation de l'univers/catégorie + panier — AUTO · à valider</t>
      </text>
    </comment>
    <comment authorId="0" ref="AD54">
      <text>
        <t xml:space="preserve">======
ID#AAACEw7hMa8
    (2026-08-03 10:52:00)
Codé automatiquement par dérivation de l'univers/catégorie + panier — AUTO · à valider</t>
      </text>
    </comment>
    <comment authorId="0" ref="AE54">
      <text>
        <t xml:space="preserve">======
ID#AAACEw7hMBA
    (2026-08-03 10:52:00)
Codé automatiquement par dérivation de l'univers/catégorie + panier — AUTO · à valider</t>
      </text>
    </comment>
    <comment authorId="0" ref="AF54">
      <text>
        <t xml:space="preserve">======
ID#AAACEw7hN94
    (2026-08-03 10:52:02)
Codé automatiquement par dérivation de l'univers/catégorie + panier — AUTO · à valider</t>
      </text>
    </comment>
    <comment authorId="0" ref="F55">
      <text>
        <t xml:space="preserve">======
ID#AAACEw7hNCw
    (2026-08-03 10:52:01)
GPS + adresse + horaires via Google Places (juin 2026)</t>
      </text>
    </comment>
    <comment authorId="0" ref="Y55">
      <text>
        <t xml:space="preserve">======
ID#AAACEw7hNyQ
    (2026-08-03 10:52:01)
Codé automatiquement par dérivation de l'univers/catégorie + panier — AUTO · à valider</t>
      </text>
    </comment>
    <comment authorId="0" ref="Z55">
      <text>
        <t xml:space="preserve">======
ID#AAACEw7hMbI
    (2026-08-03 10:52:00)
Codé automatiquement par dérivation de l'univers/catégorie + panier — AUTO · à valider</t>
      </text>
    </comment>
    <comment authorId="0" ref="AA55">
      <text>
        <t xml:space="preserve">======
ID#AAACEw7hOOs
    (2026-08-03 10:52:02)
Codé automatiquement par dérivation de l'univers/catégorie + panier — AUTO · à valider</t>
      </text>
    </comment>
    <comment authorId="0" ref="AB55">
      <text>
        <t xml:space="preserve">======
ID#AAACEw7hMLM
    (2026-08-03 10:52:00)
Codé automatiquement par dérivation de l'univers/catégorie + panier — AUTO · à valider</t>
      </text>
    </comment>
    <comment authorId="0" ref="AC55">
      <text>
        <t xml:space="preserve">======
ID#AAACEw7hNns
    (2026-08-03 10:52:01)
Codé automatiquement par dérivation de l'univers/catégorie + panier — AUTO · à valider</t>
      </text>
    </comment>
    <comment authorId="0" ref="AD55">
      <text>
        <t xml:space="preserve">======
ID#AAACEw7hOqU
    (2026-08-03 10:52:02)
Codé automatiquement par dérivation de l'univers/catégorie + panier — AUTO · à valider</t>
      </text>
    </comment>
    <comment authorId="0" ref="AE55">
      <text>
        <t xml:space="preserve">======
ID#AAACEw7hN_A
    (2026-08-03 10:52:02)
Codé automatiquement par dérivation de l'univers/catégorie + panier — AUTO · à valider</t>
      </text>
    </comment>
    <comment authorId="0" ref="AF55">
      <text>
        <t xml:space="preserve">======
ID#AAACEw7hL50
    (2026-08-03 10:52:00)
Codé automatiquement par dérivation de l'univers/catégorie + panier — AUTO · à valider</t>
      </text>
    </comment>
    <comment authorId="0" ref="F56">
      <text>
        <t xml:space="preserve">======
ID#AAACEw7hNaE
    (2026-08-03 10:52:01)
GPS + adresse + horaires via Google Places (juin 2026)</t>
      </text>
    </comment>
    <comment authorId="0" ref="Y56">
      <text>
        <t xml:space="preserve">======
ID#AAACEw7hMF8
    (2026-08-03 10:52:00)
Codé automatiquement par dérivation de l'univers/catégorie + panier — AUTO · à valider</t>
      </text>
    </comment>
    <comment authorId="0" ref="Z56">
      <text>
        <t xml:space="preserve">======
ID#AAACEw7hNZc
    (2026-08-03 10:52:01)
Codé automatiquement par dérivation de l'univers/catégorie + panier — AUTO · à valider</t>
      </text>
    </comment>
    <comment authorId="0" ref="AA56">
      <text>
        <t xml:space="preserve">======
ID#AAACEw7hMEk
    (2026-08-03 10:52:00)
Codé automatiquement par dérivation de l'univers/catégorie + panier — AUTO · à valider</t>
      </text>
    </comment>
    <comment authorId="0" ref="AB56">
      <text>
        <t xml:space="preserve">======
ID#AAACEw7hOC4
    (2026-08-03 10:52:02)
Codé automatiquement par dérivation de l'univers/catégorie + panier — AUTO · à valider</t>
      </text>
    </comment>
    <comment authorId="0" ref="AC56">
      <text>
        <t xml:space="preserve">======
ID#AAACEw7hL7I
    (2026-08-03 10:52:00)
Codé automatiquement par dérivation de l'univers/catégorie + panier — AUTO · à valider</t>
      </text>
    </comment>
    <comment authorId="0" ref="AD56">
      <text>
        <t xml:space="preserve">======
ID#AAACEw7hN48
    (2026-08-03 10:52:02)
Codé automatiquement par dérivation de l'univers/catégorie + panier — AUTO · à valider</t>
      </text>
    </comment>
    <comment authorId="0" ref="AE56">
      <text>
        <t xml:space="preserve">======
ID#AAACEw7hL3w
    (2026-08-03 10:52:00)
Codé automatiquement par dérivation de l'univers/catégorie + panier — AUTO · à valider</t>
      </text>
    </comment>
    <comment authorId="0" ref="AF56">
      <text>
        <t xml:space="preserve">======
ID#AAACEw7hNfY
    (2026-08-03 10:52:01)
Codé automatiquement par dérivation de l'univers/catégorie + panier — AUTO · à valider</t>
      </text>
    </comment>
    <comment authorId="0" ref="F57">
      <text>
        <t xml:space="preserve">======
ID#AAACEw7hMe0
    (2026-08-03 10:52:00)
GPS + adresse + horaires via Google Places (juin 2026)</t>
      </text>
    </comment>
    <comment authorId="0" ref="Y57">
      <text>
        <t xml:space="preserve">======
ID#AAACEw7hMOI
    (2026-08-03 10:52:00)
Codé automatiquement par dérivation de l'univers/catégorie + panier — AUTO · à valider</t>
      </text>
    </comment>
    <comment authorId="0" ref="Z57">
      <text>
        <t xml:space="preserve">======
ID#AAACEw7hM9E
    (2026-08-03 10:52:01)
Codé automatiquement par dérivation de l'univers/catégorie + panier — AUTO · à valider</t>
      </text>
    </comment>
    <comment authorId="0" ref="AA57">
      <text>
        <t xml:space="preserve">======
ID#AAACEw7hMi0
    (2026-08-03 10:52:00)
Codé automatiquement par dérivation de l'univers/catégorie + panier — AUTO · à valider</t>
      </text>
    </comment>
    <comment authorId="0" ref="AB57">
      <text>
        <t xml:space="preserve">======
ID#AAACEw7hMrs
    (2026-08-03 10:52:01)
Codé automatiquement par dérivation de l'univers/catégorie + panier — AUTO · à valider</t>
      </text>
    </comment>
    <comment authorId="0" ref="AC57">
      <text>
        <t xml:space="preserve">======
ID#AAACEw7hOlU
    (2026-08-03 10:52:02)
Codé automatiquement par dérivation de l'univers/catégorie + panier — AUTO · à valider</t>
      </text>
    </comment>
    <comment authorId="0" ref="AD57">
      <text>
        <t xml:space="preserve">======
ID#AAACEw7hOhk
    (2026-08-03 10:52:02)
Codé automatiquement par dérivation de l'univers/catégorie + panier — AUTO · à valider</t>
      </text>
    </comment>
    <comment authorId="0" ref="AE57">
      <text>
        <t xml:space="preserve">======
ID#AAACEw7hNds
    (2026-08-03 10:52:01)
Codé automatiquement par dérivation de l'univers/catégorie + panier — AUTO · à valider</t>
      </text>
    </comment>
    <comment authorId="0" ref="AF57">
      <text>
        <t xml:space="preserve">======
ID#AAACEw7hNA4
    (2026-08-03 10:52:01)
Codé automatiquement par dérivation de l'univers/catégorie + panier — AUTO · à valider</t>
      </text>
    </comment>
    <comment authorId="0" ref="F58">
      <text>
        <t xml:space="preserve">======
ID#AAACEw7hM3w
    (2026-08-03 10:52:01)
GPS + adresse + horaires via Google Places (juin 2026)</t>
      </text>
    </comment>
    <comment authorId="0" ref="Y58">
      <text>
        <t xml:space="preserve">======
ID#AAACEw7hNuc
    (2026-08-03 10:52:01)
Codé automatiquement par dérivation de l'univers/catégorie + panier — AUTO · à valider</t>
      </text>
    </comment>
    <comment authorId="0" ref="Z58">
      <text>
        <t xml:space="preserve">======
ID#AAACEw7hMQg
    (2026-08-03 10:52:00)
Codé automatiquement par dérivation de l'univers/catégorie + panier — AUTO · à valider</t>
      </text>
    </comment>
    <comment authorId="0" ref="AA58">
      <text>
        <t xml:space="preserve">======
ID#AAACEw7hOB4
    (2026-08-03 10:52:02)
Codé automatiquement par dérivation de l'univers/catégorie + panier — AUTO · à valider</t>
      </text>
    </comment>
    <comment authorId="0" ref="AB58">
      <text>
        <t xml:space="preserve">======
ID#AAACEw7hMas
    (2026-08-03 10:52:00)
Codé automatiquement par dérivation de l'univers/catégorie + panier — AUTO · à valider</t>
      </text>
    </comment>
    <comment authorId="0" ref="AC58">
      <text>
        <t xml:space="preserve">======
ID#AAACEw7hNDg
    (2026-08-03 10:52:01)
Codé automatiquement par dérivation de l'univers/catégorie + panier — AUTO · à valider</t>
      </text>
    </comment>
    <comment authorId="0" ref="AD58">
      <text>
        <t xml:space="preserve">======
ID#AAACEw7hM4w
    (2026-08-03 10:52:01)
Codé automatiquement par dérivation de l'univers/catégorie + panier — AUTO · à valider</t>
      </text>
    </comment>
    <comment authorId="0" ref="AE58">
      <text>
        <t xml:space="preserve">======
ID#AAACEw7hNUg
    (2026-08-03 10:52:01)
Codé automatiquement par dérivation de l'univers/catégorie + panier — AUTO · à valider</t>
      </text>
    </comment>
    <comment authorId="0" ref="AF58">
      <text>
        <t xml:space="preserve">======
ID#AAACEw7hNpc
    (2026-08-03 10:52:01)
Codé automatiquement par dérivation de l'univers/catégorie + panier — AUTO · à valider</t>
      </text>
    </comment>
    <comment authorId="0" ref="F59">
      <text>
        <t xml:space="preserve">======
ID#AAACEw7hNXc
    (2026-08-03 10:52:01)
GPS + adresse + horaires via Google Places (juin 2026)</t>
      </text>
    </comment>
    <comment authorId="0" ref="Y59">
      <text>
        <t xml:space="preserve">======
ID#AAACEw7hMdU
    (2026-08-03 10:52:00)
Codé automatiquement par dérivation de l'univers/catégorie + panier — AUTO · à valider</t>
      </text>
    </comment>
    <comment authorId="0" ref="Z59">
      <text>
        <t xml:space="preserve">======
ID#AAACEw7hNpE
    (2026-08-03 10:52:01)
Codé automatiquement par dérivation de l'univers/catégorie + panier — AUTO · à valider</t>
      </text>
    </comment>
    <comment authorId="0" ref="AA59">
      <text>
        <t xml:space="preserve">======
ID#AAACEw7hOek
    (2026-08-03 10:52:02)
Codé automatiquement par dérivation de l'univers/catégorie + panier — AUTO · à valider</t>
      </text>
    </comment>
    <comment authorId="0" ref="AB59">
      <text>
        <t xml:space="preserve">======
ID#AAACEw7hNFE
    (2026-08-03 10:52:01)
Codé automatiquement par dérivation de l'univers/catégorie + panier — AUTO · à valider</t>
      </text>
    </comment>
    <comment authorId="0" ref="AC59">
      <text>
        <t xml:space="preserve">======
ID#AAACEw7hNaY
    (2026-08-03 10:52:01)
Codé automatiquement par dérivation de l'univers/catégorie + panier — AUTO · à valider</t>
      </text>
    </comment>
    <comment authorId="0" ref="AD59">
      <text>
        <t xml:space="preserve">======
ID#AAACEw7hMvU
    (2026-08-03 10:52:01)
Codé automatiquement par dérivation de l'univers/catégorie + panier — AUTO · à valider</t>
      </text>
    </comment>
    <comment authorId="0" ref="AE59">
      <text>
        <t xml:space="preserve">======
ID#AAACEw7hOCE
    (2026-08-03 10:52:02)
Codé automatiquement par dérivation de l'univers/catégorie + panier — AUTO · à valider</t>
      </text>
    </comment>
    <comment authorId="0" ref="AF59">
      <text>
        <t xml:space="preserve">======
ID#AAACEw7hOag
    (2026-08-03 10:52:02)
Codé automatiquement par dérivation de l'univers/catégorie + panier — AUTO · à valider</t>
      </text>
    </comment>
    <comment authorId="0" ref="F60">
      <text>
        <t xml:space="preserve">======
ID#AAACEw7hNoI
    (2026-08-03 10:52:01)
GPS + adresse + horaires via Google Places (juin 2026)</t>
      </text>
    </comment>
    <comment authorId="0" ref="Y60">
      <text>
        <t xml:space="preserve">======
ID#AAACEw7hNDs
    (2026-08-03 10:52:01)
Codé automatiquement par dérivation de l'univers/catégorie + panier — AUTO · à valider</t>
      </text>
    </comment>
    <comment authorId="0" ref="Z60">
      <text>
        <t xml:space="preserve">======
ID#AAACEw7hNkA
    (2026-08-03 10:52:01)
Codé automatiquement par dérivation de l'univers/catégorie + panier — AUTO · à valider</t>
      </text>
    </comment>
    <comment authorId="0" ref="AA60">
      <text>
        <t xml:space="preserve">======
ID#AAACEw7hOBY
    (2026-08-03 10:52:02)
Codé automatiquement par dérivation de l'univers/catégorie + panier — AUTO · à valider</t>
      </text>
    </comment>
    <comment authorId="0" ref="AB60">
      <text>
        <t xml:space="preserve">======
ID#AAACEw7hOBo
    (2026-08-03 10:52:02)
Codé automatiquement par dérivation de l'univers/catégorie + panier — AUTO · à valider</t>
      </text>
    </comment>
    <comment authorId="0" ref="AC60">
      <text>
        <t xml:space="preserve">======
ID#AAACEw7hMTc
    (2026-08-03 10:52:00)
Codé automatiquement par dérivation de l'univers/catégorie + panier — AUTO · à valider</t>
      </text>
    </comment>
    <comment authorId="0" ref="AD60">
      <text>
        <t xml:space="preserve">======
ID#AAACEw7hNPQ
    (2026-08-03 10:52:01)
Codé automatiquement par dérivation de l'univers/catégorie + panier — AUTO · à valider</t>
      </text>
    </comment>
    <comment authorId="0" ref="AE60">
      <text>
        <t xml:space="preserve">======
ID#AAACEw7hMI0
    (2026-08-03 10:52:00)
Codé automatiquement par dérivation de l'univers/catégorie + panier — AUTO · à valider</t>
      </text>
    </comment>
    <comment authorId="0" ref="AF60">
      <text>
        <t xml:space="preserve">======
ID#AAACEw7hOOM
    (2026-08-03 10:52:02)
Codé automatiquement par dérivation de l'univers/catégorie + panier — AUTO · à valider</t>
      </text>
    </comment>
    <comment authorId="0" ref="F61">
      <text>
        <t xml:space="preserve">======
ID#AAACEw7hMKo
    (2026-08-03 10:52:00)
GPS + adresse + horaires via Google Places (juin 2026)</t>
      </text>
    </comment>
    <comment authorId="0" ref="Y61">
      <text>
        <t xml:space="preserve">======
ID#AAACEw7hNBs
    (2026-08-03 10:52:01)
Codé automatiquement par dérivation de l'univers/catégorie + panier — AUTO · à valider</t>
      </text>
    </comment>
    <comment authorId="0" ref="Z61">
      <text>
        <t xml:space="preserve">======
ID#AAACEw7hMG4
    (2026-08-03 10:52:00)
Codé automatiquement par dérivation de l'univers/catégorie + panier — AUTO · à valider</t>
      </text>
    </comment>
    <comment authorId="0" ref="AA61">
      <text>
        <t xml:space="preserve">======
ID#AAACEw7hMX0
    (2026-08-03 10:52:00)
Codé automatiquement par dérivation de l'univers/catégorie + panier — AUTO · à valider</t>
      </text>
    </comment>
    <comment authorId="0" ref="AB61">
      <text>
        <t xml:space="preserve">======
ID#AAACEw7hN4U
    (2026-08-03 10:52:02)
Codé automatiquement par dérivation de l'univers/catégorie + panier — AUTO · à valider</t>
      </text>
    </comment>
    <comment authorId="0" ref="AC61">
      <text>
        <t xml:space="preserve">======
ID#AAACEw7hMCU
    (2026-08-03 10:52:00)
Codé automatiquement par dérivation de l'univers/catégorie + panier — AUTO · à valider</t>
      </text>
    </comment>
    <comment authorId="0" ref="AD61">
      <text>
        <t xml:space="preserve">======
ID#AAACEw7hL_o
    (2026-08-03 10:52:00)
Codé automatiquement par dérivation de l'univers/catégorie + panier — AUTO · à valider</t>
      </text>
    </comment>
    <comment authorId="0" ref="AE61">
      <text>
        <t xml:space="preserve">======
ID#AAACEw7hMYY
    (2026-08-03 10:52:00)
Codé automatiquement par dérivation de l'univers/catégorie + panier — AUTO · à valider</t>
      </text>
    </comment>
    <comment authorId="0" ref="AF61">
      <text>
        <t xml:space="preserve">======
ID#AAACEw7hN5E
    (2026-08-03 10:52:02)
Codé automatiquement par dérivation de l'univers/catégorie + panier — AUTO · à valider</t>
      </text>
    </comment>
    <comment authorId="0" ref="Y62">
      <text>
        <t xml:space="preserve">======
ID#AAACEw7hOSI
    (2026-08-03 10:52:02)
Codé automatiquement par dérivation de l'univers/catégorie + panier — AUTO · à valider</t>
      </text>
    </comment>
    <comment authorId="0" ref="Z62">
      <text>
        <t xml:space="preserve">======
ID#AAACEw7hMWo
    (2026-08-03 10:52:00)
Codé automatiquement par dérivation de l'univers/catégorie + panier — AUTO · à valider</t>
      </text>
    </comment>
    <comment authorId="0" ref="AA62">
      <text>
        <t xml:space="preserve">======
ID#AAACEw7hL4A
    (2026-08-03 10:52:00)
Codé automatiquement par dérivation de l'univers/catégorie + panier — AUTO · à valider</t>
      </text>
    </comment>
    <comment authorId="0" ref="AB62">
      <text>
        <t xml:space="preserve">======
ID#AAACEw7hL7Q
    (2026-08-03 10:52:00)
Codé automatiquement par dérivation de l'univers/catégorie + panier — AUTO · à valider</t>
      </text>
    </comment>
    <comment authorId="0" ref="AC62">
      <text>
        <t xml:space="preserve">======
ID#AAACEw7hMzU
    (2026-08-03 10:52:01)
Codé automatiquement par dérivation de l'univers/catégorie + panier — AUTO · à valider</t>
      </text>
    </comment>
    <comment authorId="0" ref="AD62">
      <text>
        <t xml:space="preserve">======
ID#AAACEw7hNmw
    (2026-08-03 10:52:01)
Codé automatiquement par dérivation de l'univers/catégorie + panier — AUTO · à valider</t>
      </text>
    </comment>
    <comment authorId="0" ref="AE62">
      <text>
        <t xml:space="preserve">======
ID#AAACEw7hOC0
    (2026-08-03 10:52:02)
Codé automatiquement par dérivation de l'univers/catégorie + panier — AUTO · à valider</t>
      </text>
    </comment>
    <comment authorId="0" ref="AF62">
      <text>
        <t xml:space="preserve">======
ID#AAACEw7hMJI
    (2026-08-03 10:52:00)
Codé automatiquement par dérivation de l'univers/catégorie + panier — AUTO · à valider</t>
      </text>
    </comment>
    <comment authorId="0" ref="Y63">
      <text>
        <t xml:space="preserve">======
ID#AAACEw7hNQg
    (2026-08-03 10:52:01)
Codé automatiquement par dérivation de l'univers/catégorie + panier — AUTO · à valider</t>
      </text>
    </comment>
    <comment authorId="0" ref="Z63">
      <text>
        <t xml:space="preserve">======
ID#AAACEw7hOTc
    (2026-08-03 10:52:02)
Codé automatiquement par dérivation de l'univers/catégorie + panier — AUTO · à valider</t>
      </text>
    </comment>
    <comment authorId="0" ref="AA63">
      <text>
        <t xml:space="preserve">======
ID#AAACEw7hOHc
    (2026-08-03 10:52:02)
Codé automatiquement par dérivation de l'univers/catégorie + panier — AUTO · à valider</t>
      </text>
    </comment>
    <comment authorId="0" ref="AB63">
      <text>
        <t xml:space="preserve">======
ID#AAACEw7hMbc
    (2026-08-03 10:52:00)
Codé automatiquement par dérivation de l'univers/catégorie + panier — AUTO · à valider</t>
      </text>
    </comment>
    <comment authorId="0" ref="AC63">
      <text>
        <t xml:space="preserve">======
ID#AAACEw7hMrw
    (2026-08-03 10:52:01)
Codé automatiquement par dérivation de l'univers/catégorie + panier — AUTO · à valider</t>
      </text>
    </comment>
    <comment authorId="0" ref="AD63">
      <text>
        <t xml:space="preserve">======
ID#AAACEw7hNa0
    (2026-08-03 10:52:01)
Codé automatiquement par dérivation de l'univers/catégorie + panier — AUTO · à valider</t>
      </text>
    </comment>
    <comment authorId="0" ref="AE63">
      <text>
        <t xml:space="preserve">======
ID#AAACEw7hNQc
    (2026-08-03 10:52:01)
Codé automatiquement par dérivation de l'univers/catégorie + panier — AUTO · à valider</t>
      </text>
    </comment>
    <comment authorId="0" ref="AF63">
      <text>
        <t xml:space="preserve">======
ID#AAACEw7hOGg
    (2026-08-03 10:52:02)
Codé automatiquement par dérivation de l'univers/catégorie + panier — AUTO · à valider</t>
      </text>
    </comment>
    <comment authorId="0" ref="F64">
      <text>
        <t xml:space="preserve">======
ID#AAACEw7hMmw
    (2026-08-03 10:52:00)
GPS + adresse + horaires via Google Places (juin 2026)</t>
      </text>
    </comment>
    <comment authorId="0" ref="Y64">
      <text>
        <t xml:space="preserve">======
ID#AAACEw7hMyE
    (2026-08-03 10:52:01)
Codé automatiquement par dérivation de l'univers/catégorie + panier — AUTO · à valider</t>
      </text>
    </comment>
    <comment authorId="0" ref="Z64">
      <text>
        <t xml:space="preserve">======
ID#AAACEw7hNRE
    (2026-08-03 10:52:01)
Codé automatiquement par dérivation de l'univers/catégorie + panier — AUTO · à valider</t>
      </text>
    </comment>
    <comment authorId="0" ref="AA64">
      <text>
        <t xml:space="preserve">======
ID#AAACEw7hMU4
    (2026-08-03 10:52:00)
Codé automatiquement par dérivation de l'univers/catégorie + panier — AUTO · à valider</t>
      </text>
    </comment>
    <comment authorId="0" ref="AB64">
      <text>
        <t xml:space="preserve">======
ID#AAACEw7hNRg
    (2026-08-03 10:52:01)
Codé automatiquement par dérivation de l'univers/catégorie + panier — AUTO · à valider</t>
      </text>
    </comment>
    <comment authorId="0" ref="AC64">
      <text>
        <t xml:space="preserve">======
ID#AAACEw7hMI8
    (2026-08-03 10:52:00)
Codé automatiquement par dérivation de l'univers/catégorie + panier — AUTO · à valider</t>
      </text>
    </comment>
    <comment authorId="0" ref="AD64">
      <text>
        <t xml:space="preserve">======
ID#AAACEw7hOdg
    (2026-08-03 10:52:02)
Codé automatiquement par dérivation de l'univers/catégorie + panier — AUTO · à valider</t>
      </text>
    </comment>
    <comment authorId="0" ref="AE64">
      <text>
        <t xml:space="preserve">======
ID#AAACEw7hN_4
    (2026-08-03 10:52:02)
Codé automatiquement par dérivation de l'univers/catégorie + panier — AUTO · à valider</t>
      </text>
    </comment>
    <comment authorId="0" ref="AF64">
      <text>
        <t xml:space="preserve">======
ID#AAACEw7hN7Q
    (2026-08-03 10:52:02)
Codé automatiquement par dérivation de l'univers/catégorie + panier — AUTO · à valider</t>
      </text>
    </comment>
    <comment authorId="0" ref="F65">
      <text>
        <t xml:space="preserve">======
ID#AAACEw7hMkU
    (2026-08-03 10:52:00)
GPS + adresse + horaires via Google Places (juin 2026)</t>
      </text>
    </comment>
    <comment authorId="0" ref="Y65">
      <text>
        <t xml:space="preserve">======
ID#AAACEw7hN38
    (2026-08-03 10:52:02)
Codé automatiquement par dérivation de l'univers/catégorie + panier — AUTO · à valider</t>
      </text>
    </comment>
    <comment authorId="0" ref="Z65">
      <text>
        <t xml:space="preserve">======
ID#AAACEw7hN8k
    (2026-08-03 10:52:02)
Codé automatiquement par dérivation de l'univers/catégorie + panier — AUTO · à valider</t>
      </text>
    </comment>
    <comment authorId="0" ref="AA65">
      <text>
        <t xml:space="preserve">======
ID#AAACEw7hNc8
    (2026-08-03 10:52:01)
Codé automatiquement par dérivation de l'univers/catégorie + panier — AUTO · à valider</t>
      </text>
    </comment>
    <comment authorId="0" ref="AB65">
      <text>
        <t xml:space="preserve">======
ID#AAACEw7hMIA
    (2026-08-03 10:52:00)
Codé automatiquement par dérivation de l'univers/catégorie + panier — AUTO · à valider</t>
      </text>
    </comment>
    <comment authorId="0" ref="AC65">
      <text>
        <t xml:space="preserve">======
ID#AAACEw7hOoQ
    (2026-08-03 10:52:02)
Codé automatiquement par dérivation de l'univers/catégorie + panier — AUTO · à valider</t>
      </text>
    </comment>
    <comment authorId="0" ref="AD65">
      <text>
        <t xml:space="preserve">======
ID#AAACEw7hMFo
    (2026-08-03 10:52:00)
Codé automatiquement par dérivation de l'univers/catégorie + panier — AUTO · à valider</t>
      </text>
    </comment>
    <comment authorId="0" ref="AE65">
      <text>
        <t xml:space="preserve">======
ID#AAACEw7hMyw
    (2026-08-03 10:52:01)
Codé automatiquement par dérivation de l'univers/catégorie + panier — AUTO · à valider</t>
      </text>
    </comment>
    <comment authorId="0" ref="AF65">
      <text>
        <t xml:space="preserve">======
ID#AAACEw7hMrg
    (2026-08-03 10:52:01)
Codé automatiquement par dérivation de l'univers/catégorie + panier — AUTO · à valider</t>
      </text>
    </comment>
    <comment authorId="0" ref="F66">
      <text>
        <t xml:space="preserve">======
ID#AAACEw7hOk8
    (2026-08-03 10:52:02)
GPS + adresse + horaires via Google Places (juin 2026)</t>
      </text>
    </comment>
    <comment authorId="0" ref="Y66">
      <text>
        <t xml:space="preserve">======
ID#AAACEw7hMLA
    (2026-08-03 10:52:00)
Codé automatiquement par dérivation de l'univers/catégorie + panier — AUTO · à valider</t>
      </text>
    </comment>
    <comment authorId="0" ref="Z66">
      <text>
        <t xml:space="preserve">======
ID#AAACEw7hOE4
    (2026-08-03 10:52:02)
Codé automatiquement par dérivation de l'univers/catégorie + panier — AUTO · à valider</t>
      </text>
    </comment>
    <comment authorId="0" ref="AA66">
      <text>
        <t xml:space="preserve">======
ID#AAACEw7hMts
    (2026-08-03 10:52:01)
Codé automatiquement par dérivation de l'univers/catégorie + panier — AUTO · à valider</t>
      </text>
    </comment>
    <comment authorId="0" ref="AB66">
      <text>
        <t xml:space="preserve">======
ID#AAACEw7hM2U
    (2026-08-03 10:52:01)
Codé automatiquement par dérivation de l'univers/catégorie + panier — AUTO · à valider</t>
      </text>
    </comment>
    <comment authorId="0" ref="AC66">
      <text>
        <t xml:space="preserve">======
ID#AAACEw7hONo
    (2026-08-03 10:52:02)
Codé automatiquement par dérivation de l'univers/catégorie + panier — AUTO · à valider</t>
      </text>
    </comment>
    <comment authorId="0" ref="AD66">
      <text>
        <t xml:space="preserve">======
ID#AAACEw7hM7s
    (2026-08-03 10:52:01)
Codé automatiquement par dérivation de l'univers/catégorie + panier — AUTO · à valider</t>
      </text>
    </comment>
    <comment authorId="0" ref="AE66">
      <text>
        <t xml:space="preserve">======
ID#AAACEw7hOnQ
    (2026-08-03 10:52:02)
Codé automatiquement par dérivation de l'univers/catégorie + panier — AUTO · à valider</t>
      </text>
    </comment>
    <comment authorId="0" ref="AF66">
      <text>
        <t xml:space="preserve">======
ID#AAACEw7hN9E
    (2026-08-03 10:52:02)
Codé automatiquement par dérivation de l'univers/catégorie + panier — AUTO · à valider</t>
      </text>
    </comment>
  </commentList>
  <extLst>
    <ext uri="GoogleSheetsCustomDataVersion2">
      <go:sheetsCustomData xmlns:go="http://customooxmlschemas.google.com/" r:id="rId1" roundtripDataSignature="AMtx7mjZY1w5VqxGmfrHnDT9jyPUh/Fqgg=="/>
    </ext>
  </extL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ID#AAACEw7hN1U
Salima Benchekroun    (2026-08-03 10:52:01)
Aide technique — liste dynamique du budget (C19). Si C18 = SUR MESURE ABSOLU → BG-LIBRE seul ; sinon BG1–BG5. Ne pas supprimer.</t>
      </text>
    </comment>
  </commentList>
  <extLst>
    <ext uri="GoogleSheetsCustomDataVersion2">
      <go:sheetsCustomData xmlns:go="http://customooxmlschemas.google.com/" r:id="rId1" roundtripDataSignature="AMtx7mjWtAiADlYVIrf/c6J+Tf9jX9A+eA=="/>
    </ext>
  </extLst>
</comments>
</file>

<file path=xl/sharedStrings.xml><?xml version="1.0" encoding="utf-8"?>
<sst xmlns="http://schemas.openxmlformats.org/spreadsheetml/2006/main" count="35899" uniqueCount="8010">
  <si>
    <t>🔖 CODES DE RÉFÉRENCE — ✅ V1 vérifié (BIBLE) · réordonné selon le PARCOURS WEB · 4 systèmes : WEB · ONB · MOTEUR/CRM · APP</t>
  </si>
  <si>
    <t>🧩 REF_CODES · MIROIR VIVANT de « 🔖 CODES DE RÉFÉRENCE » · LIBELLÉ (C) + DESCRIPTION (D) + CODE+LIBELLÉ (J) = formules XLOOKUP auto-synchronisées depuis la bible (toute modif de libellé/description dans la bible se répercute ici automatiquement). ⚠️ NE PAS éditer C/D/J à la main. Colonne CODE (B) FIGÉE = ancre des ~1759 lookups · ne pas réordonner/insérer/supprimer de lignes. Ajout/suppression de code dans la bible = resync manuel du code (B) + carte des plages ci-dessous (demandez-moi).</t>
  </si>
  <si>
    <t>🌐 PAGE WEB · PARCOURS CLIENT</t>
  </si>
  <si>
    <t>🏷️ MASTER_TAGS · tags de matching mutualisés · alignés sur 🔖 CODES DE RÉFÉRENCE (bible) · ✅ V1 vérifié</t>
  </si>
  <si>
    <t>Source de vérité du parcours utilisateur SOLYVENTS · 5 étapes · de la configuration à la confirmation</t>
  </si>
  <si>
    <t>📜 DOCTRINE · Le MOTEUR/CRM ne génère jamais une donnée ex nihilo : ses algorithmes s'appuient sur les données récoltées à l'ONBOARDING. Onboarding = matière première · Moteur = transformation.</t>
  </si>
  <si>
    <t>FAMILLE</t>
  </si>
  <si>
    <t>✅ V1 · vérifié · aligné sur 🔖 CODES DE RÉFÉRENCE</t>
  </si>
  <si>
    <t>CODE</t>
  </si>
  <si>
    <t>━━━━━ ▼ BLOC CLIENT · familles du PARCOURS WEB (WEB ✓) ━━━━━</t>
  </si>
  <si>
    <t>LIBELLÉ</t>
  </si>
  <si>
    <t>DESCRIPTION</t>
  </si>
  <si>
    <t>📌 SOURCE DE VÉRITÉ DU PARCOURS CLIENT</t>
  </si>
  <si>
    <t>WEB</t>
  </si>
  <si>
    <t>NOM FAMILLE</t>
  </si>
  <si>
    <t>ONB</t>
  </si>
  <si>
    <t>Cet onglet décrit l'expérience client (ce qu'il VOIT, ce qu'il CHOISIT, et les RÈGLES MÉTIER de chaque saisie).
Les CODES et LIBELLÉS font foi dans 🔖 CODES DE RÉFÉRENCE (Bible data → CRM) : le référentiel s'aligne sur le dictionnaire, pas l'inverse.
Parcours et dictionnaire sont complémentaires : l'un définit l'expérience, l'autre l'identité des codes.</t>
  </si>
  <si>
    <t>━━ OR · ORIENTATION CLIENT (5 codes) ━━ ESPRIT DU SEJOUR</t>
  </si>
  <si>
    <t>MOTEUR/CRM</t>
  </si>
  <si>
    <t>TYPE MATCHING</t>
  </si>
  <si>
    <t>APP</t>
  </si>
  <si>
    <t>ONGLETS</t>
  </si>
  <si>
    <t>STATUT</t>
  </si>
  <si>
    <t>CODE + LIBELLÉ</t>
  </si>
  <si>
    <t>⚙️ DOCTRINE FONDAMENTALE · STRUCTURE vs CONTENU</t>
  </si>
  <si>
    <t>→ ÉQUIV. BIBLE / ARBITRAGE</t>
  </si>
  <si>
    <t>OR</t>
  </si>
  <si>
    <t>PUBLIC</t>
  </si>
  <si>
    <t>Les éléments listés dans cet onglet (codes AU-*, RA-D*, RA-N*, NL-*, AK-*) ne sont PAS figés dans le référentiel : ce sont des STRUCTURES.
La VÉRITÉ vient du CRM SOLYVENTS :
• Le RÉFÉRENTIEL définit la STRUCTURE (catégories / sous-catégories / codes)
• Le CRM contient le CONTENU (prestations concrètes de fiches presta validées en statut QUA ou DER)
• Le MOTEUR orchestre le MATCHING client ↔ presta
À chaque slot du parcours, les éléments affichés au client sont DÉVERSÉS depuis le CRM (fiches presta disponibles au moment de la consultation).</t>
  </si>
  <si>
    <t>OR-ZEN</t>
  </si>
  <si>
    <t>Occupation cible / publics</t>
  </si>
  <si>
    <t>PUB-ADU</t>
  </si>
  <si>
    <t>Adultes uniquement</t>
  </si>
  <si>
    <t>═══ ÉTAPE 1 · CONFIGURATION DU SÉJOUR ═══</t>
  </si>
  <si>
    <t>filtre + tri</t>
  </si>
  <si>
    <t>TOUS</t>
  </si>
  <si>
    <t>PUB-ADU · Adultes uniquement</t>
  </si>
  <si>
    <t>PUB-CPL</t>
  </si>
  <si>
    <t>Couple</t>
  </si>
  <si>
    <t>1.1 · 📅 DATES DU SÉJOUR</t>
  </si>
  <si>
    <t>USAGE</t>
  </si>
  <si>
    <t>PUB-CPL · Couple</t>
  </si>
  <si>
    <t>Saisie</t>
  </si>
  <si>
    <t>PUB-FAM</t>
  </si>
  <si>
    <t>Famille</t>
  </si>
  <si>
    <t>Date d'arrivée + Date de départ</t>
  </si>
  <si>
    <t>ZEN &amp; BIEN-ÊTRE</t>
  </si>
  <si>
    <t>Déduit auto</t>
  </si>
  <si>
    <t>PUB-FAM · Famille</t>
  </si>
  <si>
    <t>Boost spa/yoga/healing · sérénité</t>
  </si>
  <si>
    <t>• Nombre de nuits
• Nombre de jours à programmer en ÉTAPE 2</t>
  </si>
  <si>
    <t>✓</t>
  </si>
  <si>
    <t>PUB-GRP</t>
  </si>
  <si>
    <t>Groupe</t>
  </si>
  <si>
    <t>1.2 · 👥 COMPOSITION DU GROUPE</t>
  </si>
  <si>
    <t>PUB-GRP · Groupe</t>
  </si>
  <si>
    <t>–</t>
  </si>
  <si>
    <t>• Compteur Nombre d'ADULTES
• Compteur Nombre d'ENFANTS
• ÂGE de chaque enfant (nécessaire pour pré-calc chambres et slot Enfants)</t>
  </si>
  <si>
    <t>✅ V1</t>
  </si>
  <si>
    <t>Parcours web · Matching</t>
  </si>
  <si>
    <t>PUB-PRO</t>
  </si>
  <si>
    <t>⚙️ Règle</t>
  </si>
  <si>
    <t>Professionnel</t>
  </si>
  <si>
    <t>IF nb_enfants &gt; 0 → afficher slot "ENFANTS" en ÉTAPE 2</t>
  </si>
  <si>
    <t>OR-ROM</t>
  </si>
  <si>
    <t>ROMANTIQUE</t>
  </si>
  <si>
    <t>PUB-PRO · Professionnel</t>
  </si>
  <si>
    <t>Boost suite privée · rooftop sunset · dîner désert</t>
  </si>
  <si>
    <t>1.3 · 🚉 MODE D'ARRIVÉE À MARRAKECH</t>
  </si>
  <si>
    <t>Question single-select : Par quel moyen vous rendrez-vous à Marrakech ?</t>
  </si>
  <si>
    <t>✈️ Avion</t>
  </si>
  <si>
    <t>PUB-SOL</t>
  </si>
  <si>
    <t>Solo</t>
  </si>
  <si>
    <t>Message auto : "Je confie à SOLY le soin de gérer l'ensemble de mes déplacements" → gestion_transport = SOLY_GERE (forcé)</t>
  </si>
  <si>
    <t>PUB-SOL · Solo</t>
  </si>
  <si>
    <t>OR-FAM</t>
  </si>
  <si>
    <t>AMB</t>
  </si>
  <si>
    <t>FAMILIAL</t>
  </si>
  <si>
    <t>🚄 Train</t>
  </si>
  <si>
    <t>Boost resort · villa · kids club</t>
  </si>
  <si>
    <t>Ambiance</t>
  </si>
  <si>
    <t>Message auto : idem AVION → gestion_transport = SOLY_GERE (forcé)</t>
  </si>
  <si>
    <t>🚗 Voiture</t>
  </si>
  <si>
    <t>AMB-ROM</t>
  </si>
  <si>
    <t>Deux cases à cocher proposées :
 ☐ "Je gère seul mes déplacements" → gestion_transport = CLIENT_GERE
 ☐ "Je confie à SOLY le soin de gérer l'ensemble de mes déplacements" → gestion_transport = SOLY_GERE</t>
  </si>
  <si>
    <t>Variables</t>
  </si>
  <si>
    <t>tri (scoring)</t>
  </si>
  <si>
    <t>• mode_arrivee (enum : AVION / TRAIN / VOITURE) → NIVEAU 1
• gestion_transport (enum : SOLY_GERE / CLIENT_GERE) → NIVEAU 1
PAS de famille de codes dédiée · simple champ technique</t>
  </si>
  <si>
    <t>HEB·RES·ACT·ESP·POI</t>
  </si>
  <si>
    <t>1.4 · 🎨 ESPRIT DU SÉJOUR · OR-*</t>
  </si>
  <si>
    <t>AMB-ROM · ROMANTIQUE</t>
  </si>
  <si>
    <t>OR-FES</t>
  </si>
  <si>
    <t>Affichage</t>
  </si>
  <si>
    <t>5 cartes visuelles · single-select obligatoire</t>
  </si>
  <si>
    <t>FESTIF</t>
  </si>
  <si>
    <t>Boost villa privatisable · rooftop · DJ · nightlife</t>
  </si>
  <si>
    <t>AMB-ZEN</t>
  </si>
  <si>
    <t>AMB-ZEN · ZEN &amp; BIEN-ÊTRE</t>
  </si>
  <si>
    <t>✕ Incompatible avec AMB-FES (zen vs festif) · règle reportée de la bible</t>
  </si>
  <si>
    <t>OR-PRO</t>
  </si>
  <si>
    <t>PROFESSIONNEL</t>
  </si>
  <si>
    <t>1.5 · 🏨 PRISE EN CHARGE HÉBERGEMENT PAR SOLYVENTS</t>
  </si>
  <si>
    <t>Question</t>
  </si>
  <si>
    <t>Oui / Non</t>
  </si>
  <si>
    <t>⚙️ Si NON</t>
  </si>
  <si>
    <t>AMB-FES</t>
  </si>
  <si>
    <t>Pas de questions 1.5.1/1.5.2/1.5.3 · passage direct à ÉTAPE 2</t>
  </si>
  <si>
    <t>Boost hôtel 5⁎ · palace · lounge business</t>
  </si>
  <si>
    <t>⚙️ Si OUI</t>
  </si>
  <si>
    <t>Sous-questions 1.5.1 + 1.5.2 + 1.5.3 obligatoires</t>
  </si>
  <si>
    <t>AMB-FES · FESTIF</t>
  </si>
  <si>
    <t>✕ Incompatible avec AMB-ZEN (festif vs zen) · règle reportée de la bible</t>
  </si>
  <si>
    <t>1.5.1 · 🛏️</t>
  </si>
  <si>
    <t>NOMBRE DE CHAMBRES</t>
  </si>
  <si>
    <t>━━ HB · HÉBERGEMENT (6 codes) ━━ TYPE HEBERGEMENT</t>
  </si>
  <si>
    <t>AMB-PRO</t>
  </si>
  <si>
    <t>Algorithme</t>
  </si>
  <si>
    <t>Compteur PRÉ-CALCULÉ par défaut selon règle :
• 2 adultes / chambre par défaut
• Enfants &lt; 12 ans → dans chambre des parents (avec les parents en hôtel)
• Enfants ≥ 12 ans → 1 chambre supplémentaire
Ajustement possible par le client (peut augmenter ou diminuer)</t>
  </si>
  <si>
    <t>Exemples</t>
  </si>
  <si>
    <t>• 2 adultes + 1 enfant 5 ans = 1 chambre
• 2 adultes + 2 enfants 7 et 10 ans = 1 chambre
• 2 adultes + 1 enfant 14 ans = 2 chambres
• 4 adultes = 2 chambres
• 4 adultes + 1 ado 15 ans = 3 chambres</t>
  </si>
  <si>
    <t>AMB-PRO · PROFESSIONNEL</t>
  </si>
  <si>
    <t>1.5.2 · 🏛️</t>
  </si>
  <si>
    <t>ATMOSPHÈRE DU SÉJOUR · HB-*</t>
  </si>
  <si>
    <t>AMB-FAM</t>
  </si>
  <si>
    <t>6 cartes · single-select</t>
  </si>
  <si>
    <t>HB-HOT</t>
  </si>
  <si>
    <t>AMB-FAM · FAMILIAL</t>
  </si>
  <si>
    <t>HOTEL &amp; RESORT</t>
  </si>
  <si>
    <t>Esprit du séjour (client)</t>
  </si>
  <si>
    <t>HB-INC</t>
  </si>
  <si>
    <t>INCONTOURNABLE</t>
  </si>
  <si>
    <t>HB</t>
  </si>
  <si>
    <t>HEB·RES·ACT·POI</t>
  </si>
  <si>
    <t>OR-ZEN · ZEN &amp; BIEN-ÊTRE</t>
  </si>
  <si>
    <t>HB-RIA</t>
  </si>
  <si>
    <t>RIAD &amp; PATRIMOINE</t>
  </si>
  <si>
    <t>Hôtel 4⁎ · Hôtel 5⁎ · Resort</t>
  </si>
  <si>
    <t>HB-COL</t>
  </si>
  <si>
    <t>OR-ROM · ROMANTIQUE</t>
  </si>
  <si>
    <t>COLLECTION PRIVÉE</t>
  </si>
  <si>
    <t>HB-NAT</t>
  </si>
  <si>
    <t>NATURE &amp; HORIZON</t>
  </si>
  <si>
    <t>OR-FAM · FAMILIAL</t>
  </si>
  <si>
    <t>HB-SUR</t>
  </si>
  <si>
    <t>Palace · Relais &amp; Châteaux · Boutique hôtel</t>
  </si>
  <si>
    <t>SUR MESURE ABSOLU · combinaison de 2+ types d'hébergement (voyage multi-lieux) · budget FORCÉ à BG-LIBRE (aucune tranche à choisir)</t>
  </si>
  <si>
    <t>OR-FES · FESTIF</t>
  </si>
  <si>
    <t>1.5.3 · 💰</t>
  </si>
  <si>
    <t>TRANCHE BUDGET / CHAMBRE / NUIT · BG-* — BG1–BG5 pour hébergement classique ; BG-LIBRE réservé à HB-SUR</t>
  </si>
  <si>
    <t>OR-PRO · PROFESSIONNEL</t>
  </si>
  <si>
    <t>BG</t>
  </si>
  <si>
    <t>Budget</t>
  </si>
  <si>
    <t>Riad · Palais d'hôtes</t>
  </si>
  <si>
    <t>BG1</t>
  </si>
  <si>
    <t>Moins de 300 €</t>
  </si>
  <si>
    <t>filtre dur</t>
  </si>
  <si>
    <t>HEB·HB-COL·RES·ESP</t>
  </si>
  <si>
    <t>BG1 · Moins de 300 €</t>
  </si>
  <si>
    <t>BG2</t>
  </si>
  <si>
    <t>300 – 500 €</t>
  </si>
  <si>
    <t>BG2 · 300 – 500 €</t>
  </si>
  <si>
    <t>BG3</t>
  </si>
  <si>
    <t>Riad privatisable · Villa privée · Domaine privé</t>
  </si>
  <si>
    <t>500 – 800 €</t>
  </si>
  <si>
    <t>BG4</t>
  </si>
  <si>
    <t>BG3 · 500 – 800 €</t>
  </si>
  <si>
    <t>800 – 1 200 €</t>
  </si>
  <si>
    <t>BG5</t>
  </si>
  <si>
    <t>Desert Camp · Desert Resort · Lodge</t>
  </si>
  <si>
    <t>1 200 € et +</t>
  </si>
  <si>
    <t>BG4 · 800 – 1 200 €</t>
  </si>
  <si>
    <t>BG-LIBRE</t>
  </si>
  <si>
    <t>SUR MESURE · sélection AUTOMATIQUE et uniquement si HB-SUR · masqué pour les hébergements classiques (HB-HOT/INC/RIA/COL/NAT → BG1–BG5)</t>
  </si>
  <si>
    <t>BG5 · 1 200 € et +</t>
  </si>
  <si>
    <t>SUR MESURE</t>
  </si>
  <si>
    <t>Fin ÉTAPE 1</t>
  </si>
  <si>
    <t>aucun filtre (tri seul) · réservé HB-SUR</t>
  </si>
  <si>
    <t>SUR MESURE ABSOLU</t>
  </si>
  <si>
    <t>Message client : "Le devis hébergement vous sera posté sous 24h dans votre espace SOLYVENTS"
→ Passage à ÉTAPE 2</t>
  </si>
  <si>
    <t>BG-LIBRE · SUR MESURE</t>
  </si>
  <si>
    <t>MODE COMBINAISON : le client assemble 2 types d'hébergement OU PLUS sur le séjour (ex : riad médina + camp désert). N'est PAS un 6e type — voyage multi-lieux composé par SOLY. · IMPOSE automatiquement BG-LIBRE (le client ne choisit pas de tranche BG1–BG5).</t>
  </si>
  <si>
    <t>ST</t>
  </si>
  <si>
    <t>Standing</t>
  </si>
  <si>
    <t>ST-PRE</t>
  </si>
  <si>
    <t>PREMIUM</t>
  </si>
  <si>
    <t>═══ ÉTAPE 2 · VOTRE EXPÉRIENCE ═══</t>
  </si>
  <si>
    <t>tri</t>
  </si>
  <si>
    <t>━━ BG · BUDGET (6 codes) ━━ BUDGET HEBERGEMENT PAR NUIT ET PAR CHAMBRE</t>
  </si>
  <si>
    <t>ST-PRE · PREMIUM</t>
  </si>
  <si>
    <t>2.1 · 🎉 ÉVÉNEMENT À CÉLÉBRER</t>
  </si>
  <si>
    <t>ST-SIG</t>
  </si>
  <si>
    <t>Avez-vous un événement à célébrer durant votre séjour ? Oui / Non</t>
  </si>
  <si>
    <t>SIGNATURE</t>
  </si>
  <si>
    <t>Sous-question 2.1.1 : choix EV-*</t>
  </si>
  <si>
    <t>Passage direct au programme jour par jour</t>
  </si>
  <si>
    <t>ST-SIG · SIGNATURE</t>
  </si>
  <si>
    <t>2.1.1</t>
  </si>
  <si>
    <t>Choix de l'événement EV-* · QUOTAS MINIMUM par type · NB : ANNIVERSAIRE est une catégorie PARENTE à 2 sous-choix (festif / familial)</t>
  </si>
  <si>
    <t>ST-ULT</t>
  </si>
  <si>
    <t>ULTRA EXCLUSIF</t>
  </si>
  <si>
    <t>EV-AFE</t>
  </si>
  <si>
    <t>↓ ANNIVERSAIRE · FESTIF (EV-AFE) · MINIMUM 5 participants (obligatoire) · contexte adultes</t>
  </si>
  <si>
    <t>ST-ULT · ULTRA EXCLUSIF</t>
  </si>
  <si>
    <t>EV-AFA</t>
  </si>
  <si>
    <t>ACCÈS</t>
  </si>
  <si>
    <t>↓ ANNIVERSAIRE · FAMILIAL (EV-AFA) · MINIMUM 5 participants (obligatoire) · SEUL événement ouvrant le choix du nb d'enfants (compteur étape 1 inchangé par ailleurs)</t>
  </si>
  <si>
    <t>Type d'accès au lieu</t>
  </si>
  <si>
    <t>ACC-PUB</t>
  </si>
  <si>
    <t>Ouvert au public</t>
  </si>
  <si>
    <t>filtre</t>
  </si>
  <si>
    <t>EV-DEM</t>
  </si>
  <si>
    <t>HEBERGEMENT·RESTAURANT·ACTIVITES·POI·SOIREE·ESPACES</t>
  </si>
  <si>
    <t>DEMANDE EN MARIAGE · 2 adultes · SEULE EXCEPTION à la règle des 5 (pas de minimum)</t>
  </si>
  <si>
    <t>ACC-PUB · Ouvert au public</t>
  </si>
  <si>
    <t>Budget moyen / nuit / chambre</t>
  </si>
  <si>
    <t>EV-EVJF</t>
  </si>
  <si>
    <t>EVJF · MINIMUM 5 participants (obligatoire)</t>
  </si>
  <si>
    <t>ACC-CLI</t>
  </si>
  <si>
    <t>Réservé à la clientèle</t>
  </si>
  <si>
    <t>EV-EVG</t>
  </si>
  <si>
    <t>EVG · MINIMUM 5 participants (obligatoire)</t>
  </si>
  <si>
    <t>EV-AUT</t>
  </si>
  <si>
    <t>ACC-CLI · Réservé à la clientèle</t>
  </si>
  <si>
    <t>AUTRE · champ libre "à décrire" · seuils à clarifier au cas par cas</t>
  </si>
  <si>
    <t>Parcours web · Onboarding · Matching</t>
  </si>
  <si>
    <t>⚙️ Règle moteur</t>
  </si>
  <si>
    <t>ACC-PRV</t>
  </si>
  <si>
    <t>ACCÈS ÉVÉNEMENT · MINIMUM 5 PARTICIPANTS obligatoire pour TOUS les EV-* — SEULE EXCEPTION : EV-DEM (demande en mariage = 2 adultes). IF nb_participants (étape 1) &lt; 5 et EV ≠ EV-DEM → PACK INDISPONIBLE : l'événement est masqué/désactivé, message « Événement accessible à partir de 5 participants » (blocage dur). EV-AUT : seuils au cas par cas SOLY.</t>
  </si>
  <si>
    <t>Privatisable / sur demande</t>
  </si>
  <si>
    <t>ACC-PRV · Privatisable / sur demande</t>
  </si>
  <si>
    <t>🎁 PACK ÉVÉNEMENT</t>
  </si>
  <si>
    <t>CONTRAINTE</t>
  </si>
  <si>
    <t>Contraintes opérationnelles</t>
  </si>
  <si>
    <t>V1 · doctrine PACK ÉVÉNEMENT (déversement CRM)
Quand un EV-* est coché (sauf EV-AUT), le moteur déverse depuis le CRM SOLYVENTS 2 PACKS ÉVÉNEMENT pour ce type d'événement :
 • PACK 1 · niveau d'entrée
 • PACK 2 · niveau supérieur
Chaque PACK contient (défini dans la fiche CRM · ajusté selon le NOMBRE DE PARTICIPANTS) :
 • Créneau séjour réservé (jour + slots) — grise les activités 2.4→2.8 du créneau · 2.9 (activité enfant) reste disponible
 • Activité (AU-*)
 • Repas (RA-D* / RA-N*)
 • Animation (EVT-*)
 • Prestataires événementiels (EVT-* : DJ, traiteur, déco, fleuriste…)
 • Sécurité événementielle (SE-ESC / SE-EVE / SE-MUL selon le nombre de personnes)
 • Espaces privatisables (EP-*)
 • Transport (TR-*)
 • Budget total du pack (prix de revient + honoraires SOLY)
Le client voit les 2 PACKS · 2 cartes · DÉTAIL COMPLET visible (transparence luxe) · single-select obligatoire entre les 2.
⚠️ PACK FERMÉ · à prendre tel quel · pas de personnalisation. Besoin spécifique → bascule EV-AUT (cas par cas SOLY).
⚙️ Cas EV-AUT (Autre événement) :
 • Pas de PACKS CRM prédéfinis
 • Message client : « Un conseiller SOLY vous contactera sous 24h »
 • Le client CONTINUE le parcours normalement (2.2 → 2.11)
 • SOLY ASSISTANCE personnalise en parallèle
📌 STRUCTURE vs CONTENU :
 • Le RÉFÉRENTIEL définit la doctrine (2 packs · client choisit · pack fermé)
 • Le CRM contient le détail chiffré des fiches PACK → onglet 🎁 PACKS ÉVÉNEMENT
 • Le MOTEUR orchestre le déversement (règles d'inclusion par type EV-* dans ⚙️ MOTEUR)</t>
  </si>
  <si>
    <t>NO_SMOKING</t>
  </si>
  <si>
    <t>Non-fumeur strict</t>
  </si>
  <si>
    <t>HEB·RES·ESP</t>
  </si>
  <si>
    <t>NO_SMOKING · Non-fumeur strict</t>
  </si>
  <si>
    <t>Attribut lieu (moteur) · hors bible · pas d'équivalent client</t>
  </si>
  <si>
    <t>2.2 · 📅 PROGRAMME JOUR PAR JOUR</t>
  </si>
  <si>
    <t>NO_ALCOHOL_PUB</t>
  </si>
  <si>
    <t>Génération</t>
  </si>
  <si>
    <t>Alcool en privé uniquement</t>
  </si>
  <si>
    <t>Onglets auto-générés selon les dates 1.1 :
• JOUR 1 · [date]
• JOUR 2 · [date]
• ...
• JOUR N · [date]</t>
  </si>
  <si>
    <t>⚙️ Règle min activités</t>
  </si>
  <si>
    <t>NO_ALCOHOL_PUB · Alcool en privé uniquement</t>
  </si>
  <si>
    <t>V1 · Chaque journée du séjour doit comporter au minimum 2 sélections parmi les expériences proposées (AU, AK, RA, NL)
Une journée comportant moins de 2 sélections ne peut pas être validée.</t>
  </si>
  <si>
    <t>Attribut lieu : le lieu sert de l'alcool en privé uniquement (le client ne le voit pas en public).</t>
  </si>
  <si>
    <t>💬 Accroche client (page web)</t>
  </si>
  <si>
    <t>Composez chaque journée selon vos envies
Quelques choix suffisent pour enclencher SOLÝ. Sélectionnez au minimum 2 expériences par jour, nous orchestrerons le reste.</t>
  </si>
  <si>
    <t>NO_LATE_MUSIC</t>
  </si>
  <si>
    <t>Musique limitée après 23h</t>
  </si>
  <si>
    <t>2.3 · 📍 LIEU (menu déroulant)</t>
  </si>
  <si>
    <t>NO_LATE_MUSIC · Musique limitée après 23h</t>
  </si>
  <si>
    <t>Attribut lieu (moteur) · hors bible · contrainte sonore</t>
  </si>
  <si>
    <t>Valeurs</t>
  </si>
  <si>
    <t>NPH</t>
  </si>
  <si>
    <t>• Marrakech (seul lieu actuellement)
• Menu extensible à d'autres villes (référentiel mondial cible)</t>
  </si>
  <si>
    <t>Politique « no photo »</t>
  </si>
  <si>
    <t>⚙️ Doctrine V1</t>
  </si>
  <si>
    <t>V1 · LIEU = destination UNIQUE pour tout le séjour.
Tout le programme jour par jour se déroule dans cette ville.
(Pas de combo multi-villes dans un même séjour · 1 lieu = 1 séjour)</t>
  </si>
  <si>
    <t>NPH · Politique « no photo »</t>
  </si>
  <si>
    <t>Attribut lieu (moteur) · hors bible · politique discrétion</t>
  </si>
  <si>
    <t>⚙️ DOCTRINE V1 · MULTI-SELECT SUR LES SLOTS</t>
  </si>
  <si>
    <t>NEIGH_SENSITIVE</t>
  </si>
  <si>
    <t>Voisinage sensible</t>
  </si>
  <si>
    <t>Sur chaque slot horaire (2.4 / 2.5 / 2.6 / 2.7 / 2.8 / 2.9), le MULTI-SELECT est activé :
• Le client coche autant d'univers qu'il veut (AU-* / RA-D* / RA-N* / NL-* / AK-*)
• Le moteur déverse les options du CRM correspondantes aux univers cochés
• Le client choisit librement parmi les options déversées
• Le devis somme automatiquement les expériences en y integrant le transport TR 
• SOLY orchestre la répartition entre les voyageurs derrière (en post-paiement)
Pourquoi multi-select : un séjour SOLYVENTS peut avoir plusieurs voyageurs avec des préférences différentes sur un même slot. Le parcours ne demande PAS d'identifier nominativement chaque voyageur · SOLY gère cette répartition en backoffice.</t>
  </si>
  <si>
    <t>NEIGH_SENSITIVE · Voisinage sensible</t>
  </si>
  <si>
    <t>Attribut lieu (moteur) · hors bible · contrainte voisinage</t>
  </si>
  <si>
    <t>2.4 · 🌅 MATINÉE (slot 1) · codes AU-* (univers d'activité)</t>
  </si>
  <si>
    <t>ACC_PMR</t>
  </si>
  <si>
    <t>Accès PMR / Handicap</t>
  </si>
  <si>
    <t>AU-EXC</t>
  </si>
  <si>
    <t>EXCURSION À LA JOURNÉE · ⚠️ EXCLUSIF · contenu déversé depuis CRM</t>
  </si>
  <si>
    <t>ACC_PMR · Accès PMR / Handicap</t>
  </si>
  <si>
    <t>AU-BIE</t>
  </si>
  <si>
    <t>Attribut lieu (moteur) · hors bible · accessibilité PMR (candidat filtre futur)</t>
  </si>
  <si>
    <t>BIEN-ÊTRE &amp; RELAXATION · contenu déversé depuis CRM</t>
  </si>
  <si>
    <t>USAGE_EVT</t>
  </si>
  <si>
    <t>AU-DES</t>
  </si>
  <si>
    <t>Usages événementiels</t>
  </si>
  <si>
    <t>DÉSERT &amp; HORIZONS · contenu déversé depuis CRM</t>
  </si>
  <si>
    <t>ANNIV_FAM</t>
  </si>
  <si>
    <t>Anniversaire familial</t>
  </si>
  <si>
    <t>AU-SPO</t>
  </si>
  <si>
    <t>HEB·ESP·EVT</t>
  </si>
  <si>
    <t>SPORT &amp; ÉNERGIE · contenu déversé depuis CRM</t>
  </si>
  <si>
    <t>ANNIV_FAM · Anniversaire familial</t>
  </si>
  <si>
    <t>EV-AFA · Anniversaire familial (client)</t>
  </si>
  <si>
    <t>AU-CUL</t>
  </si>
  <si>
    <t>CULTURE &amp; IMMERSION · contenu déversé depuis CRM</t>
  </si>
  <si>
    <t>ANNIV_FES</t>
  </si>
  <si>
    <t>AU-ELI</t>
  </si>
  <si>
    <t>Anniversaire festif</t>
  </si>
  <si>
    <t>Budget sur mesure (composé) · désactive le filtre · EXCLUSIVEMENT lié à HB-SUR — jamais proposé avec un hébergement classique (HB-HOT/INC/RIA/COL/NAT), qui utilisent BG1–BG5.</t>
  </si>
  <si>
    <t>ÉLITE &amp; SIGNATURE · contenu déversé depuis CRM</t>
  </si>
  <si>
    <t>⚙️ RÈGLE EXCLU</t>
  </si>
  <si>
    <t>ANNIV_FES · Anniversaire festif</t>
  </si>
  <si>
    <t>IF AU-EXC coché : désactive slots 2.5 DÉJEUNER + 2.6 APRÈS-MIDI · seuls DÎNER et SOIRÉE accessibles</t>
  </si>
  <si>
    <t>EV-AFE · Anniversaire festif (client)</t>
  </si>
  <si>
    <t>ART_EVT</t>
  </si>
  <si>
    <t>2.5 · 🍽️ DÉJEUNER (slot 2) · codes RA-D* (Restauration · Déjeuner)</t>
  </si>
  <si>
    <t>Événement artistique</t>
  </si>
  <si>
    <t>━━ EV · ÉVÉNEMENTS (5 standards · V1) ━━ AVEZ-VOUS UN EVENEMENT A CELEBRER DURANT LE SEJOUR</t>
  </si>
  <si>
    <t>RA-DBR</t>
  </si>
  <si>
    <t>ART_EVT · Événement artistique</t>
  </si>
  <si>
    <t>Brunch · contenu déversé depuis CRM RESTAURANTS</t>
  </si>
  <si>
    <t>EV-AUT · cas par cas (pas de standard)</t>
  </si>
  <si>
    <t>RA-DLE</t>
  </si>
  <si>
    <t>Déjeuner léger &amp; élégant · contenu déversé depuis CRM RESTAURANTS</t>
  </si>
  <si>
    <t>COCKTAIL</t>
  </si>
  <si>
    <t>Cocktail &amp; réception</t>
  </si>
  <si>
    <t>EV</t>
  </si>
  <si>
    <t>RA-DMA</t>
  </si>
  <si>
    <t>Déjeuner marocain d'exception · contenu déversé depuis CRM RESTAURANTS</t>
  </si>
  <si>
    <t>DEMANDE EN MARIAGE</t>
  </si>
  <si>
    <t>COCKTAIL · Cocktail &amp; réception</t>
  </si>
  <si>
    <t>2 adultes · pack CRM (PACK1/PACK2)</t>
  </si>
  <si>
    <t>EV-NET · Networking (back-office)</t>
  </si>
  <si>
    <t>RA-DPO</t>
  </si>
  <si>
    <t>Poolside &amp; Lifestyle · contenu déversé depuis CRM RESTAURANTS</t>
  </si>
  <si>
    <t>COHESION</t>
  </si>
  <si>
    <t>RA-DNA</t>
  </si>
  <si>
    <t>Cohésion d'équipe</t>
  </si>
  <si>
    <t>Nature &amp; Évasion · contenu déversé depuis CRM RESTAURANTS</t>
  </si>
  <si>
    <t>RA-DSI</t>
  </si>
  <si>
    <t>COHESION · Cohésion d'équipe</t>
  </si>
  <si>
    <t>Expérience signature · contenu déversé depuis CRM RESTAURANTS</t>
  </si>
  <si>
    <t>EV-SEM · Séminaire (back-office)</t>
  </si>
  <si>
    <t>⚙️ RG-*</t>
  </si>
  <si>
    <t>EV-ANN</t>
  </si>
  <si>
    <t>Régimes alimentaires cochables ici (RG-VEG / RG-ALG)</t>
  </si>
  <si>
    <t>ANNIVERSAIRE (parent)</t>
  </si>
  <si>
    <t>Catégorie parente · 2 sous-choix : festif (EV-AFE) / familial (EV-AFA) · seul le familial ouvre le nb d'enfants</t>
  </si>
  <si>
    <t>DEFILE</t>
  </si>
  <si>
    <t>2.6 · 🌴 APRÈS-MIDI (slot 3) · codes AU-* (univers d'activité)</t>
  </si>
  <si>
    <t>Défilé / présentation</t>
  </si>
  <si>
    <t>DEFILE · Défilé / présentation</t>
  </si>
  <si>
    <t>EV-AUT · cas par cas</t>
  </si>
  <si>
    <t>ANNIVERSAIRE FESTIF</t>
  </si>
  <si>
    <t>DEM_MAR</t>
  </si>
  <si>
    <t>Ambiance fête · ≥5 adultes · pack CRM</t>
  </si>
  <si>
    <t>Demande en mariage</t>
  </si>
  <si>
    <t>DEM_MAR · Demande en mariage</t>
  </si>
  <si>
    <t>EV-DEM · Demande en mariage (client)</t>
  </si>
  <si>
    <t>DINER_PRV</t>
  </si>
  <si>
    <t>Dîner privé</t>
  </si>
  <si>
    <t>ANNIVERSAIRE FAMILIAL</t>
  </si>
  <si>
    <t>DINER_PRV · Dîner privé</t>
  </si>
  <si>
    <t>Cadre intime famille · ≥5 ad · pack CRM</t>
  </si>
  <si>
    <t>EV-DIN · Dîner privé (back-office)</t>
  </si>
  <si>
    <t>AU-FES</t>
  </si>
  <si>
    <t>FESTIF &amp; LIFESTYLE · contenu déversé depuis CRM · transition vers soirée</t>
  </si>
  <si>
    <t>EVG</t>
  </si>
  <si>
    <t>EVG · EVG</t>
  </si>
  <si>
    <t>EV-EVG · EVG (client)</t>
  </si>
  <si>
    <t>2.7 · 🍷 DÎNER (slot 4) · codes RA-N* (Restauration · Nuit/Dîner)</t>
  </si>
  <si>
    <t>EVJF</t>
  </si>
  <si>
    <t>≥5 adultes · pack CRM</t>
  </si>
  <si>
    <t>RA-NRO</t>
  </si>
  <si>
    <t>Dîner romantique · contenu déversé depuis CRM RESTAURANTS</t>
  </si>
  <si>
    <t>EVJF · EVJF</t>
  </si>
  <si>
    <t>EV-EVJF · EVJF (client)</t>
  </si>
  <si>
    <t>RA-NGA</t>
  </si>
  <si>
    <t>FAM_REU</t>
  </si>
  <si>
    <t>Dîner gastronomique · contenu déversé depuis CRM RESTAURANTS</t>
  </si>
  <si>
    <t>Réunion familiale</t>
  </si>
  <si>
    <t>RA-NSP</t>
  </si>
  <si>
    <t>FAM_REU · Réunion familiale</t>
  </si>
  <si>
    <t>Dîner spectacle · contenu déversé depuis CRM RESTAURANTS</t>
  </si>
  <si>
    <t>EV-REU · Réunion famille (back-office)</t>
  </si>
  <si>
    <t>RA-NFE</t>
  </si>
  <si>
    <t>FEST_EVT</t>
  </si>
  <si>
    <t>Dîner festif · contenu déversé depuis CRM RESTAURANTS</t>
  </si>
  <si>
    <t>Événement festif</t>
  </si>
  <si>
    <t>RA-NAM</t>
  </si>
  <si>
    <t>FEST_EVT · Événement festif</t>
  </si>
  <si>
    <t>Dîner ambiance marocaine · contenu déversé depuis CRM RESTAURANTS</t>
  </si>
  <si>
    <t>LANCEMENT</t>
  </si>
  <si>
    <t>RA-NVE</t>
  </si>
  <si>
    <t>Lancement de marque</t>
  </si>
  <si>
    <t>Dîner vue &amp; évasion · contenu déversé depuis CRM RESTAURANTS</t>
  </si>
  <si>
    <t>LANCEMENT · Lancement de marque</t>
  </si>
  <si>
    <t>AUTRE (cas par cas)</t>
  </si>
  <si>
    <t>EV-NET · Networking / corporate (back-office)</t>
  </si>
  <si>
    <t>Champ libre · SOLY ASSISTANCE 24h · pas de pack CRM</t>
  </si>
  <si>
    <t>LUNE_MIEL</t>
  </si>
  <si>
    <t>Lune de miel</t>
  </si>
  <si>
    <t>LUNE_MIEL · Lune de miel</t>
  </si>
  <si>
    <t>EV-AUT · cas par cas (proche OR-ROM · occasion romantique)</t>
  </si>
  <si>
    <t>MARIAGE</t>
  </si>
  <si>
    <t>Mariage</t>
  </si>
  <si>
    <t>📌 V1 · RAPPEL DOCTRINE
 • Les codes ci-dessus complètent les familles V1 conservées plus bas
 • Tous les codes (V1 + V1/V1) sont utilisés dans le PARCOURS · le MOTEUR · le CRM · l'INGESTION
 • Les codes V1/V1 NL-*/AK-*/TR-* sont multi-select sur les slots du parcours
 • Les 5 EV-* STANDARDS (DEM/AFE/AFA/EVJF/EVG) déclenchent 2 PACKS CRM (sauf EV-AUT cas par cas)
 EV-AUT (Autre) → le conseiller SOLY puise dans une bibliothèque interne back-office (13 packs sur-mesure) — liste détaillée dans MASTER_TAGS (famille EV-INTERNE) · référencée aussi dans MATCHING
 ⚠ EV-* (types d'événement) ≠ EVT-* (prestataires événementiel · voir onglet EVT) — NE PAS CONFONDRE</t>
  </si>
  <si>
    <t>MARIAGE · Mariage</t>
  </si>
  <si>
    <t>2.8 · ✨ SOIRÉE (slot 5) · codes NL-* (5 codes V1)</t>
  </si>
  <si>
    <t>EV-MAR · Mariage (back-office)</t>
  </si>
  <si>
    <t>RES_PRO</t>
  </si>
  <si>
    <t>Réseautage professionnel</t>
  </si>
  <si>
    <t>━━ AU · ACTIVITÉ · UNIVERS (7 codes) ━━ ACTIVITE AU CHOIX BLOC MATIN BLOC APRES MIDI ET BLOC ENFANTS</t>
  </si>
  <si>
    <t>NL-CLU</t>
  </si>
  <si>
    <t>Club / boîte de nuit · contenu déversé depuis CRM</t>
  </si>
  <si>
    <t>RES_PRO · Réseautage professionnel</t>
  </si>
  <si>
    <t>NL-LOU</t>
  </si>
  <si>
    <t>Lounge / bar à cocktails · contenu déversé depuis CRM</t>
  </si>
  <si>
    <t>RTRT_WEL</t>
  </si>
  <si>
    <t>NL-SHO</t>
  </si>
  <si>
    <t>Retraite bien-être</t>
  </si>
  <si>
    <t>Show / cabaret · contenu déversé depuis CRM</t>
  </si>
  <si>
    <t>NL-LIV</t>
  </si>
  <si>
    <t>RTRT_WEL · Retraite bien-être</t>
  </si>
  <si>
    <t>Live Music · concert live · contenu déversé depuis CRM</t>
  </si>
  <si>
    <t>EV-RET · Retraite bien-être (back-office)</t>
  </si>
  <si>
    <t>NL-IMM</t>
  </si>
  <si>
    <t>Immersion locale (gnaoua · rituels nocturnes) · contenu déversé depuis CRM</t>
  </si>
  <si>
    <t>SEM_CORP</t>
  </si>
  <si>
    <t>Séminaire &amp; corporate</t>
  </si>
  <si>
    <t>SEM_CORP · Séminaire &amp; corporate</t>
  </si>
  <si>
    <t>EV-SEM · Séminaire &amp; corporate (back-office)</t>
  </si>
  <si>
    <t>TOURNAGE</t>
  </si>
  <si>
    <t>Tournage &amp; production</t>
  </si>
  <si>
    <t>2.9 · 👶 ENFANTS (slot 6 · conditionnel si nb_enfants&gt;0) · codes AK-* (5 codes V1)</t>
  </si>
  <si>
    <t>TOURNAGE · Tournage &amp; production</t>
  </si>
  <si>
    <t>AU</t>
  </si>
  <si>
    <t>CANAL</t>
  </si>
  <si>
    <t>Canaux de réservation</t>
  </si>
  <si>
    <t>EXCURSION À LA JOURNÉE</t>
  </si>
  <si>
    <t>DIRECT</t>
  </si>
  <si>
    <t>AK-CRE</t>
  </si>
  <si>
    <t>Direct</t>
  </si>
  <si>
    <t>info</t>
  </si>
  <si>
    <t>Sortie à la journée hors Marrakech · Destinations : Désert d'Agafay · Vallée de l'Ourika · Cascades d'Ouzoud · Essaouira · Imlil &amp; Atlas · Aït Ben Haddou / Ouarzazate · Lac Lalla Takerkoust · Vallée des 3 Palmiers · 🌅 DÉPART MATINÉE — journée complète · ⚠ EXCLUSIF : désactive automatiquement les blocs DÉJEUNER + APRÈS-MIDI → seuls DÎNER + SOIRÉE restent sélectionnables · Transport + guide selon prestation</t>
  </si>
  <si>
    <t>Créatif &amp; ludique · ateliers · artisanat · contenu déversé depuis CRM</t>
  </si>
  <si>
    <t>DIRECT · Direct</t>
  </si>
  <si>
    <t>AK-DEC</t>
  </si>
  <si>
    <t>BOOKING</t>
  </si>
  <si>
    <t>Découverte &amp; apprentissage · cuisine · culture · contenu déversé depuis CRM</t>
  </si>
  <si>
    <t>Booking.com</t>
  </si>
  <si>
    <t>AK-NAT</t>
  </si>
  <si>
    <t>BOOKING · Booking.com</t>
  </si>
  <si>
    <t>Nature &amp; exploration · animaux · plein air · contenu déversé depuis CRM</t>
  </si>
  <si>
    <t>AIRBNB</t>
  </si>
  <si>
    <t>Airbnb</t>
  </si>
  <si>
    <t>DÉSERT &amp; HORIZONS</t>
  </si>
  <si>
    <t>AIRBNB · Airbnb</t>
  </si>
  <si>
    <t xml:space="preserve"> </t>
  </si>
  <si>
    <t>AK-LOI</t>
  </si>
  <si>
    <t>EXPEDIA</t>
  </si>
  <si>
    <t>Loisirs &amp; énergie · parcs · sports · piscine · contenu déversé depuis CRM</t>
  </si>
  <si>
    <t>Expedia</t>
  </si>
  <si>
    <t>AK-SER</t>
  </si>
  <si>
    <t>EXPEDIA · Expedia</t>
  </si>
  <si>
    <t>Sérénité parents · babysitting · garde · contenu déversé depuis CRM</t>
  </si>
  <si>
    <t>BKG_AIR</t>
  </si>
  <si>
    <t>Booking + Airbnb</t>
  </si>
  <si>
    <t>BKG_AIR · Booking + Airbnb</t>
  </si>
  <si>
    <t>⚙️ RG-* RÉGIMES ALIMENTAIRES · workflow 3 niveaux</t>
  </si>
  <si>
    <t>LVL</t>
  </si>
  <si>
    <t>Qualification · cloches</t>
  </si>
  <si>
    <t>SPORT &amp; ÉNERGIE</t>
  </si>
  <si>
    <t>LVL-1</t>
  </si>
  <si>
    <t>🔔 UNE CLOCHE</t>
  </si>
  <si>
    <t>Golf · Yoga · Pilates · Padel · Tennis · Surf · Karting · Équitation · VTT · Escalade · Fitness · 🌅🌴 matin + après-midi</t>
  </si>
  <si>
    <t>RG-VEG</t>
  </si>
  <si>
    <t>LVL-1 · 🔔 UNE CLOCHE</t>
  </si>
  <si>
    <t>Cuisine végétarienne</t>
  </si>
  <si>
    <t>LVL-2</t>
  </si>
  <si>
    <t>RG-ALG</t>
  </si>
  <si>
    <t>🔔🔔 DEUX CLOCHES</t>
  </si>
  <si>
    <t>Allergies à signaler</t>
  </si>
  <si>
    <t>LVL-2 · 🔔🔔 DEUX CLOCHES</t>
  </si>
  <si>
    <t>CULTURE &amp; IMMERSION</t>
  </si>
  <si>
    <t>Workflow déversement à 3 niveaux :</t>
  </si>
  <si>
    <t>Jardin Majorelle · YSL · Bahia · Médersa · Souks · Cours de cuisine · Calligraphie · Palmeraie · Visite guidée médina · 🌅🌴 matin + après-midi</t>
  </si>
  <si>
    <t>LVL-3</t>
  </si>
  <si>
    <t>🔔🔔🔔 TROIS CLOCHES</t>
  </si>
  <si>
    <t>Niveau 1</t>
  </si>
  <si>
    <t>PAGE WEB · le client coche les régimes sous DÉJEUNER (2.5) et DÎNER (2.7)</t>
  </si>
  <si>
    <t>LVL-3 · 🔔🔔🔔 TROIS CLOCHES</t>
  </si>
  <si>
    <t>Niveau 2</t>
  </si>
  <si>
    <t>LVL-4</t>
  </si>
  <si>
    <t>CRM · données précisées dans le déversement des fiches RESTAURANT (filtrage matching moteur)</t>
  </si>
  <si>
    <t>🔔🔔🔔🔔 QUATRE CLOCHES</t>
  </si>
  <si>
    <t>Niveau 3</t>
  </si>
  <si>
    <t>BIEN-ÊTRE &amp; RELAXATION</t>
  </si>
  <si>
    <t>LVL-4 · 🔔🔔🔔🔔 QUATRE CLOCHES</t>
  </si>
  <si>
    <t>PRESTA · transmission au restaurant via FEUILLE DE ROUTE après paiement confirmé</t>
  </si>
  <si>
    <t>Spa · Hammam · Breathwork · Méditation · Massage · Rituel argan · Retraite bien-être · 🌅🌴 matin + après-midi</t>
  </si>
  <si>
    <t>LVL-5</t>
  </si>
  <si>
    <t>🔔🔔🔔🔔🔔 CINQ CLOCHES</t>
  </si>
  <si>
    <t>LVL-5 · 🔔🔔🔔🔔🔔 CINQ CLOCHES</t>
  </si>
  <si>
    <t>2.10 · 🛡️ SÉCURITÉ — ⚠️ DÉPLACÉE EN ÉTAPE 3 (DEVIS) · sécurité PRIVÉE = add-on du devis · sécurité ÉVÉNEMENTIELLE = auto-injectée par le pack EV-* · (liste ci-dessous pour référence)</t>
  </si>
  <si>
    <t>Cycle de vie prestataire</t>
  </si>
  <si>
    <t>STATUT-DEV</t>
  </si>
  <si>
    <t>ÉLITE &amp; SIGNATURE</t>
  </si>
  <si>
    <t>DÉVERSÉ</t>
  </si>
  <si>
    <t>Montgolfière · hélicoptère · shooting · Jet privé · Yacht · Dîner étoilé privatisé · 🌅🌴 matin + après-midi</t>
  </si>
  <si>
    <t>gestion</t>
  </si>
  <si>
    <t>Souhaitez-vous une option sécurité ? Oui / Non</t>
  </si>
  <si>
    <t>STATUT-DEV · DÉVERSÉ</t>
  </si>
  <si>
    <t>Si OUI</t>
  </si>
  <si>
    <t>Menu déroulant SE-* (Particulier) · multi-choix · tarif par option</t>
  </si>
  <si>
    <t>STATUT-EVA</t>
  </si>
  <si>
    <t>EN ÉVALUATION</t>
  </si>
  <si>
    <t>STATUT-EVA · EN ÉVALUATION</t>
  </si>
  <si>
    <t>SE-PRO</t>
  </si>
  <si>
    <t>FESTIF &amp; LIFESTYLE</t>
  </si>
  <si>
    <t>Agent de protection discret</t>
  </si>
  <si>
    <t>STATUT-QUA</t>
  </si>
  <si>
    <t>Pool party · beach club · rooftop · Brunch festif · Sunset lounge · Soirée privée · 🌴 APRÈS-MIDI uniquement · transition vers la soirée</t>
  </si>
  <si>
    <t>QUALIFIÉ</t>
  </si>
  <si>
    <t>SE-FEM</t>
  </si>
  <si>
    <t>Agent de protection féminin</t>
  </si>
  <si>
    <t>STATUT-QUA · QUALIFIÉ</t>
  </si>
  <si>
    <t>SE-SUR</t>
  </si>
  <si>
    <t>Surveillance de votre hébergement</t>
  </si>
  <si>
    <t>STATUT-DER</t>
  </si>
  <si>
    <t>DÉRÉFÉRENCÉ</t>
  </si>
  <si>
    <t>━━ RA-D · RESTAURANT · DÉJEUNER (6 codes) ━━ EXPERIENCE SOUHAITEE</t>
  </si>
  <si>
    <t>SE-24H</t>
  </si>
  <si>
    <t>STATUT-DER · DÉRÉFÉRENCÉ</t>
  </si>
  <si>
    <t>Protection renforcée 24h/24</t>
  </si>
  <si>
    <t>TRA-MISSION</t>
  </si>
  <si>
    <t>Type de mission transport</t>
  </si>
  <si>
    <t>MIS-AUT</t>
  </si>
  <si>
    <t>SE-ETU</t>
  </si>
  <si>
    <t>Autocar</t>
  </si>
  <si>
    <t>Étude personnalisée</t>
  </si>
  <si>
    <t>TRANSPORT</t>
  </si>
  <si>
    <t>MIS-AUT · Autocar</t>
  </si>
  <si>
    <t>MIS-CHA</t>
  </si>
  <si>
    <t>Chauffeur privé</t>
  </si>
  <si>
    <t>⚙️ Note · 3 autres codes SE-* (SE-ESC / SE-EVE / SE-MUL) sont gérés par le MOTEUR dans le PACK ÉVÉNEMENT (auto-injection si EV-* coché).</t>
  </si>
  <si>
    <t>MIS-CHA · Chauffeur privé</t>
  </si>
  <si>
    <t>MIS-EVE</t>
  </si>
  <si>
    <t>Événementiel</t>
  </si>
  <si>
    <t>MIS-EVE · Événementiel</t>
  </si>
  <si>
    <t>MIS-GRP</t>
  </si>
  <si>
    <t>Minibus / Groupe</t>
  </si>
  <si>
    <t>2.11 · 🚗 VÉHICULE — ⚠️ DÉPLACÉ EN ÉTAPE 3 (DEVIS) · TR-BER suggéré d'office au devis + upgrade (BEL/SUV/VAN) · (liste ci-dessous pour référence)</t>
  </si>
  <si>
    <t>MIS-GRP · Minibus / Groupe</t>
  </si>
  <si>
    <t>MIS-RDS</t>
  </si>
  <si>
    <t>Roadshow business</t>
  </si>
  <si>
    <t>MIS-RDS · Roadshow business</t>
  </si>
  <si>
    <t>RA-D</t>
  </si>
  <si>
    <t>Souhaitez-vous une catégorie de véhicule en particulier ? Oui / Non</t>
  </si>
  <si>
    <t>MIS-VAN</t>
  </si>
  <si>
    <t>Brunch &amp; art de vivre</t>
  </si>
  <si>
    <t>Van premium</t>
  </si>
  <si>
    <t>Chic · élégant · sans contrainte</t>
  </si>
  <si>
    <t>⚙️ Affichage</t>
  </si>
  <si>
    <t>MIS-VAN · Van premium</t>
  </si>
  <si>
    <t>MIS-VIP</t>
  </si>
  <si>
    <t>CONDITIONNEL au mode_arrivee saisi en 1.3 :
• IF gestion_transport = SOLY_GERE → afficher 2.11
• IF gestion_transport = CLIENT_GERE → ne PAS afficher 2.11</t>
  </si>
  <si>
    <t>Transport VIP</t>
  </si>
  <si>
    <t>MIS-VIP · Transport VIP</t>
  </si>
  <si>
    <t>TRA-SERVICE</t>
  </si>
  <si>
    <t>Type de prestation / services</t>
  </si>
  <si>
    <t>24_7</t>
  </si>
  <si>
    <t>Service 24/7</t>
  </si>
  <si>
    <t>24_7 · Service 24/7</t>
  </si>
  <si>
    <t>Menu déroulant TR-* · multi-select · tarif par option</t>
  </si>
  <si>
    <t>BAG</t>
  </si>
  <si>
    <t>Aide bagages</t>
  </si>
  <si>
    <t>TR-BER</t>
  </si>
  <si>
    <t>Déjeuner léger &amp; élégant</t>
  </si>
  <si>
    <t>BAG · Aide bagages</t>
  </si>
  <si>
    <t>Berline incluse</t>
  </si>
  <si>
    <t>Fluide · raffiné · discret</t>
  </si>
  <si>
    <t>BRAND</t>
  </si>
  <si>
    <t>Habillage véhicules possible</t>
  </si>
  <si>
    <t>TR-BEL</t>
  </si>
  <si>
    <t>Berline luxe (+100 €/j)</t>
  </si>
  <si>
    <t>BRAND · Habillage véhicules possible</t>
  </si>
  <si>
    <t>TR-SUV</t>
  </si>
  <si>
    <t>CHARG</t>
  </si>
  <si>
    <t>Chargeurs tous appareils</t>
  </si>
  <si>
    <t>SUV premium (+150 €/j)</t>
  </si>
  <si>
    <t>CHARG · Chargeurs tous appareils</t>
  </si>
  <si>
    <t>TR-VAN</t>
  </si>
  <si>
    <t>Van premium (+200 €/j)</t>
  </si>
  <si>
    <t>COORD</t>
  </si>
  <si>
    <t>Déjeuner marocain d'exception</t>
  </si>
  <si>
    <t>Coordinateur sur place</t>
  </si>
  <si>
    <t>Tradition · raffinement · immersion</t>
  </si>
  <si>
    <t>COORD · Coordinateur sur place</t>
  </si>
  <si>
    <t>Fin ÉTAPE 2</t>
  </si>
  <si>
    <t>DISCR</t>
  </si>
  <si>
    <t>→ Passage à ÉTAPE 3 (synthèse + devis)</t>
  </si>
  <si>
    <t>Discrétion contractuelle</t>
  </si>
  <si>
    <t>DISCR · Discrétion contractuelle</t>
  </si>
  <si>
    <t>═══ ÉTAPE 3 · DEVIS &amp; PROGRAMME ═══</t>
  </si>
  <si>
    <t>EAU</t>
  </si>
  <si>
    <t>Eau / rafraîchissements offerts</t>
  </si>
  <si>
    <t>EAU · Eau / rafraîchissements offerts</t>
  </si>
  <si>
    <t>Poolside &amp; Lifestyle</t>
  </si>
  <si>
    <t>ENF</t>
  </si>
  <si>
    <t>NATURE · synthèse + DEVIS · le client peut UPGRADER son véhicule (TR-BER → BEL/SUV…) et AJOUTER la sécurité privée ici : ce sont des ADD-ONS saisis DANS le devis (étape 3).</t>
  </si>
  <si>
    <t>Sièges enfants disponibles</t>
  </si>
  <si>
    <t>Soleil · détente · ambiance vibrante</t>
  </si>
  <si>
    <t>ENF · Sièges enfants disponibles</t>
  </si>
  <si>
    <t>FAST</t>
  </si>
  <si>
    <t>Fast track / coupe-file</t>
  </si>
  <si>
    <t>3.1 · 📋 SYNTHÈSE DE VOTRE SÉJOUR</t>
  </si>
  <si>
    <t>FAST · Fast track / coupe-file</t>
  </si>
  <si>
    <t>JOURN</t>
  </si>
  <si>
    <t>Service à la journée</t>
  </si>
  <si>
    <t>Affichage V1</t>
  </si>
  <si>
    <t>Devis structuré en 2 grandes parties · DÉBOURS (refacturation identique) + HONORAIRES SOLY</t>
  </si>
  <si>
    <t>JOURN · Service à la journée</t>
  </si>
  <si>
    <t>── PARTIE A ──</t>
  </si>
  <si>
    <t>Nature &amp; Évasion</t>
  </si>
  <si>
    <t>MEET</t>
  </si>
  <si>
    <t>DÉBOURS · prestations refacturées à l'identique au TTC presta · sans marge ni TVA SOLY</t>
  </si>
  <si>
    <t>Meet &amp; greet en zone arrivée</t>
  </si>
  <si>
    <t>Calme · nature · déconnexion</t>
  </si>
  <si>
    <t>MEET · Meet &amp; greet en zone arrivée</t>
  </si>
  <si>
    <t>🏨 HÉBERGEMENT</t>
  </si>
  <si>
    <t>Selon HB-* / BG-* (1.5) · prix TTC presta · ex 4 500 €</t>
  </si>
  <si>
    <t>MULTI_LANG</t>
  </si>
  <si>
    <t>Chauffeurs multilingues</t>
  </si>
  <si>
    <t>🚗 TRANSPORT</t>
  </si>
  <si>
    <t>Transferts + véhicule (TR-BER d'office · upgrade possible au devis) · prix TTC presta · ex 800 €</t>
  </si>
  <si>
    <t>MULTI_LANG · Chauffeurs multilingues</t>
  </si>
  <si>
    <t>NAV_TS</t>
  </si>
  <si>
    <t>⭐ ACTIVITÉS</t>
  </si>
  <si>
    <t>Navettes en boucle continue</t>
  </si>
  <si>
    <t>Somme AU-* matinée + après-midi + AK-* enfants · prix TTC presta · ex 1 200 €</t>
  </si>
  <si>
    <t>NAV_TS · Navettes en boucle continue</t>
  </si>
  <si>
    <t>Expérience signature</t>
  </si>
  <si>
    <t>NUI_LAT</t>
  </si>
  <si>
    <t>🛡️ SÉCURITÉ</t>
  </si>
  <si>
    <t>Service tard / fin de soirée</t>
  </si>
  <si>
    <t>Ultra-luxe · service exceptionnel</t>
  </si>
  <si>
    <t>Sécurité privée SE-* (add-on devis étape 3) · prix TTC presta · ex 600 €</t>
  </si>
  <si>
    <t>NUI_LAT · Service tard / fin de soirée</t>
  </si>
  <si>
    <t>RADIO</t>
  </si>
  <si>
    <t>Radios / communication équipe</t>
  </si>
  <si>
    <t>Si EV-* coché · prix TTC du pack CRM · ex 4 500 €</t>
  </si>
  <si>
    <t>RADIO · Radios / communication équipe</t>
  </si>
  <si>
    <t>✨ Soirée (hors débours)</t>
  </si>
  <si>
    <t>UNIF</t>
  </si>
  <si>
    <t>⚠️ Options NL-* (2.8) : à régler SUR PLACE · ne figure PAS dans les débours (traité comme la restauration)</t>
  </si>
  <si>
    <t>Uniforme / tenue stricte</t>
  </si>
  <si>
    <t>Sous-total DÉBOURS</t>
  </si>
  <si>
    <t>UNIF · Uniforme / tenue stricte</t>
  </si>
  <si>
    <t>Somme des prix TTC presta — hors restauration &amp; soirée · ex 11 600 € TTC</t>
  </si>
  <si>
    <t>UNIF_CHA</t>
  </si>
  <si>
    <t>⚠️ Restauration (RA-D* / RA-N*) : à régler sur place · ne figure pas dans les débours</t>
  </si>
  <si>
    <t>━━ RA-N · RESTAURANT · DÎNER (6 codes) ━━ EXPERIENCE SOUHAITEE</t>
  </si>
  <si>
    <t>Chauffeurs en uniforme événementiel</t>
  </si>
  <si>
    <t>UNIF_CHA · Chauffeurs en uniforme événementiel</t>
  </si>
  <si>
    <t>── PARTIE B ──</t>
  </si>
  <si>
    <t>VIP_LOU</t>
  </si>
  <si>
    <t>HONORAIRES SOLYVENTS · % par catégorie de prestation (cf onglet 💰 HONORAIRES SOLY)</t>
  </si>
  <si>
    <t>Accès lounge VIP</t>
  </si>
  <si>
    <t>VIP_LOU · Accès lounge VIP</t>
  </si>
  <si>
    <t>VOL</t>
  </si>
  <si>
    <t>🔔 CONCIERGERIE SOLY</t>
  </si>
  <si>
    <t>Suivi vol en temps réel</t>
  </si>
  <si>
    <t>Calcul = Σ (débours par catégorie × % HONORAIRES_SOLY)
• HEB 4500 × 10% = 450 € HT
• TRA 800 × 10% = 80 € HT
• ACT 1200 × 10% = 120 € HT
• SE 600 × 10% = 60 € HT
• ORCHESTRATION PACK 4500 × 10% = 450 € HT
= 1 160 € HT + TVA 20% = 1 392 € TTC (au taux par défaut · ajustable ligne par ligne dans 💰 HONORAIRES_SOLY)</t>
  </si>
  <si>
    <t>VOL · Suivi vol en temps réel</t>
  </si>
  <si>
    <t>TOTAL CLIENT</t>
  </si>
  <si>
    <t>WIFI</t>
  </si>
  <si>
    <t>DÉBOURS TTC + HONORAIRES SOLY TTC · ex 11 600 + 1 392 = 12 992 € TTC</t>
  </si>
  <si>
    <t>Wi-Fi à bord</t>
  </si>
  <si>
    <t>WIFI · Wi-Fi à bord</t>
  </si>
  <si>
    <t>Encart "ORCHESTRATION SOLY" : texte de marque "SOLY imagine et coordonne chaque détail..."</t>
  </si>
  <si>
    <t>TRANSFERT</t>
  </si>
  <si>
    <t>Transfert aéroport</t>
  </si>
  <si>
    <t>TRANSFERT · Transfert aéroport</t>
  </si>
  <si>
    <t>TRA-GAMME</t>
  </si>
  <si>
    <t>⚙️ DOCTRINE V1 · PRIX &amp; TVA · 5 PRINCIPES</t>
  </si>
  <si>
    <t>Gamme / flotte véhicules</t>
  </si>
  <si>
    <t>AUT_GT</t>
  </si>
  <si>
    <t>Autocar grand tourisme</t>
  </si>
  <si>
    <t>AUT_GT · Autocar grand tourisme</t>
  </si>
  <si>
    <t>1. Prix prestataires = TTC (débours)
2. SOLY refacture à l'identique au client · pas de marge sur les débours
3. Honoraires SOLY = ligne séparée · seule marge SOLYVENTS
4. % honoraires calculé sur le montant TTC presta (par catégorie · cf 💰 HONORAIRES SOLY)
5. TVA SOLY (20%) appliquée UNIQUEMENT sur les honoraires (pas sur les débours)
📌 SOLYVENTS = COURTIER / ORCHESTRATEUR · pas revendeur
📌 Modèle économique : seul gain = honoraires conciergerie/orchestration/logistique
📌 Les commissions versées par les prestataires alimentent les honoraires SOLY</t>
  </si>
  <si>
    <t>AUT_S</t>
  </si>
  <si>
    <t>Autocar standard</t>
  </si>
  <si>
    <t>AUT_S · Autocar standard</t>
  </si>
  <si>
    <t>BER_E</t>
  </si>
  <si>
    <t>Berline (Classe E, BMW 5, Audi A6)</t>
  </si>
  <si>
    <t>BER_E · Berline (Classe E, BMW 5, Audi A6)</t>
  </si>
  <si>
    <t>3.2 · ⚠️ MENTIONS LÉGALES</t>
  </si>
  <si>
    <t>BER_S</t>
  </si>
  <si>
    <t>Berline luxe (Classe S, BMW 7, Audi A8)</t>
  </si>
  <si>
    <t>RA-N</t>
  </si>
  <si>
    <t>BER_S · Berline luxe (Classe S, BMW 7, Audi A8)</t>
  </si>
  <si>
    <t>"Les expériences de restauration ainsi que certaines prestations complémentaires demeurent à régler sur place directement auprès des établissements concernés."
"SOLY veille également à la parfaite gestion de vos déplacements et transferts."</t>
  </si>
  <si>
    <t>Dîner romantique</t>
  </si>
  <si>
    <t>3.3 · 📅 RÉCAPITULATIF DU SÉJOUR</t>
  </si>
  <si>
    <t>Intime · lumière douce · moment suspendu</t>
  </si>
  <si>
    <t>BLI</t>
  </si>
  <si>
    <t>Voiture blindée</t>
  </si>
  <si>
    <t>Tête</t>
  </si>
  <si>
    <t>BLI · Voiture blindée</t>
  </si>
  <si>
    <t>Dates (du/au) · Durée (N jours) · Participants (X adultes / Y enfants)</t>
  </si>
  <si>
    <t>CLA</t>
  </si>
  <si>
    <t>Programme</t>
  </si>
  <si>
    <t>Véhicule classique / vintage</t>
  </si>
  <si>
    <t>Lignes pliables par jour : JOUR 1 · date · Marrakech · prix jour ▶</t>
  </si>
  <si>
    <t>CLA · Véhicule classique / vintage</t>
  </si>
  <si>
    <t>Bouton</t>
  </si>
  <si>
    <t>MIN_P</t>
  </si>
  <si>
    <t>← MODIFIER (retour étape 2)</t>
  </si>
  <si>
    <t>Minibus premium</t>
  </si>
  <si>
    <t>MIN_P · Minibus premium</t>
  </si>
  <si>
    <t>MIN_S</t>
  </si>
  <si>
    <t>Minibus standard (20-30 places)</t>
  </si>
  <si>
    <t>3.4 · 🎯 ACTIONS PROPOSÉES</t>
  </si>
  <si>
    <t>MIN_S · Minibus standard (20-30 places)</t>
  </si>
  <si>
    <t>Dîner gastronomique</t>
  </si>
  <si>
    <t>Cuisine d'exception · élégance</t>
  </si>
  <si>
    <t>MIX</t>
  </si>
  <si>
    <t>Mixte (propriétaire + partenaires)</t>
  </si>
  <si>
    <t>MIX · Mixte (propriétaire + partenaires)</t>
  </si>
  <si>
    <t>CTA principal</t>
  </si>
  <si>
    <t>OFF</t>
  </si>
  <si>
    <t>4x4 off-road</t>
  </si>
  <si>
    <t>✓ CONFIRMER MON EXPÉRIENCE → ⚠️ ON NE PEUT PAS PASSER À L'ÉTAPE 4 SANS ÊTRE CONNECTÉ · pop-up login bloquante dès le clic</t>
  </si>
  <si>
    <t>OFF · 4x4 off-road</t>
  </si>
  <si>
    <t>Action 2</t>
  </si>
  <si>
    <t>PART</t>
  </si>
  <si>
    <t>Réseau de partenaires</t>
  </si>
  <si>
    <t>📧 RECEVOIR MON DEVIS par email → exige LOGIN</t>
  </si>
  <si>
    <t>Dîner spectacle</t>
  </si>
  <si>
    <t>PART · Réseau de partenaires</t>
  </si>
  <si>
    <t>Culture · animation · immersion</t>
  </si>
  <si>
    <t>Action 3</t>
  </si>
  <si>
    <t>PROP</t>
  </si>
  <si>
    <t>Flotte propriétaire 100%</t>
  </si>
  <si>
    <t>⬇️ TÉLÉCHARGER MON DEVIS (PDF) → exige LOGIN</t>
  </si>
  <si>
    <t>PROP · Flotte propriétaire 100%</t>
  </si>
  <si>
    <t>Action 4</t>
  </si>
  <si>
    <t>SPR</t>
  </si>
  <si>
    <t>Sprinter VIP</t>
  </si>
  <si>
    <t>⬅ AJUSTER MON SÉJOUR (sans login) → retour étape 2</t>
  </si>
  <si>
    <t>SPR · Sprinter VIP</t>
  </si>
  <si>
    <t>SUV</t>
  </si>
  <si>
    <t>SUV premium (Range Rover, X7, GLS)</t>
  </si>
  <si>
    <t>Tagline finale : "Détendez-vous. Nous orchestrons." — SOLY</t>
  </si>
  <si>
    <t>Dîner festif</t>
  </si>
  <si>
    <t>SUV · SUV premium (Range Rover, X7, GLS)</t>
  </si>
  <si>
    <t>Musique · énergie · ambiance</t>
  </si>
  <si>
    <t>VC</t>
  </si>
  <si>
    <t>Van V-Class</t>
  </si>
  <si>
    <t>VC · Van V-Class</t>
  </si>
  <si>
    <t>⚙️ DOCTRINE LOGIN · 2 niveaux d'engagement</t>
  </si>
  <si>
    <t>TRA-BORD</t>
  </si>
  <si>
    <t>Services à bord</t>
  </si>
  <si>
    <t>220V</t>
  </si>
  <si>
    <t>Prise 220V</t>
  </si>
  <si>
    <t>220V · Prise 220V</t>
  </si>
  <si>
    <t>NIVEAU 1 · CONSULTATION LIBRE (anonyme)
• Configuration séjour étapes 1, 2, 3
• Visualisation devis à l'écran
• Aucune identification
NIVEAU 2 · IDENTIFICATION (login obligatoire)
• Déclenché par : Confirmer / Recevoir / Télécharger
• ET pour accéder à ÉTAPE 4 (Règlement)
• Création CLIENT_ID si nouveau · récupération si existant</t>
  </si>
  <si>
    <t>Dîner vue &amp; évasion</t>
  </si>
  <si>
    <t>CLIM</t>
  </si>
  <si>
    <t>Climatisation premium</t>
  </si>
  <si>
    <t>Panorama · sunset · magie</t>
  </si>
  <si>
    <t>CLIM · Climatisation premium</t>
  </si>
  <si>
    <t>CONF</t>
  </si>
  <si>
    <t>Confidentialité / partition</t>
  </si>
  <si>
    <t>═══ ÉTAPE 4 · RÈGLEMENT ═══</t>
  </si>
  <si>
    <t>CONF · Confidentialité / partition</t>
  </si>
  <si>
    <t>Header "Vous · Connecté en tant que [Prénom]" · Titre "Finalisation de votre expérience" · "Votre sélection est prête."</t>
  </si>
  <si>
    <t>Dîner ambiance marocaine</t>
  </si>
  <si>
    <t>DISPO_24</t>
  </si>
  <si>
    <t>Tradition · convivialité · saveurs marocaines</t>
  </si>
  <si>
    <t>Disponibilité 24/7</t>
  </si>
  <si>
    <t>4.1 · 💰 RÉCAPITULATIF FINANCIER (bloc vert)</t>
  </si>
  <si>
    <t>DISPO_24 · Disponibilité 24/7</t>
  </si>
  <si>
    <t>Total séjour</t>
  </si>
  <si>
    <t>Montant cumul étape 3 (ex 11 600 €)</t>
  </si>
  <si>
    <t>Honoraires SOLYVENTS*</t>
  </si>
  <si>
    <t>Honoraires de conception et d'orchestration (ex 1 392 €)</t>
  </si>
  <si>
    <t>EN</t>
  </si>
  <si>
    <t>* Description</t>
  </si>
  <si>
    <t>Anglophone</t>
  </si>
  <si>
    <t>"Nos honoraires couvrent la création, la sélection de lieux confidentiels, ainsi que la coordination complète de votre séjour."</t>
  </si>
  <si>
    <t>EN · Anglophone</t>
  </si>
  <si>
    <t>Code cadeau</t>
  </si>
  <si>
    <t>Champ libre + bouton APPLIQUER · code promo / cadeau</t>
  </si>
  <si>
    <t>━━ NL · SOIRÉE / NIGHTLIFE (5 codes · V1) ━━ BLOC AU CHOIX</t>
  </si>
  <si>
    <t>MONTANT À PAYER</t>
  </si>
  <si>
    <t>MULTILINGUE</t>
  </si>
  <si>
    <t>TOTAL séjour + Honoraires (ex 12 992 €)</t>
  </si>
  <si>
    <t>Chauffeur multilingue</t>
  </si>
  <si>
    <t>MULTILINGUE · Chauffeur multilingue</t>
  </si>
  <si>
    <t>4.2 · 💳 MODE DE PAIEMENT · CGV obligatoires</t>
  </si>
  <si>
    <t>NL</t>
  </si>
  <si>
    <t>PRESSE</t>
  </si>
  <si>
    <t>Presse / magazines</t>
  </si>
  <si>
    <t>☐ "J'ai lu et j'accepte les conditions générales de services de SOLYVENTS &amp; SOLY."
(Case à cocher obligatoire · paiement bloqué tant que non cochée)</t>
  </si>
  <si>
    <t>CLUB</t>
  </si>
  <si>
    <t>PRESSE · Presse / magazines</t>
  </si>
  <si>
    <t>Club / boîte de nuit · ambiance dance · électro · hip-hop</t>
  </si>
  <si>
    <t>SIEG_BB</t>
  </si>
  <si>
    <t>Siège bébé</t>
  </si>
  <si>
    <t>4.3 · 👥 CHOIX DU MODE DE RÈGLEMENT</t>
  </si>
  <si>
    <t>SIEG_BB · Siège bébé</t>
  </si>
  <si>
    <t>① Je règle la totalité</t>
  </si>
  <si>
    <t>SIEG_ENF</t>
  </si>
  <si>
    <t>Paiement immédiat · solo · « Finalisez votre réservation en toute simplicité »</t>
  </si>
  <si>
    <t>LOUNGE</t>
  </si>
  <si>
    <t>Siège / rehausseur enfant</t>
  </si>
  <si>
    <t>Lounge / bar à cocktails · ambiance feutrée · mixologie</t>
  </si>
  <si>
    <t>SIEG_ENF · Siège / rehausseur enfant</t>
  </si>
  <si>
    <t>② J'invite des participants à contribuer</t>
  </si>
  <si>
    <t>TABL</t>
  </si>
  <si>
    <t>Tablette</t>
  </si>
  <si>
    <t>Un accès dédié partageable est créé · le règlement est réparti · pertinent EVJF / EVG / anniversaire / mariage</t>
  </si>
  <si>
    <t>TABL · Tablette</t>
  </si>
  <si>
    <t>→ 2 modalités de cagnotte au choix à l'étape 4.4 : 🤝 LIBRE (chacun donne ce qu'il veut) ou ⚖️ ÉQUITABLE (parts égales)</t>
  </si>
  <si>
    <t>ÉQUIPEMENT</t>
  </si>
  <si>
    <t>Équipement &amp; service du lieu</t>
  </si>
  <si>
    <t>4.4 · 🤝 INVITER DES PARTICIPANTS À L'EXPÉRIENCE (si ② Inviter des participants)</t>
  </si>
  <si>
    <t>POO_CLU</t>
  </si>
  <si>
    <t>Pool club / piscine club</t>
  </si>
  <si>
    <t>SHOW &amp; CABARET</t>
  </si>
  <si>
    <t>HEBERGEMENT·RESTAURANT·ACTIVITES·SOIREE·POI</t>
  </si>
  <si>
    <t>"Permettez à chaque participant de prendre part à ce séjour. Chacun contribue librement, en toute simplicité."</t>
  </si>
  <si>
    <t>Show / cabaret · troupe artistique · contenu CRM</t>
  </si>
  <si>
    <t>POO_CLU · Pool club / piscine club</t>
  </si>
  <si>
    <t>4.4.1</t>
  </si>
  <si>
    <t>NOM DU SÉJOUR (champ libre · ex "Week-end Marrakech - Signature SOLYVENTS")</t>
  </si>
  <si>
    <t>4.4.2</t>
  </si>
  <si>
    <t>BCH_CLU</t>
  </si>
  <si>
    <t>Beach club</t>
  </si>
  <si>
    <t>MODALITÉ DE PARTICIPATION : 2 cartes au choix</t>
  </si>
  <si>
    <t>🤝 LIBRE</t>
  </si>
  <si>
    <t>BCH_CLU · Beach club</t>
  </si>
  <si>
    <t>LIVE MUSIC</t>
  </si>
  <si>
    <t>"Chacun contribue selon son souhait" · bloc "RÉGLER UNE PREMIÈRE PART" · saisir montant à régler maintenant · bouton "Régler ma part via PayPal" · solde devient cagnotte libre</t>
  </si>
  <si>
    <t>Concert live · musicien · groupe sur scène · contenu CRM</t>
  </si>
  <si>
    <t>⚖️ ÉQUITABLE</t>
  </si>
  <si>
    <t>"Le montant est réparti de manière égale entre les participants" · "Nombre de participants (parts)" menu déroulant · calcul auto montant/part</t>
  </si>
  <si>
    <t>SPA</t>
  </si>
  <si>
    <t>Note</t>
  </si>
  <si>
    <t>Spa</t>
  </si>
  <si>
    <t>"Si vous participez également, pensez à vous inclure parmi les contributeurs."</t>
  </si>
  <si>
    <t>SPA · Spa</t>
  </si>
  <si>
    <t>HAM_TRA</t>
  </si>
  <si>
    <t>IMMERSION MAROCAINE</t>
  </si>
  <si>
    <t>Hammam traditionnel</t>
  </si>
  <si>
    <t>Immersion locale (gnaoua · rituels nocturnes)</t>
  </si>
  <si>
    <t>HAM_TRA · Hammam traditionnel</t>
  </si>
  <si>
    <t>🔒 Sécurité</t>
  </si>
  <si>
    <t>"Un accès sécurisé sera généré à l'étape suivante. Vous pourrez suivre les contributions en toute transparence."</t>
  </si>
  <si>
    <t>CTA</t>
  </si>
  <si>
    <t>CONTINUER ET GÉNÉRER L'ACCÈS → lien partageable envoyé aux participants</t>
  </si>
  <si>
    <t>YOG_OUT</t>
  </si>
  <si>
    <t>Yoga en plein air</t>
  </si>
  <si>
    <t>━━ AK · ACTIVITÉS KIDS (5 codes · NOUVEAUX V1) ━━</t>
  </si>
  <si>
    <t>4.5 · 🔒 RÉGLEZ VOTRE SÉJOUR EN TOUTE SÉCURITÉ</t>
  </si>
  <si>
    <t>YOG_OUT · Yoga en plein air</t>
  </si>
  <si>
    <t>PayPal</t>
  </si>
  <si>
    <t>Bouton "Payer avec PayPal"</t>
  </si>
  <si>
    <t>AK</t>
  </si>
  <si>
    <t>KID_CLU</t>
  </si>
  <si>
    <t>Kids club</t>
  </si>
  <si>
    <t>CB</t>
  </si>
  <si>
    <t>CRÉATIF &amp; LUDIQUE</t>
  </si>
  <si>
    <t>Bouton "Carte bancaire" (Optimisé par PayPal)</t>
  </si>
  <si>
    <t>Ateliers · artisanat · poterie · arts plastiques · Peinture · Musique · Théâtre</t>
  </si>
  <si>
    <t>KID_CLU · Kids club</t>
  </si>
  <si>
    <t>🛡️ "Paiement 100% sécurisé via PayPal" · Bouton VALIDER → ÉTAPE 5</t>
  </si>
  <si>
    <t>Widget "SOLY · ASSISTANCE" : "Chaque détail peut être personnalisé." (chat assistance live)</t>
  </si>
  <si>
    <t>4.6 · ⬅ MODIFIER · retour à ÉTAPE 3 possible</t>
  </si>
  <si>
    <t>BAB</t>
  </si>
  <si>
    <t>Babysitting</t>
  </si>
  <si>
    <t>═══ ÉTAPE 5 · CONFIRMATION ═══</t>
  </si>
  <si>
    <t>BAB · Babysitting</t>
  </si>
  <si>
    <t>DÉCOUVERTE &amp; APPRENTISSAGE</t>
  </si>
  <si>
    <t>Cuisine · culture · histoire · sciences ludiques · Ateliers scientifiques · Contes · Langues</t>
  </si>
  <si>
    <t>BAR_POO</t>
  </si>
  <si>
    <t>5.1 · ⚡ CONFIRMATION IMMÉDIATE</t>
  </si>
  <si>
    <t>Bar poolside</t>
  </si>
  <si>
    <t>Déclencheur</t>
  </si>
  <si>
    <t>BAR_POO · Bar poolside</t>
  </si>
  <si>
    <t>Paiement en 1 fois :
• ① Je règle la totalité (solo)</t>
  </si>
  <si>
    <t>NATURE &amp; EXPLORATION</t>
  </si>
  <si>
    <t>Comportement</t>
  </si>
  <si>
    <t>Animaux · plein air · randonnée junior · découverte faune · Ferme pédagogique · Balade poney · Jardin</t>
  </si>
  <si>
    <t>• Confirmation instantanée après validation PayPal/CB
• Email de confirmation envoyé
• Feuille de route VALIDÉE
• Accès appli SOLY activé
• Cumul fidélité enregistré</t>
  </si>
  <si>
    <t>BAR_RTP</t>
  </si>
  <si>
    <t>Bar rooftop</t>
  </si>
  <si>
    <t>BAR_RTP · Bar rooftop</t>
  </si>
  <si>
    <t>BAR_LOU</t>
  </si>
  <si>
    <t>Bar lounge</t>
  </si>
  <si>
    <t>5.2 · ⏳ CONFIRMATION DIFFÉRÉE · multi-payeurs (délai 24h)</t>
  </si>
  <si>
    <t>BAR_LOU · Bar lounge</t>
  </si>
  <si>
    <t>TER</t>
  </si>
  <si>
    <t>Terrasse</t>
  </si>
  <si>
    <t>• ② Inviter + ⚖️ ÉQUITABLE
• ② Inviter + 🤝 LIBRE avec cagnotte ouverte</t>
  </si>
  <si>
    <t>TER · Terrasse</t>
  </si>
  <si>
    <t>LOISIRS &amp; ÉNERGIE</t>
  </si>
  <si>
    <t>Parcs · sports · piscine · jeux d'eau · Accrobranche · Karting junior · Trampoline</t>
  </si>
  <si>
    <t>Pendant 24h</t>
  </si>
  <si>
    <t>• Statut "EN COURS DE COLLECTE"
• Affichage % collecté en temps réel
• Suivi contributions transparent
• Notifications à chaque contribution</t>
  </si>
  <si>
    <t>ART_ATE</t>
  </si>
  <si>
    <t>Atelier d'art</t>
  </si>
  <si>
    <t>Si 100% &lt; 24h</t>
  </si>
  <si>
    <t>• Confirmation FINALE auto
• Email à tous les participants
• Feuille de route VALIDÉE
• Cumul fidélité réparti selon contributions</t>
  </si>
  <si>
    <t>ART_ATE · Atelier d'art</t>
  </si>
  <si>
    <t>⚠️ Si &gt; 24h</t>
  </si>
  <si>
    <t>Notification au CLIENT INITIATEUR · 2 choix :
🅐 JE COMPLÈTE LA CAGNOTTE
 Initiateur règle solde manquant · se fait rembourser par participants en direct (hors plateforme) · confirmation déclenchée · fidélité ajustée
🅑 J'ANNULE LE SÉJOUR
 Remboursement automatique des contributeurs · statut séjour ANNULÉ
Doctrine : SOLYVENTS ne gère PAS le recouvrement entre participants</t>
  </si>
  <si>
    <t>DJ</t>
  </si>
  <si>
    <t>DJ · DJ</t>
  </si>
  <si>
    <t>SÉRÉNITÉ PARENTS</t>
  </si>
  <si>
    <t>DJ_LOU</t>
  </si>
  <si>
    <t>═══ DOCTRINES TRANSVERSES ═══</t>
  </si>
  <si>
    <t>DJ lounge</t>
  </si>
  <si>
    <t>Babysitting premium · garde d'enfants · nounou multilingue · Garde de nuit · Kids club hôtel</t>
  </si>
  <si>
    <t>DJ_LOU · DJ lounge</t>
  </si>
  <si>
    <t>🎖️ DOCTRINE FIDÉLITÉ × MODE DE PAIEMENT</t>
  </si>
  <si>
    <t>CLU</t>
  </si>
  <si>
    <t>Club / nightlife</t>
  </si>
  <si>
    <t>CLU · Club / nightlife</t>
  </si>
  <si>
    <t>① · SEUL (règle la totalité)</t>
  </si>
  <si>
    <t>1 CLIENT_ID · 1 feuille de route · 1 programme fidélité (cumul ou démarrage)</t>
  </si>
  <si>
    <t>QUA</t>
  </si>
  <si>
    <t>Quad (inféré)</t>
  </si>
  <si>
    <t>② · ÉQUITABLE (parts égales)</t>
  </si>
  <si>
    <t>N CLIENT_ID · 1 feuille de route commune · N programmes fidélité (cumul au prorata des contributions)</t>
  </si>
  <si>
    <t>QUA · Quad (inféré)</t>
  </si>
  <si>
    <t>② · LIBRE (contribution libre)</t>
  </si>
  <si>
    <t>BGY</t>
  </si>
  <si>
    <t>━━ RG · RÉGIMES ALIMENTAIRES · contraintes client (2 codes · V1) ━━</t>
  </si>
  <si>
    <t>Buggy (inféré)</t>
  </si>
  <si>
    <t>Assimilable au ① · 1 bénéficiaire fidélité (initiateur) · les autres contribuent sans cumuler</t>
  </si>
  <si>
    <t>BGY · Buggy (inféré)</t>
  </si>
  <si>
    <t>DRM</t>
  </si>
  <si>
    <t>Dromadaire / balade chameau (inféré)</t>
  </si>
  <si>
    <t>🏆 MATRICE 4 NIVEAUX × 3 VOIES (logique OU)</t>
  </si>
  <si>
    <t>DRM · Dromadaire / balade chameau (inféré)</t>
  </si>
  <si>
    <t>AST</t>
  </si>
  <si>
    <t>Code</t>
  </si>
  <si>
    <t>Astronomie / observation étoiles (inféré)</t>
  </si>
  <si>
    <t>Niveau</t>
  </si>
  <si>
    <t>AST · Astronomie / observation étoiles (inféré)</t>
  </si>
  <si>
    <t>Points / Voyages / CA</t>
  </si>
  <si>
    <t>Accès</t>
  </si>
  <si>
    <t>AGA</t>
  </si>
  <si>
    <t>Agafay / désert (excursion journée)</t>
  </si>
  <si>
    <t>FID-VOY</t>
  </si>
  <si>
    <t>VOYAGEUR</t>
  </si>
  <si>
    <t>AGA · Agafay / désert (excursion journée)</t>
  </si>
  <si>
    <t>≥1 pt · ≥1 voy · &gt;0 €</t>
  </si>
  <si>
    <t>Auto au 1er paiement validé</t>
  </si>
  <si>
    <t>4X4</t>
  </si>
  <si>
    <t>FID-HAB</t>
  </si>
  <si>
    <t>Excursion 4×4 / tout-terrain</t>
  </si>
  <si>
    <t>HABITUÉ</t>
  </si>
  <si>
    <t>ACTIVITES·POI</t>
  </si>
  <si>
    <t>≥1 000 · ≥3 voy · ≥10 000 €</t>
  </si>
  <si>
    <t>4X4 · Excursion 4×4 / tout-terrain</t>
  </si>
  <si>
    <t>Auto si UNE condition atteinte</t>
  </si>
  <si>
    <t>EV-INTERNE</t>
  </si>
  <si>
    <t>FID-HOT</t>
  </si>
  <si>
    <t>HÔTE</t>
  </si>
  <si>
    <t>RG</t>
  </si>
  <si>
    <t>≥4 000 · ≥5 voy · ≥40 000 €</t>
  </si>
  <si>
    <t>Pack interne back-office (déclenché par EV-AUT · puisé par le conseiller SOLY)</t>
  </si>
  <si>
    <t>Pas de viande/poisson</t>
  </si>
  <si>
    <t>EV-SEM</t>
  </si>
  <si>
    <t>FID-AMB</t>
  </si>
  <si>
    <t>AMBASSADEUR</t>
  </si>
  <si>
    <t>Séminaire</t>
  </si>
  <si>
    <t>≥10 000 · ≥8 voy · ≥100 000 €</t>
  </si>
  <si>
    <t>Cooptation SOLY obligatoire</t>
  </si>
  <si>
    <t>back-office CRM (sur-mesure · pas de tag de tri)</t>
  </si>
  <si>
    <t>CRM · conseiller (hors onglets data)</t>
  </si>
  <si>
    <t>EV-SEM · Séminaire</t>
  </si>
  <si>
    <t>Règle conversion : 1 point fidélité = 10 € dépensés (bonus possibles : NPS · parrainage · partages)</t>
  </si>
  <si>
    <t>Allergènes à signaler au prestataire / au lieu</t>
  </si>
  <si>
    <t>EV-GALA</t>
  </si>
  <si>
    <t>🔄 STATUTS FEUILLE DE ROUTE (cycle de vie devis)</t>
  </si>
  <si>
    <t>Gala privé</t>
  </si>
  <si>
    <t>EV-GALA · Gala privé</t>
  </si>
  <si>
    <t>TEMPORAIRE</t>
  </si>
  <si>
    <t>Session anonyme · étapes 1-2-3 sans login · visible client ✓</t>
  </si>
  <si>
    <t>━━ SE · SÉCURITÉ PRIVÉE (add-on choisi dans le DEVIS · étape 3) ━━</t>
  </si>
  <si>
    <t>EV-DES</t>
  </si>
  <si>
    <t>ENREGISTRÉ</t>
  </si>
  <si>
    <t>Expérience désert</t>
  </si>
  <si>
    <t>Devis sauvegardé après login · visible client ✓</t>
  </si>
  <si>
    <t>EV-DES · Expérience désert</t>
  </si>
  <si>
    <t>EN_COURS_COLLECTE</t>
  </si>
  <si>
    <t>Cagnotte ouverte · 24h démarrées · visible client ✓</t>
  </si>
  <si>
    <t>EV-DIN</t>
  </si>
  <si>
    <t>COMPLET_EN_ATTENTE_24H</t>
  </si>
  <si>
    <t>EV-DIN · Dîner privé</t>
  </si>
  <si>
    <t>100% payé avant J+24h (confirmation immédiate) · visible client ✓</t>
  </si>
  <si>
    <t>EV-NET</t>
  </si>
  <si>
    <t>INCOMPLET_J+24H</t>
  </si>
  <si>
    <t>Networking</t>
  </si>
  <si>
    <t>Cagnotte pas complète · attente choix initiateur · visible client ✓</t>
  </si>
  <si>
    <t>EV-NET · Networking</t>
  </si>
  <si>
    <t>VALIDE</t>
  </si>
  <si>
    <t>SE</t>
  </si>
  <si>
    <t>Confirmation finale · roadbook activé · visible client ✓</t>
  </si>
  <si>
    <t>EV-BAB</t>
  </si>
  <si>
    <t>Baby shower</t>
  </si>
  <si>
    <t>[CLIENT] Profil bas · observation à distance</t>
  </si>
  <si>
    <t>ANNULE</t>
  </si>
  <si>
    <t>EV-BAB · Baby shower</t>
  </si>
  <si>
    <t>🔒 BACKOFFICE UNIQUEMENT · invisible client · usage opérateur SOLY pour force majeure</t>
  </si>
  <si>
    <t>EV-MAR</t>
  </si>
  <si>
    <t>✓ client</t>
  </si>
  <si>
    <t>⚙️ DOCTRINE ANNULE (V1) · Pas de bouton "Annuler" en self-service côté client. Standard luxe (Quintessentially, Roxy Concierge, etc.) : l'annulation passe par SOLY ASSISTANCE. L'opérateur traite humain par humain · honoraires SOLY (conception/orchestration) toujours acquis · remboursements partiels selon politique vendor.</t>
  </si>
  <si>
    <t>EV-MAR · Mariage</t>
  </si>
  <si>
    <t>[CLIENT] Agent en civil · garde rapprochée discrète</t>
  </si>
  <si>
    <t>EV-BAP</t>
  </si>
  <si>
    <t>Baptême</t>
  </si>
  <si>
    <t>EV-BAP · Baptême</t>
  </si>
  <si>
    <t>EV-FIA</t>
  </si>
  <si>
    <t>Fiançailles</t>
  </si>
  <si>
    <t>EV-FIA · Fiançailles</t>
  </si>
  <si>
    <t>[CLIENT] Agent femme · accompagnement discret</t>
  </si>
  <si>
    <t>EV-ANV</t>
  </si>
  <si>
    <t>Anniv. de mariage (noces)</t>
  </si>
  <si>
    <t>EV-ANV · Anniv. de mariage (noces)</t>
  </si>
  <si>
    <t>EV-RET</t>
  </si>
  <si>
    <t>Retraite</t>
  </si>
  <si>
    <t>[CLIENT] Protection continue · roulement 24h/24</t>
  </si>
  <si>
    <t>EV-RET · Retraite</t>
  </si>
  <si>
    <t>📌 Cet onglet est la RÉFÉRENCE PIVOT du référentiel V1 · tous les autres onglets s'alignent dessus.</t>
  </si>
  <si>
    <t>EV-REU</t>
  </si>
  <si>
    <t>Réunion famille</t>
  </si>
  <si>
    <t>EV-REU · Réunion famille</t>
  </si>
  <si>
    <t>[CLIENT] Évaluation des besoins · devis sur mesure</t>
  </si>
  <si>
    <t>EV-VOW</t>
  </si>
  <si>
    <t>Renouvellement vœux</t>
  </si>
  <si>
    <t>EV-VOW · Renouvellement vœux</t>
  </si>
  <si>
    <t>━━━━━ ▼ BLOC CLIENT · ESPACE APP (après réservation) ━━━━━</t>
  </si>
  <si>
    <t>SE-OPER</t>
  </si>
  <si>
    <t>Sécurité opérationnelle (auto-injectée par le PACK ÉVÉNEMENT · grille tarifs)</t>
  </si>
  <si>
    <t>SE-ESC</t>
  </si>
  <si>
    <t>Escorte / accompagnement rapproché</t>
  </si>
  <si>
    <t>back-office / opérationnel (pas de tag de tri)</t>
  </si>
  <si>
    <t>Pack CRM · devis (hors onglets data)</t>
  </si>
  <si>
    <t>━━ FID · PROGRAMME FIDÉLITÉ CLIENT (4 codes) ━━</t>
  </si>
  <si>
    <t>SE-ESC · Escorte / accompagnement rapproché</t>
  </si>
  <si>
    <t>Hors bible (couche opérationnelle) · auto-injecté si EV-* coché</t>
  </si>
  <si>
    <t>SE-EVE</t>
  </si>
  <si>
    <t>Sécurité événementielle</t>
  </si>
  <si>
    <t>⚙ DÉRIVÉ MOTEUR · calculé automatiquement · n'est PAS un choix client</t>
  </si>
  <si>
    <t>SE-EVE · Sécurité événementielle</t>
  </si>
  <si>
    <t>SE-MUL</t>
  </si>
  <si>
    <t>Dispositif multi-sites</t>
  </si>
  <si>
    <t>SE-MUL · Dispositif multi-sites</t>
  </si>
  <si>
    <t>Type d'hébergement</t>
  </si>
  <si>
    <t>filtre (type)</t>
  </si>
  <si>
    <t>HEBERGEMENT</t>
  </si>
  <si>
    <t>FID</t>
  </si>
  <si>
    <t>Entrée libre · 0 pts · 1 demande/jour 9h-17h</t>
  </si>
  <si>
    <t>← MATCHING ét.1 (1.5.2) · single-select type hébergement</t>
  </si>
  <si>
    <t>Matching · App client</t>
  </si>
  <si>
    <t>Automatique · 1 000 pts · 2 demandes/jour 9h-17h</t>
  </si>
  <si>
    <t>← MATCHING ét.1 (1.5.2)</t>
  </si>
  <si>
    <t>Automatique · 4 000 pts · 3 demandes/jour 9h-20h</t>
  </si>
  <si>
    <t>Sur invitation SOLY · 10 000 pts · demandes illimitées · 24h/24</t>
  </si>
  <si>
    <t>━━ FB · FEEDBACK CLIENT (4 codes) ━━</t>
  </si>
  <si>
    <t>filtre (combinaison)</t>
  </si>
  <si>
    <t>← MATCHING ét.1 · multi-lieux composé par SOLY (pas un 6e type)</t>
  </si>
  <si>
    <t>FB</t>
  </si>
  <si>
    <t>FB-COM</t>
  </si>
  <si>
    <t>Usage événementiel (client)</t>
  </si>
  <si>
    <t>COMMENTAIRE LIBRE</t>
  </si>
  <si>
    <t>Analyse sémantique IA · détection signaux faibles</t>
  </si>
  <si>
    <t>filtre + tri + pack</t>
  </si>
  <si>
    <t>→ bible DEM_MAR · déverse 2 PACKS CRM</t>
  </si>
  <si>
    <t>FB-SUG</t>
  </si>
  <si>
    <t>SUGGESTION</t>
  </si>
  <si>
    <t>Proposition d'amélioration</t>
  </si>
  <si>
    <t>→ bible ANNIV_FES · déverse 2 PACKS CRM</t>
  </si>
  <si>
    <t>FB-PROB</t>
  </si>
  <si>
    <t>INCIDENT SIGNALÉ</t>
  </si>
  <si>
    <t>Réclamation ou problème rencontré</t>
  </si>
  <si>
    <t>→ bible ANNIV_FAM · seul EV ouvrant le choix nb d'enfants</t>
  </si>
  <si>
    <t>FB-COUP</t>
  </si>
  <si>
    <t>COUP DE CŒUR</t>
  </si>
  <si>
    <t>Moment marquant du séjour</t>
  </si>
  <si>
    <t>→ bible EVJF · déverse 2 PACKS CRM</t>
  </si>
  <si>
    <t>━━ NPS · ÉVALUATION POST-SÉJOUR CLIENT (4 codes) ━━</t>
  </si>
  <si>
    <t>→ bible EVG · déverse 2 PACKS CRM</t>
  </si>
  <si>
    <t>filtre (libre)</t>
  </si>
  <si>
    <t>Catégorie parente · pas de pack · conseiller puise biblio EV-* back-office</t>
  </si>
  <si>
    <t>Activité matinée / après-midi</t>
  </si>
  <si>
    <t>← MATCHING ét.2 (2.4 matinée) · multi-select</t>
  </si>
  <si>
    <t>← MATCHING ét.2 (2.4)</t>
  </si>
  <si>
    <t>NPS</t>
  </si>
  <si>
    <t>NPS-DETRA</t>
  </si>
  <si>
    <t>DÉTRACTEUR</t>
  </si>
  <si>
    <t>Score 0-6 · client mécontent · impact coef SOLY × 0.95</t>
  </si>
  <si>
    <t>NPS-PASSI</t>
  </si>
  <si>
    <t>PASSIF</t>
  </si>
  <si>
    <t>Score 7-8 · client neutre/correct · coef inchangé</t>
  </si>
  <si>
    <t>filtre + tri · EXCLUSIF</t>
  </si>
  <si>
    <t>Exclusif : occupe la matinée, désactive 2.5 déjeuner + 2.6 après-midi</t>
  </si>
  <si>
    <t>NPS-PROMO</t>
  </si>
  <si>
    <t>PROMOTEUR</t>
  </si>
  <si>
    <t>Score 9-10 · client enthousiaste · impact coef SOLY × 1.02 · candidat ambassadeur</t>
  </si>
  <si>
    <t>← MATCHING ét.2 (2.6 après-midi) · transition vers la soirée</t>
  </si>
  <si>
    <t>Restauration · déjeuner</t>
  </si>
  <si>
    <t>NPS-NORE</t>
  </si>
  <si>
    <t>NON-RÉPONSE</t>
  </si>
  <si>
    <t>Pas de réponse · coef inchangé × 1.00 · relance auto à J+7</t>
  </si>
  <si>
    <t>RESTAURANT</t>
  </si>
  <si>
    <t>← MATCHING ét.2 (2.5 déjeuner) · multi-select</t>
  </si>
  <si>
    <t>━━━━━ ▼ BLOC INTERNE · attributs prestataires (récoltés à l'onboarding · WEB ✗) ━━━━━</t>
  </si>
  <si>
    <t>← MATCHING ét.2 (2.5)</t>
  </si>
  <si>
    <t>TR</t>
  </si>
  <si>
    <t>━━ ST · STANDING (3 codes · aligné moteur) ━━</t>
  </si>
  <si>
    <t>✓ d'office</t>
  </si>
  <si>
    <t>Haut de gamme · 5⁎ / boutique premium · TIER Silver-Gold</t>
  </si>
  <si>
    <t>Matching · Onboarding</t>
  </si>
  <si>
    <t>Luxe affirmé · riad / boutique d'exception · TIER Gold+</t>
  </si>
  <si>
    <t>Restauration · dîner</t>
  </si>
  <si>
    <t>Palace · adresse iconique · TIER Platinum · VIP confidentiel</t>
  </si>
  <si>
    <t>← MATCHING ét.2 (2.7 dîner) · multi-select</t>
  </si>
  <si>
    <t>━━ AMB · AMBIANCE (5 codes · aligné moteur) ━━</t>
  </si>
  <si>
    <t>← MATCHING ét.2 (2.7)</t>
  </si>
  <si>
    <t>Romantique · intime · +20 pts (M1) · priorise pack Signature</t>
  </si>
  <si>
    <t>Zen · bien-être · immersion · priorise pack Immersif</t>
  </si>
  <si>
    <t>Festif · DJ · groupe · priorise Expérientiel · ✕ incompatible Zen</t>
  </si>
  <si>
    <t>Soirée / nightlife</t>
  </si>
  <si>
    <t>SOIREE NIGHTLIFE</t>
  </si>
  <si>
    <t>Business · corporate · lounge · priorise pack Corporate</t>
  </si>
  <si>
    <t>← MATCHING ét.2 (2.8 soirée) · multi-select</t>
  </si>
  <si>
    <t>← MATCHING ét.2 (2.8)</t>
  </si>
  <si>
    <t>Familial · multi-générations · POI famille</t>
  </si>
  <si>
    <t>━━ KD · ÉQUIPEMENTS ENFANTS (attributs HÉBERGEMENT + ESPACES) ━━</t>
  </si>
  <si>
    <t>Activité enfants</t>
  </si>
  <si>
    <t>ACTIVITES</t>
  </si>
  <si>
    <t>← MATCHING ét.2 (2.9 enfants) · nb_enfants &gt; 0</t>
  </si>
  <si>
    <t>KD</t>
  </si>
  <si>
    <t>KD-KFR</t>
  </si>
  <si>
    <t>KIDS FRIENDLY</t>
  </si>
  <si>
    <t>← MATCHING ét.2 (2.9) · nb_enfants &gt; 0</t>
  </si>
  <si>
    <t>[Attribut HEB+ESP] Enfants bienvenus · caractérise lieu familial</t>
  </si>
  <si>
    <t>KD-CLB</t>
  </si>
  <si>
    <t>KIDS CLUB</t>
  </si>
  <si>
    <t>[Attribut HEB+ESP] Kids club structuré · personnel dédié</t>
  </si>
  <si>
    <t>KD-PIS</t>
  </si>
  <si>
    <t>PISCINE SÉCURISÉE</t>
  </si>
  <si>
    <t>[Attribut HEB+ESP] Piscine clôturée · zone enfants sécurisée</t>
  </si>
  <si>
    <t>Régime / contrainte alimentaire</t>
  </si>
  <si>
    <t>KD-ACT</t>
  </si>
  <si>
    <t>ÉQUIPEMENT activités enfants (du lieu)</t>
  </si>
  <si>
    <t>[Attribut HEB+ESP] Équipements/activités enfants sur le lieu</t>
  </si>
  <si>
    <t>Filtre dur · exige l'attribut lieu VENUE_VEGETARIAN</t>
  </si>
  <si>
    <t>━━ EVT · PRESTATAIRE ÉVÉNEMENTIEL (46 codes) ━━</t>
  </si>
  <si>
    <t>filtre (info)</t>
  </si>
  <si>
    <t>Non éliminatoire · signalement au prestataire</t>
  </si>
  <si>
    <t>Transport (add-on devis)</t>
  </si>
  <si>
    <t>suggéré d'office</t>
  </si>
  <si>
    <t>EVT</t>
  </si>
  <si>
    <t>EVT-FLO</t>
  </si>
  <si>
    <t>≈ gamme MASTER BER_E · inclus par défaut</t>
  </si>
  <si>
    <t>Fleuriste événementiel</t>
  </si>
  <si>
    <t>Décoration</t>
  </si>
  <si>
    <t>upgrade devis</t>
  </si>
  <si>
    <t>EVT-ARC</t>
  </si>
  <si>
    <t>Décorateur arches &amp; cérémonies</t>
  </si>
  <si>
    <t>≈ gamme MASTER BER_S</t>
  </si>
  <si>
    <t>EVT-LOC</t>
  </si>
  <si>
    <t>Loueur mobilier événementiel</t>
  </si>
  <si>
    <t>≈ gamme MASTER SUV</t>
  </si>
  <si>
    <t>EVT-LUM</t>
  </si>
  <si>
    <t>Prestataire éclairage</t>
  </si>
  <si>
    <t>Son &amp; lumière</t>
  </si>
  <si>
    <t>EVT-SOU</t>
  </si>
  <si>
    <t>Prestataire sonorisation</t>
  </si>
  <si>
    <t>≈ gamme MASTER VC (V-Class)</t>
  </si>
  <si>
    <t>POI</t>
  </si>
  <si>
    <t>Point d'intérêt</t>
  </si>
  <si>
    <t>EVT-SCR</t>
  </si>
  <si>
    <t>Prestataire audiovisuel</t>
  </si>
  <si>
    <t>← 🔖 CODES DE RÉFÉRENCE B261 (BIBLE V1) · famille POI canonique</t>
  </si>
  <si>
    <t>EVT-LAS</t>
  </si>
  <si>
    <t>Prestataire mapping vidéo</t>
  </si>
  <si>
    <t>🎯 MATCHING · table remappée sur 🔖 CODES DE RÉFÉRENCE + 🌐 PARCOURS WEB · spécification d'ENTRÉE du futur MOTEUR · tags nus · codes manquants = ⚠ à créer</t>
  </si>
  <si>
    <t>← 🔖 CODES DE RÉFÉRENCE B262 (BIBLE V1)</t>
  </si>
  <si>
    <t>EVT-PYR</t>
  </si>
  <si>
    <t>Prestataire pyrotechnie</t>
  </si>
  <si>
    <t>EVT-FXS</t>
  </si>
  <si>
    <t>Prestataire effets spéciaux</t>
  </si>
  <si>
    <t>← 🔖 CODES DE RÉFÉRENCE B263 (BIBLE V1)</t>
  </si>
  <si>
    <t>CODE CLIENT</t>
  </si>
  <si>
    <t>TYPE</t>
  </si>
  <si>
    <t>EVT-DJ</t>
  </si>
  <si>
    <t>SLOT / ÉTAPE</t>
  </si>
  <si>
    <t>Animation</t>
  </si>
  <si>
    <t>← 🔖 CODES DE RÉFÉRENCE B264 (BIBLE V1)</t>
  </si>
  <si>
    <t>FILTRE DUR (élimine)</t>
  </si>
  <si>
    <t>TAGS DE TRI (scoring · nus)</t>
  </si>
  <si>
    <t>RÈGLE MÉTIER</t>
  </si>
  <si>
    <t>Δ vs V1 / NOTE</t>
  </si>
  <si>
    <t>EVT-LIV</t>
  </si>
  <si>
    <t>Musicien live</t>
  </si>
  <si>
    <t>← 🔖 CODES DE RÉFÉRENCE B265 (BIBLE V1)</t>
  </si>
  <si>
    <t>SE-PRIV</t>
  </si>
  <si>
    <t>Sécurité privée (add-on devis)</t>
  </si>
  <si>
    <t>EVT-GNA</t>
  </si>
  <si>
    <t>Groupe gnaoua</t>
  </si>
  <si>
    <t>add-on devis (ét.3)</t>
  </si>
  <si>
    <t>DEVIS</t>
  </si>
  <si>
    <t>COMPOSITION</t>
  </si>
  <si>
    <t>← 🔖 CODES DE RÉFÉRENCE B87 (BIBLE V1) · distinct de SE-OPER opérationnel</t>
  </si>
  <si>
    <t>EVT-DAN</t>
  </si>
  <si>
    <t>Danseuse / performer</t>
  </si>
  <si>
    <t>« pour N »</t>
  </si>
  <si>
    <t>Taille du groupe</t>
  </si>
  <si>
    <t>filtre dur + tri</t>
  </si>
  <si>
    <t>EVT-ANI</t>
  </si>
  <si>
    <t>1.2 composition</t>
  </si>
  <si>
    <t>← 🔖 CODES DE RÉFÉRENCE B88 (BIBLE V1)</t>
  </si>
  <si>
    <t>Animateur événementiel</t>
  </si>
  <si>
    <t>capacité ≥ N</t>
  </si>
  <si>
    <t>PUB-SOL / PUB-CPL / PUB-FAM / PUB-GRP (selon compo)</t>
  </si>
  <si>
    <t>Dérive TV-SOL(1)/TV-CPL(2)/TV-GRP(≥3). PUB-GRP si N≥3. nb_enfants&gt;0 → PUB-FAM + ouvre slot 2.9.</t>
  </si>
  <si>
    <t>EVT-MAS</t>
  </si>
  <si>
    <t>Δ PUB-GRP conditionné au seuil N≥3 (V1: appliqué quel que soit N).</t>
  </si>
  <si>
    <t>Maître de cérémonie</t>
  </si>
  <si>
    <t>OR · esprit</t>
  </si>
  <si>
    <t>← 🔖 CODES DE RÉFÉRENCE B89 (BIBLE V1)</t>
  </si>
  <si>
    <t>tri (scoring global)</t>
  </si>
  <si>
    <t>1.4 esprit</t>
  </si>
  <si>
    <t>EVT-PHO</t>
  </si>
  <si>
    <t>—</t>
  </si>
  <si>
    <t>Photographe</t>
  </si>
  <si>
    <t>Photo &amp; vidéo</t>
  </si>
  <si>
    <t>AMB-ZEN · SPA · HAM_TRA · YOG_OUT</t>
  </si>
  <si>
    <t>Single-select obligatoire. Boost sur tout le séjour (HEB·RES·ACT·POI).</t>
  </si>
  <si>
    <t>← 🔖 CODES DE RÉFÉRENCE B90 (BIBLE V1)</t>
  </si>
  <si>
    <t>Δ amenities passées en ⚠ à créer (pas d'attribut lieu dans la bible).</t>
  </si>
  <si>
    <t>EVT-VID</t>
  </si>
  <si>
    <t>Vidéaste</t>
  </si>
  <si>
    <t>← 🔖 CODES DE RÉFÉRENCE B91 (BIBLE V1)</t>
  </si>
  <si>
    <t>AMB-ROM · PUB-CPL · TER · BAR_RTP</t>
  </si>
  <si>
    <t>Équipement enfants</t>
  </si>
  <si>
    <t>Boost global.</t>
  </si>
  <si>
    <t>EVT-DRN</t>
  </si>
  <si>
    <t>Télépilote drone</t>
  </si>
  <si>
    <t>HEBERGEMENT·ESPACES</t>
  </si>
  <si>
    <t>← 🔖 CODES DE RÉFÉRENCE B128 (BIBLE V1) · famille KD canonique</t>
  </si>
  <si>
    <t>AMB-FAM · PUB-FAM · KD-CLB · BAB</t>
  </si>
  <si>
    <t>EVT-MUA</t>
  </si>
  <si>
    <t>Maquilleuse professionnelle</t>
  </si>
  <si>
    <t>Beauté</t>
  </si>
  <si>
    <t>← 🔖 CODES DE RÉFÉRENCE B129 (BIBLE V1)</t>
  </si>
  <si>
    <t>EVT-HAI</t>
  </si>
  <si>
    <t>Coiffeuse événementielle</t>
  </si>
  <si>
    <t>AMB-FES · PUB-GRP · DJ · CLU · POO_CLU</t>
  </si>
  <si>
    <t>Boost global. ⚠ AMB-FES ✕ AMB-ZEN incompatibles (règle bible) → pénalité croisée.</t>
  </si>
  <si>
    <t>← 🔖 CODES DE RÉFÉRENCE B130 (BIBLE V1)</t>
  </si>
  <si>
    <t>EVT-NAI</t>
  </si>
  <si>
    <t>Styliste ongulaire</t>
  </si>
  <si>
    <t>← 🔖 CODES DE RÉFÉRENCE B131 (BIBLE V1) · ≠ atelier d'art (ART_ATE)</t>
  </si>
  <si>
    <t>AMB-PRO · PUB-PRO</t>
  </si>
  <si>
    <t>VENUE_VEGETARIAN</t>
  </si>
  <si>
    <t>EVT-BRB</t>
  </si>
  <si>
    <t>Lieu proposant une option végétarienne</t>
  </si>
  <si>
    <t>Barbier premium</t>
  </si>
  <si>
    <t>HB · héberg.</t>
  </si>
  <si>
    <t>Attribut lieu · requis par RG-VEG (filtre dur végétarien)</t>
  </si>
  <si>
    <t>1.5.2 atmosphère</t>
  </si>
  <si>
    <t>type hébergement = HB-HOT</t>
  </si>
  <si>
    <t>EVT-MASG</t>
  </si>
  <si>
    <t>Praticien massage à domicile</t>
  </si>
  <si>
    <t>ST-* · AMB-* (selon OR)</t>
  </si>
  <si>
    <t>Bien-être</t>
  </si>
  <si>
    <t>Single-select. N'apparaît que si prise en charge héberg. = OUI.</t>
  </si>
  <si>
    <t>Δ 6 codes complets (V1: 1 seul « HB-HOT… »).</t>
  </si>
  <si>
    <t>EVT-SPA</t>
  </si>
  <si>
    <t>Spa mobile</t>
  </si>
  <si>
    <t>1.5.2</t>
  </si>
  <si>
    <t>type hébergement = HB-INC</t>
  </si>
  <si>
    <t>EVT-HAM</t>
  </si>
  <si>
    <t>Single-select.</t>
  </si>
  <si>
    <t>Hammam &amp; rituels marocains</t>
  </si>
  <si>
    <t>EVT-YOG</t>
  </si>
  <si>
    <t>Professeur de yoga</t>
  </si>
  <si>
    <t>type hébergement = HB-RIA</t>
  </si>
  <si>
    <t>EVT-PIL</t>
  </si>
  <si>
    <t>Professeur de pilates</t>
  </si>
  <si>
    <t>EVT-FIT</t>
  </si>
  <si>
    <t>type hébergement = HB-COL</t>
  </si>
  <si>
    <t>Coach sportif privé</t>
  </si>
  <si>
    <t>EVT-TRA</t>
  </si>
  <si>
    <t>Traiteur événementiel</t>
  </si>
  <si>
    <t>Traiteur</t>
  </si>
  <si>
    <t>type hébergement = HB-NAT</t>
  </si>
  <si>
    <t>EVT-CHE</t>
  </si>
  <si>
    <t>Chef privé</t>
  </si>
  <si>
    <t>EVT-PAT</t>
  </si>
  <si>
    <t>Pâtissier événementiel</t>
  </si>
  <si>
    <t>Pâtisserie</t>
  </si>
  <si>
    <t>combinaison ≥ 2 types d'hébergement</t>
  </si>
  <si>
    <t>ST-SIG · ST-ULT · ACC-PRV</t>
  </si>
  <si>
    <t>Mode multi-lieux (ex : riad médina + camp désert) composé par SOLY. N'est PAS un 6e type. · IMPOSE automatiquement BG-LIBRE (le client ne choisit pas de tranche BG1–BG5).</t>
  </si>
  <si>
    <t>EVT-MIX</t>
  </si>
  <si>
    <t>Mixologue</t>
  </si>
  <si>
    <t>BG · budget</t>
  </si>
  <si>
    <t>Boissons</t>
  </si>
  <si>
    <t>EVT-WIN</t>
  </si>
  <si>
    <t>1.5.3</t>
  </si>
  <si>
    <t>Sommelier</t>
  </si>
  <si>
    <t>prix/nuit/chambre ≤ 300 €</t>
  </si>
  <si>
    <t>Prix/nuit/chambre.</t>
  </si>
  <si>
    <t>EVT-CAF</t>
  </si>
  <si>
    <t>Barista</t>
  </si>
  <si>
    <t>⚙️ MOTEUR · spécification de calcul SOLÝVENTS — séquencée sur le 🌐 PARCOURS WEB (Étapes 1→4) · V2</t>
  </si>
  <si>
    <t>300 &lt; prix ≤ 500</t>
  </si>
  <si>
    <t>EVT-JUS</t>
  </si>
  <si>
    <t>Bar à jus healthy</t>
  </si>
  <si>
    <t>📜 DOCTRINE · Le moteur suit le déroulé du parcours web. BLOC 0 (hors parcours) pré-qualifie chaque prestataire à l'onboarding (note intrinsèque → cloches LVL). Puis, à mesure que le client avance, le moteur applique les FILTRES DURS (éliminent) et le TRI (points, n'éliminent jamais) propres à chaque étape. Cellules JAUNES = seuls paramètres éditables.</t>
  </si>
  <si>
    <t>EVT-TEA</t>
  </si>
  <si>
    <t>Service thé marocain</t>
  </si>
  <si>
    <t>PIPELINE ▸ BLOC 0 Note intrinsèque /5 → cloches LVL │ ÉTAPE 1 filtres cadrage + tri esprit → ÉTAPE 2 filtres expériences + tri + packs EV → ÉTAPE 3 transport/sécurité/devis → ÉTAPE 4 classement final (note × coef NPS + Σ tri) + honoraires SOLÝ</t>
  </si>
  <si>
    <t>500 &lt; prix ≤ 800</t>
  </si>
  <si>
    <t>═══ BLOC 0 · PRÉ-QUALIFICATION PRESTATAIRE (onboarding · hors parcours client) → note intrinsèque /5 &amp; cloches LVL ═══</t>
  </si>
  <si>
    <t>Chaque score est noté 0–5 par le moteur à partir de la colonne source de la fiche. Note finale = Σ(score × poids)/100 (sur l'échelle 0–5 car Σ poids = 100). Les poids (jaune) sont éditables. Cette note est indépendante de la requête client — elle est calculée une fois, à l'onboarding.</t>
  </si>
  <si>
    <t>EVT-SHI</t>
  </si>
  <si>
    <t>Bar à chicha</t>
  </si>
  <si>
    <t>800 &lt; prix ≤ 1 200</t>
  </si>
  <si>
    <t>EVT-OYS</t>
  </si>
  <si>
    <t>Écailler / bar à huîtres</t>
  </si>
  <si>
    <t>SCORE</t>
  </si>
  <si>
    <t>Expérience culinaire</t>
  </si>
  <si>
    <t>SOURCE (fiche / bible)</t>
  </si>
  <si>
    <t>RÈGLE DE NOTATION 0–5</t>
  </si>
  <si>
    <t>ÉCHELLE</t>
  </si>
  <si>
    <t>EVT-FOC</t>
  </si>
  <si>
    <t>Food corner &amp; stands culinaires</t>
  </si>
  <si>
    <t>Food premium</t>
  </si>
  <si>
    <t>POIDS %</t>
  </si>
  <si>
    <t>prix/nuit/chambre ≥ 1 200 €</t>
  </si>
  <si>
    <t>DÉTAIL / BARÈME INDICATIF</t>
  </si>
  <si>
    <t>ST-SIG · ST-ULT</t>
  </si>
  <si>
    <t>M1</t>
  </si>
  <si>
    <t>STANDING</t>
  </si>
  <si>
    <t>EVT-WED</t>
  </si>
  <si>
    <t>Col. STANDING (ST) · bible ST-PRE/SIG/ULT</t>
  </si>
  <si>
    <t>Wedding planner</t>
  </si>
  <si>
    <t>Coordination</t>
  </si>
  <si>
    <t>Mappage standing → note</t>
  </si>
  <si>
    <t>0–5</t>
  </si>
  <si>
    <t>ST-ULT=5 · ST-SIG=4 · ST-PRE=3 · non renseigné=2</t>
  </si>
  <si>
    <t>M2</t>
  </si>
  <si>
    <t>EVT-EVP</t>
  </si>
  <si>
    <t>tri SEULEMENT</t>
  </si>
  <si>
    <t>RATINGS plateformes</t>
  </si>
  <si>
    <t>Organisateur EVJF / EVG</t>
  </si>
  <si>
    <t>Col. PLATEFORMES (RATING) · Google/Trip/Booking/Airbnb</t>
  </si>
  <si>
    <t>Moyenne pondérée des notes normalisées /5 (Booking /10 → /5), pondérée par nb d'avis (log)</t>
  </si>
  <si>
    <t>AUCUNE élimination · disponible UNIQUEMENT si HB-SUR</t>
  </si>
  <si>
    <t>note_norm × min(1 ; log10(1+avis)/3) · multi-plateformes = moyenne</t>
  </si>
  <si>
    <t>M3</t>
  </si>
  <si>
    <t>RÉSERVÉ à HB-SUR : jamais croisé avec un hébergement classique (HB-HOT/INC/RIA/COL/NAT). Sous HB-SUR, aucun filtre budget — SOLY compose le multi-lieux. Boost premium léger.</t>
  </si>
  <si>
    <t>LABELS &amp; DISTINCTIONS</t>
  </si>
  <si>
    <t>EVT-COR</t>
  </si>
  <si>
    <t>Δ RÈGLE — BG-LIBRE ⟺ HB-SUR (couplage exclusif). Classiques → BG1–BG5 obligatoire. Anti-set-vide géré dans le chemin HB-SUR.</t>
  </si>
  <si>
    <t>Organisateur événementiel corporate</t>
  </si>
  <si>
    <t>Bible LABEL-* (Relais&amp;Châteaux, Michelin Key, Virtuoso, LHW…)</t>
  </si>
  <si>
    <t>+1 par label majeur, plafonné à 5</t>
  </si>
  <si>
    <t>0 label=0 · 1=2 · 2=3,5 · 3=4,5 · 4+=5</t>
  </si>
  <si>
    <t>M4</t>
  </si>
  <si>
    <t>ANCIENNETÉ / RÉPUTATION</t>
  </si>
  <si>
    <t>Col. ANCIENNETÉ (ANC) · bible ANC-INST/ANC-NEW</t>
  </si>
  <si>
    <t>Institution = valeur sûre ; nouveau spot = potentiel</t>
  </si>
  <si>
    <t>EVT-CON</t>
  </si>
  <si>
    <t>Concierge événementiel</t>
  </si>
  <si>
    <t>ANC-INST=5 · standard=3 · ANC-NEW=3 (bonus découverte traité étape 4)</t>
  </si>
  <si>
    <t>EV · événement</t>
  </si>
  <si>
    <t>M5</t>
  </si>
  <si>
    <t>CLARTÉ DU POSITIONNEMENT</t>
  </si>
  <si>
    <t>Col. ATMOSPHÈRE (AMB) + ESPRIT (OR)</t>
  </si>
  <si>
    <t>Cohérence : AMB renseignée et non contradictoire</t>
  </si>
  <si>
    <t>EVT-HOS</t>
  </si>
  <si>
    <t>Agence hôtesses &amp; accueil</t>
  </si>
  <si>
    <t>AMB nette=5 · AMB générique=3 · conflit AMB-FES×AMB-ZEN=1</t>
  </si>
  <si>
    <t>Accueil</t>
  </si>
  <si>
    <t>M6</t>
  </si>
  <si>
    <t>usage = DEM_MAR · exactement 2 adultes</t>
  </si>
  <si>
    <t>ÉQUIPEMENTS &amp; SERVICES</t>
  </si>
  <si>
    <t>MASTER_TAGS ÉQUIPEMENT (spa, rooftop, pool club, DJ, terrasse…)</t>
  </si>
  <si>
    <t>AMB-ROM · ACC-PRV</t>
  </si>
  <si>
    <t>Densité d'équipements distinctifs détectés sur la fiche</t>
  </si>
  <si>
    <t>0 tag=1 · 1-2=3 · 3-4=4 · 5+=5</t>
  </si>
  <si>
    <t>EVT-VAL</t>
  </si>
  <si>
    <t>Cas exception (pas de mini 5). Déverse 2 PACKS CRM (fermés). Pack injecte SE-/EVT-/EP- via moteur.</t>
  </si>
  <si>
    <t>Service voiturier</t>
  </si>
  <si>
    <t>M7</t>
  </si>
  <si>
    <t>Transport</t>
  </si>
  <si>
    <t>FAMILLE / ENFANTS</t>
  </si>
  <si>
    <t>Col. KD (KD-KFR/CLB/PIS/ACT)</t>
  </si>
  <si>
    <t>Couverture des équipements enfants (neutre si lieu non familial)</t>
  </si>
  <si>
    <t>aucun=2,5(neutre) · KD-KFR=3,5 · +CLB/PIS/ACT=+0,5 chacun (max 5)</t>
  </si>
  <si>
    <t>M8</t>
  </si>
  <si>
    <t>ACCÈS &amp; PRIVATISATION</t>
  </si>
  <si>
    <t>EVT-ANE</t>
  </si>
  <si>
    <t>Col. TYPE D'ACCÈS (ACC) · ACC-PRV / privatisable</t>
  </si>
  <si>
    <t>Animateur enfants événementiel</t>
  </si>
  <si>
    <t>Capacité à offrir de l'exclusivité</t>
  </si>
  <si>
    <t>usage = ANNIV_FES · ≥ 5 adultes (obligatoire · blocage dur)</t>
  </si>
  <si>
    <t>Famille &amp; Enfants</t>
  </si>
  <si>
    <t>ACC-PRV=5 · ACC-CLI=3 · ACC-PUB seul=2</t>
  </si>
  <si>
    <t>Déverse 2 PACKS CRM.</t>
  </si>
  <si>
    <t>M9</t>
  </si>
  <si>
    <t>COUVERTURE PUBLICS</t>
  </si>
  <si>
    <t>Δ ajouté (split anniversaire V86).</t>
  </si>
  <si>
    <t>Col. PUBLIC (PUB-*)</t>
  </si>
  <si>
    <t>Largeur des publics adressés (sans diluer le positionnement)</t>
  </si>
  <si>
    <t>━━ RATING · NOTES &amp; AVIS CLIENTS (données chiffrées · satisfaction réelle) ━━</t>
  </si>
  <si>
    <t>1 public=3 · 2-3=4 · 4+=5 · incohérent=2</t>
  </si>
  <si>
    <t>M10</t>
  </si>
  <si>
    <t>DIGITALISATION / PRÉSENCE</t>
  </si>
  <si>
    <t>Cols. NIVEAU DIGITAL, SITE, INSTA, réseaux</t>
  </si>
  <si>
    <t>Présence en ligne actionnable</t>
  </si>
  <si>
    <t>usage = ANNIV_FAM · ≥ 5 adultes (obligatoire · blocage dur)</t>
  </si>
  <si>
    <t>Élevé+site+réseaux=5 · moyen=3 · faible/à compléter=1</t>
  </si>
  <si>
    <t>SEUL EV ouvrant le choix du nb d'enfants. Déverse 2 PACKS CRM.</t>
  </si>
  <si>
    <t>M11</t>
  </si>
  <si>
    <t>Δ ajouté (split V86).</t>
  </si>
  <si>
    <t>CONFORMITÉ RÉGLEMENTAIRE</t>
  </si>
  <si>
    <t>Cols. AUTORISATION, CLASSEMENT OFFICIEL (Maroc)</t>
  </si>
  <si>
    <t>Sécurité juridique du référencement</t>
  </si>
  <si>
    <t>conforme &amp; classé=5 · en cours=3 · NC=1</t>
  </si>
  <si>
    <t>usage = EVJF · ≥ 5 adultes (obligatoire · blocage dur)</t>
  </si>
  <si>
    <t>M12</t>
  </si>
  <si>
    <t>COMMERCIAL / PARTENARIAT</t>
  </si>
  <si>
    <t>RATING</t>
  </si>
  <si>
    <t>Cols. CONVENTION SIGNÉE, COMMISSION, STATUT CONTACT</t>
  </si>
  <si>
    <t>RAT-GOO</t>
  </si>
  <si>
    <t>Solidité de la relation SOLÝ</t>
  </si>
  <si>
    <t>GOOGLE</t>
  </si>
  <si>
    <t>Note /5 + nombre d'avis · satisfaction réelle</t>
  </si>
  <si>
    <t>convention signée=5 · en négociation=3 · non contacté=1</t>
  </si>
  <si>
    <t>M13</t>
  </si>
  <si>
    <t>FLEXIBILITÉ OPÉ (contraintes)</t>
  </si>
  <si>
    <t>MASTER_TAGS CONTRAINTE (NO_SMOKING, NO_LATE_MUSIC, NEIGH_SENSITIVE, NPH…)</t>
  </si>
  <si>
    <t>Score inversé : chaque contrainte dure retire de la flexibilité</t>
  </si>
  <si>
    <t>Parcours web · Matching · App client</t>
  </si>
  <si>
    <t>0 contrainte=5 · −1 par contrainte dure (plancher 1)</t>
  </si>
  <si>
    <t>RAT-TRI</t>
  </si>
  <si>
    <t>M14</t>
  </si>
  <si>
    <t>TRIPADVISOR</t>
  </si>
  <si>
    <t>SCORE SUR-MESURE</t>
  </si>
  <si>
    <t>Note /5 + nombre d'avis</t>
  </si>
  <si>
    <t>Bible SC · SCORE_SUR_MESURE (🆕) · capacité à privatiser/composer</t>
  </si>
  <si>
    <t>Aptitude à fermer un lieu / composer multi-lieux (HB-SUR)</t>
  </si>
  <si>
    <t>usage = EVG · ≥ 5 adultes (obligatoire · blocage dur)</t>
  </si>
  <si>
    <t>privatisation totale + multi-lieux=5 · privatisable partiel=3 · non=1</t>
  </si>
  <si>
    <t>TOTAL PONDÉRATIONS (doit faire 100)</t>
  </si>
  <si>
    <t>Δ ajouté.</t>
  </si>
  <si>
    <t>RAT-BOO</t>
  </si>
  <si>
    <t>Note /10 + nombre d'avis</t>
  </si>
  <si>
    <t>AUTRE</t>
  </si>
  <si>
    <t>usage libre (champ « à décrire »)</t>
  </si>
  <si>
    <t>Pas de pack CRM. SOLY Assistance 24h. Conseiller puise biblio interne (EV-SEM/GALA/DES/DIN/NET/BAB/MAR/BAP/FIA/ANV/RET/REU/VOW). Parcours non bloqué. EV-ANN = catégorie parente, pas un choix terminal.</t>
  </si>
  <si>
    <t>RAT-AIR</t>
  </si>
  <si>
    <t>EV · règle</t>
  </si>
  <si>
    <t>Règle moteur quota</t>
  </si>
  <si>
    <t>règle</t>
  </si>
  <si>
    <t>▸ EXEMPLE DE CALCUL · fiche fictive « Riad Signature » (modifiez les notes 0–5 en colonne F pour tester le moteur)</t>
  </si>
  <si>
    <t>IF nb_adultes_étape1 &lt; 5 (hors EV-DEM) → PACK INDISPONIBLE (blocage dur) · événement masqué/désactivé · message « Événement accessible à partir de 5 participants ». SEULE EXCEPTION : EV-DEM = 2 adultes.</t>
  </si>
  <si>
    <t>━━ LABEL · DISTINCTIONS PREMIUM (positionnement · reconnaissance) ━━</t>
  </si>
  <si>
    <t>AU · matinée</t>
  </si>
  <si>
    <t>2.4 matinée</t>
  </si>
  <si>
    <t>slot = matinée</t>
  </si>
  <si>
    <t>POI-VUE · QUA · BGY · DRM · AST</t>
  </si>
  <si>
    <t>NOTE 0–5</t>
  </si>
  <si>
    <t>Multi-select.</t>
  </si>
  <si>
    <t>CONTRIB = note × poids /100</t>
  </si>
  <si>
    <t>LABEL</t>
  </si>
  <si>
    <t>AU-SPO · YOG_OUT</t>
  </si>
  <si>
    <t>LAB-RC</t>
  </si>
  <si>
    <t>RELAIS &amp; CHÂTEAUX</t>
  </si>
  <si>
    <t>Δ ajouté (absent V1).</t>
  </si>
  <si>
    <t>Association internationale d'hôtels &amp; tables d'exception</t>
  </si>
  <si>
    <t>AMB-ZEN · POI-VIS · POI-IMM</t>
  </si>
  <si>
    <t>LAB-VIRT</t>
  </si>
  <si>
    <t>VIRTUOSO</t>
  </si>
  <si>
    <t>Réseau prestige d'agences de voyages de luxe</t>
  </si>
  <si>
    <t>LAB-MICH</t>
  </si>
  <si>
    <t>MICHELIN KEY</t>
  </si>
  <si>
    <t>Distinction hôtelière du Guide Michelin</t>
  </si>
  <si>
    <t>ST-SIG · ST-ULT · AU-ELI</t>
  </si>
  <si>
    <t>LAB-MMS</t>
  </si>
  <si>
    <t>MR &amp; MRS SMITH</t>
  </si>
  <si>
    <t>Curation hôtels boutique &amp; lifestyle</t>
  </si>
  <si>
    <t>slot = matinée · DÉSACTIVE 2.5 + 2.6</t>
  </si>
  <si>
    <t>AGA · 4X4</t>
  </si>
  <si>
    <t>Exclusif : ne restent accessibles que dîner (2.7) + soirée (2.8).</t>
  </si>
  <si>
    <t>Δ règle exclusivité précisée.</t>
  </si>
  <si>
    <t>RA-D · déjeuner</t>
  </si>
  <si>
    <t>2.5 déjeuner</t>
  </si>
  <si>
    <t>slot = déjeuner</t>
  </si>
  <si>
    <t>TER · BAR_POO</t>
  </si>
  <si>
    <t>LAB-TBL</t>
  </si>
  <si>
    <t>Multi-select · RESTAURANT.</t>
  </si>
  <si>
    <t>TABLET HOTELS</t>
  </si>
  <si>
    <t>Curation hôtels design</t>
  </si>
  <si>
    <t>AMB-ZEN · RA-DMA</t>
  </si>
  <si>
    <t>LAB-SLH</t>
  </si>
  <si>
    <t>SMALL LUXURY HOTELS</t>
  </si>
  <si>
    <t>Réseau international d'hôtels de luxe indépendants</t>
  </si>
  <si>
    <t>POO_CLU · BCH_CLU · BAR_POO</t>
  </si>
  <si>
    <t>POI-VUE · TER</t>
  </si>
  <si>
    <t>LAB-LHW</t>
  </si>
  <si>
    <t>LEADING HOTELS OF THE WORLD</t>
  </si>
  <si>
    <t>AU · après-midi</t>
  </si>
  <si>
    <t>AU-DES/SPO/CUL/BIE/ELI</t>
  </si>
  <si>
    <t>(idem matinée 2.4)</t>
  </si>
  <si>
    <t>2.6 après-midi</t>
  </si>
  <si>
    <t>slot = après-midi</t>
  </si>
  <si>
    <t>(mêmes tags que 2.4)</t>
  </si>
  <si>
    <t>Multi-select. AU-EXC ABSENT ici (matinée only).</t>
  </si>
  <si>
    <t>LAB-CN</t>
  </si>
  <si>
    <t>CONDÉ NAST</t>
  </si>
  <si>
    <t>NOTE INTRINSÈQUE FINALE (Σ contributions · échelle 0–5)</t>
  </si>
  <si>
    <t>Reconnaissance presse (Condé Nast Traveler)</t>
  </si>
  <si>
    <t>POO_CLU · BCH_CLU · BAR_RTP · DJ_LOU</t>
  </si>
  <si>
    <t>→ QUALIFICATION LVL (cloches) dérivée automatiquement</t>
  </si>
  <si>
    <t>Multi-select. Transition vers la soirée.</t>
  </si>
  <si>
    <t>RA-N · dîner</t>
  </si>
  <si>
    <t>2.7 dîner</t>
  </si>
  <si>
    <t>slot = dîner</t>
  </si>
  <si>
    <t>AMB-ROM · TER · BAR_RTP</t>
  </si>
  <si>
    <t>LAB-TL</t>
  </si>
  <si>
    <t>TRAVEL + LEISURE</t>
  </si>
  <si>
    <t>Reconnaissance presse (Travel + Leisure)</t>
  </si>
  <si>
    <t>━━ ESP-TYPE · TYPE D'ESPACE PRIVATISABLE (ex-EP · = liste du champ « Type espace » de la fiche ESP) ━━</t>
  </si>
  <si>
    <t>♻ Fusionné avec ESP : ce n'est pas un choix page web, c'est la typologie des fiches ESP, déclarée à l'onboarding.</t>
  </si>
  <si>
    <t>═══ BANDES LVL · LES CLOCHES (mapping note finale → qualification · repris de la bible) ═══</t>
  </si>
  <si>
    <t>AMB-FES · DJ</t>
  </si>
  <si>
    <t>AMB-ZEN · RA-NAM</t>
  </si>
  <si>
    <t>Δ ajouté (V86).</t>
  </si>
  <si>
    <t>POI-VUE · BAR_RTP · TER</t>
  </si>
  <si>
    <t>NOTE FINALE</t>
  </si>
  <si>
    <t>EP</t>
  </si>
  <si>
    <t>NL · soirée</t>
  </si>
  <si>
    <t>SENS</t>
  </si>
  <si>
    <t>EP-RIA</t>
  </si>
  <si>
    <t>RIAD PRIVATISABLE</t>
  </si>
  <si>
    <t>2.8 soirée</t>
  </si>
  <si>
    <t>slot = soirée</t>
  </si>
  <si>
    <t>Intime · Médina · Romantique · Heritage</t>
  </si>
  <si>
    <t>AMB-FES · CLU · DJ</t>
  </si>
  <si>
    <t>COMMENTAIRE MOTEUR</t>
  </si>
  <si>
    <t>0 – 2,0</t>
  </si>
  <si>
    <t>AMB-ROM · BAR_LOU · DJ_LOU</t>
  </si>
  <si>
    <t>Hors standard / non retenu</t>
  </si>
  <si>
    <t>Sort de la matrice de recommandation</t>
  </si>
  <si>
    <t>EP-PAL</t>
  </si>
  <si>
    <t>2,1 – 3,5</t>
  </si>
  <si>
    <t>PALAIS PRIVATISABLE</t>
  </si>
  <si>
    <t>Correct sans plus</t>
  </si>
  <si>
    <t>Prestige marocain · Cérémonial · Luxe traditionnel</t>
  </si>
  <si>
    <t>Proposé en second rideau / dépannage</t>
  </si>
  <si>
    <t>3,6 – 4,0</t>
  </si>
  <si>
    <t>Bonne adresse</t>
  </si>
  <si>
    <t>AMB-ZEN · NL-IMM</t>
  </si>
  <si>
    <t>Recommandable par défaut</t>
  </si>
  <si>
    <t>Δ famille complétée → 5 codes.</t>
  </si>
  <si>
    <t>AK · enfants</t>
  </si>
  <si>
    <t>EP-VIL</t>
  </si>
  <si>
    <t>VILLA PRIVÉE</t>
  </si>
  <si>
    <t>Lifestyle · Groupe · Exclusif · Piscine</t>
  </si>
  <si>
    <t>2.9 (cond.)</t>
  </si>
  <si>
    <t>4,1 – 4,5</t>
  </si>
  <si>
    <t>slot = enfants · nb_enfants &gt; 0</t>
  </si>
  <si>
    <t>KD-ACT · ART_ATE</t>
  </si>
  <si>
    <t>Exceptionnel</t>
  </si>
  <si>
    <t>Mis en avant dans les matchs premium</t>
  </si>
  <si>
    <t>nb_enfants &gt; 0</t>
  </si>
  <si>
    <t>4,6 – 5,0</t>
  </si>
  <si>
    <t>Ultime / signature mondiale</t>
  </si>
  <si>
    <t>EP-DOM</t>
  </si>
  <si>
    <t>DOMAINE PRIVÉ</t>
  </si>
  <si>
    <t>Tête de liste · réservé clients HOT/AMBASSADEUR</t>
  </si>
  <si>
    <t>Grande capacité · Nature · Signature</t>
  </si>
  <si>
    <t>═══ ÉTAPE 1 · CONFIGURATION DU SÉJOUR (parcours 1.x : esprit OR · hébergement HB · budget BG · public · N participants · dates) ═══</t>
  </si>
  <si>
    <t>KD-CLB · KD-PIS · POO_CLU</t>
  </si>
  <si>
    <t>Le moteur applique d'abord les filtres durs de cadrage (éliminent les fiches non conformes), puis amorce le tri selon l'esprit du séjour. Aucun tag de tri n'élimine.</t>
  </si>
  <si>
    <t>EP-ROO</t>
  </si>
  <si>
    <t>RG · régimes</t>
  </si>
  <si>
    <t>TOIT-TERRASSE PRIVATISABLE</t>
  </si>
  <si>
    <t>Sunset · Cocktails · Vue · Chic urbain</t>
  </si>
  <si>
    <t>▸ FILTRES DURS (éliminent la fiche si non respecté)</t>
  </si>
  <si>
    <t>2.5 / 2.7</t>
  </si>
  <si>
    <t>exige VENUE_VEGETARIAN · option végétarienne au menu</t>
  </si>
  <si>
    <t>Filtre dur : exige l'attribut lieu VENUE_VEGETARIAN (créé dans MASTER_TAGS). Garde anti-set-vide légère (la plupart des lieux proposent une option).</t>
  </si>
  <si>
    <t>EP-RES</t>
  </si>
  <si>
    <t>Δ attribut VENUE_VEGETARIAN créé (miroir MASTER_TAGS)</t>
  </si>
  <si>
    <t>RESTAURANT PRIVATISABLE</t>
  </si>
  <si>
    <t>Gastronomie · Expérience culinaire</t>
  </si>
  <si>
    <t>#</t>
  </si>
  <si>
    <t>FILTRE DUR</t>
  </si>
  <si>
    <t>— (non éliminatoire)</t>
  </si>
  <si>
    <t>EP-POL</t>
  </si>
  <si>
    <t>PISCINE CLUB PRIVATISABLE</t>
  </si>
  <si>
    <t>Lifestyle · Day vibe · DJ · Resort</t>
  </si>
  <si>
    <t>SOURCE REQUÊTE</t>
  </si>
  <si>
    <t>RÈGLE</t>
  </si>
  <si>
    <t>Transmission au presta via feuille de route (niv. 3). Pas un filtre dur.</t>
  </si>
  <si>
    <t>Δ reclassé info.</t>
  </si>
  <si>
    <t>F1</t>
  </si>
  <si>
    <t>═══ ÉTAPE 3 · DEVIS (add-ons) ═══</t>
  </si>
  <si>
    <t>Capacité ≥ N</t>
  </si>
  <si>
    <t>EP-BEA</t>
  </si>
  <si>
    <t>CLUB DE PLAGE PRIVATISABLE</t>
  </si>
  <si>
    <t>Étape 1 · composition « pour N »</t>
  </si>
  <si>
    <t>Festif · Sunset · Bord de mer</t>
  </si>
  <si>
    <t>capacité_fiche ≥ taille_groupe ; PUB-GRP exigé si N≥3</t>
  </si>
  <si>
    <t>TR · transport</t>
  </si>
  <si>
    <t>F2</t>
  </si>
  <si>
    <t>Étape 1 · BG1–BG5</t>
  </si>
  <si>
    <t>3 devis</t>
  </si>
  <si>
    <t>EP-BIV</t>
  </si>
  <si>
    <t>prix/nuit/chambre dans la bande BG (BG1–BG5, hébergement classique) · BG-LIBRE = AUCUNE élimination, disponible UNIQUEMENT sous HB-SUR</t>
  </si>
  <si>
    <t>BIVOUAC PRIVATISABLE</t>
  </si>
  <si>
    <t>Suggéré d'office au devis SAUF gestion_transport = CLIENT_GERE (2.11 masquée).</t>
  </si>
  <si>
    <t>Bohème chic · Immersion · Nomade</t>
  </si>
  <si>
    <t>Δ FIX retiré si client gère son transport.</t>
  </si>
  <si>
    <t>F3</t>
  </si>
  <si>
    <t>Étape 1 · HB-* (single-select)</t>
  </si>
  <si>
    <t>type_fiche = HB choisi · HB-SUR = combinaison ≥2 types (multi-lieux SOLÝ) → impose BG-LIBRE ; les types classiques imposent BG1–BG5</t>
  </si>
  <si>
    <t>EP-JAR</t>
  </si>
  <si>
    <t>JARDIN PRIVATISABLE</t>
  </si>
  <si>
    <t>Élégant · Familial · Nature</t>
  </si>
  <si>
    <t>▸ TRI · points ajoutés aux fiches conformes (pondération éditable colonne F)</t>
  </si>
  <si>
    <t>Upgrade proposé au devis.</t>
  </si>
  <si>
    <t>TAG</t>
  </si>
  <si>
    <t>EP-REC</t>
  </si>
  <si>
    <t>DÉCLENCHEUR</t>
  </si>
  <si>
    <t>SALLE DE RÉCEPTION</t>
  </si>
  <si>
    <t>S'APPLIQUE À</t>
  </si>
  <si>
    <t>Événementiel classique</t>
  </si>
  <si>
    <t>Upgrade.</t>
  </si>
  <si>
    <t>POINTS</t>
  </si>
  <si>
    <t>COMMENTAIRE</t>
  </si>
  <si>
    <t>T2</t>
  </si>
  <si>
    <t>Boost ESPRIT séjour (OR-*) cohérent</t>
  </si>
  <si>
    <t>EP-SEM</t>
  </si>
  <si>
    <t>tout le séjour (boost global)</t>
  </si>
  <si>
    <t>SALLE DE SÉMINAIRE</t>
  </si>
  <si>
    <t>Corporate · Business</t>
  </si>
  <si>
    <t>SE · sécurité</t>
  </si>
  <si>
    <t>SE-PRO/FEM/SUR/24H/ETU</t>
  </si>
  <si>
    <t>Sécurité privée</t>
  </si>
  <si>
    <t>add-on devis</t>
  </si>
  <si>
    <t>OR single-select · diffuse sur HEB·RES·ACT·POI</t>
  </si>
  <si>
    <t>Saisie dans le devis. ⚠ Aucune famille de matching « sécurité privée » → à créer pour scorer/chiffrer.</t>
  </si>
  <si>
    <t>EP-SPA</t>
  </si>
  <si>
    <t>Δ déplacé en étape 3.</t>
  </si>
  <si>
    <t>SPA / HAMMAM PRIVATISABLE</t>
  </si>
  <si>
    <t>T3</t>
  </si>
  <si>
    <t>Bien-être · Détente · VIP</t>
  </si>
  <si>
    <t>SE-ESC/EVE/MUL</t>
  </si>
  <si>
    <t>Standing ST-ULT / ST-SIG</t>
  </si>
  <si>
    <t>auto-injecté (pack EV)</t>
  </si>
  <si>
    <t>3 / moteur</t>
  </si>
  <si>
    <t>Auto-injectés par le PACK ÉVÉNEMENT si EV-* coché. ⚠ Codes opérationnels hors bible (grille tarifs) — désormais définis dans MASTER_TAGS (famille SE-OPER).</t>
  </si>
  <si>
    <t>EP-GAL</t>
  </si>
  <si>
    <t>GALERIE D'ART PRIVATISABLE</t>
  </si>
  <si>
    <t>ST-ULT=+15 · ST-SIG=+10 (premium)</t>
  </si>
  <si>
    <t>Culturel · Expositions · Vernissages</t>
  </si>
  <si>
    <t>📖 LÉGENDE &amp; DOCTRINE — comment lire cette table</t>
  </si>
  <si>
    <t>T4</t>
  </si>
  <si>
    <t>Match PUBLIC (PUB requête ∈ PUB fiche)</t>
  </si>
  <si>
    <t>Sources</t>
  </si>
  <si>
    <t>EP-YAC</t>
  </si>
  <si>
    <t>Remappé sur 🔖 CODES DE RÉFÉRENCE (bible) + 🌐 PARCOURS WEB uniquement.</t>
  </si>
  <si>
    <t>YACHT / BATEAU PRIVATISABLE</t>
  </si>
  <si>
    <t>Nautique · Exclusif · Sunset en mer</t>
  </si>
  <si>
    <t>Statut MOTEUR</t>
  </si>
  <si>
    <t>PUB-FAM ouvre slot enfants 2.9</t>
  </si>
  <si>
    <t>Le moteur n'existe pas encore : cette table est sa SPÉCIFICATION D'ENTRÉE, pas un reflet de ses formules.</t>
  </si>
  <si>
    <t>MASTER_TAGS</t>
  </si>
  <si>
    <t>═══ ÉTAPE 2 · EXPÉRIENCES (parcours 2.x : événement EV · slots matinée→enfants · régime) ═══</t>
  </si>
  <si>
    <t>N'est PAS la source ici. Les tags d'équipement deviennent des CIBLES, pas une contrainte.</t>
  </si>
  <si>
    <t>TYPE — filtre dur</t>
  </si>
  <si>
    <t>EP-EVT</t>
  </si>
  <si>
    <t>Élimine les fiches presta non conformes (capacité, budget, type, slot, régime).</t>
  </si>
  <si>
    <t>ESPACE ÉVÉNEMENTIEL POLYVALENT</t>
  </si>
  <si>
    <t>Modulable · Grande capacité · Multi-usage</t>
  </si>
  <si>
    <t>TYPE — tri</t>
  </si>
  <si>
    <t>Scoring : remonte les fiches conformes, n'élimine personne.</t>
  </si>
  <si>
    <t>Filtres durs propres aux expériences (slot, régime, usage événementiel), puis tri sur l'adéquation expérientielle. La sélection EV déclenche en plus les PACKS CRM (table en bas d'étape).</t>
  </si>
  <si>
    <t>TYPE — filtre + tri</t>
  </si>
  <si>
    <t>Filtre le slot/usage PUIS score à l'intérieur.</t>
  </si>
  <si>
    <t>TYPE — règle</t>
  </si>
  <si>
    <t>━━━━━ ▼ DÉRIVÉS MOTEUR · codes CALCULÉS (récoltés nulle part · WEB ✗) ━━━━━</t>
  </si>
  <si>
    <t>Logique de parcours (gating, quotas, exclusivité).</t>
  </si>
  <si>
    <t>▸ FILTRES DURS</t>
  </si>
  <si>
    <t>Tags nus</t>
  </si>
  <si>
    <t>Tags de tri listés sans poids ni n° de score. Pondération = travail du moteur, ultérieur.</t>
  </si>
  <si>
    <t>Attributs lieu</t>
  </si>
  <si>
    <t>Végétarien = RG-VEG (→ attribut VENUE_VEGETARIAN) · allergies = RG-ALG (signalement). Équipements = tags de tri dans MASTER_TAGS. Aucun code inventé dans la bible.</t>
  </si>
  <si>
    <t>━━ TV · TAILLE VOYAGEUR (3 codes) ━━</t>
  </si>
  <si>
    <t>— CORRECTIONS INTÉGRÉES (vs MATCHING V1) —</t>
  </si>
  <si>
    <t>Filtre dur ≥1200 € → SUPPRIMÉ. « Sur mesure » = neutre, scoring premium léger. Évite le set vide.</t>
  </si>
  <si>
    <t>Exclusivité : occupe la matinée, désactive 2.5 déjeuner + 2.6 après-midi ; restent dîner + soirée.</t>
  </si>
  <si>
    <t>F4</t>
  </si>
  <si>
    <t>Familles complétées</t>
  </si>
  <si>
    <t>NL-* (2→5), AK-* (1→5), AU-SPO/AU-ELI ajoutés, RA-D*/RA-N* complets, EV-AFE/AFA/EVG ajoutés, HB-* (1→6).</t>
  </si>
  <si>
    <t>Slot / créneau</t>
  </si>
  <si>
    <t>PUB-GRP appliqué seulement si N≥3 (ne biaise plus un couple vers des lieux de groupe).</t>
  </si>
  <si>
    <t>Étape 2 · matinée/déjeuner/après-midi/dîner/soirée/enfants</t>
  </si>
  <si>
    <t>Plus suggéré d'office si gestion_transport = CLIENT_GERE.</t>
  </si>
  <si>
    <t>la fiche doit servir le slot demandé · AU-EXC désactive déjeuner+après-midi</t>
  </si>
  <si>
    <t>Reclassé en filtre info (signalement presta), pas filtre dur.</t>
  </si>
  <si>
    <t>RESTE À FOURNIR</t>
  </si>
  <si>
    <t>L'onglet MOTEUR (scores, pondérations, bandes LVL, coef NPS, table inclusion EV) — à construire À PARTIR de cette table.</t>
  </si>
  <si>
    <t>F5</t>
  </si>
  <si>
    <t>Régime végétarien</t>
  </si>
  <si>
    <t>Étape 2 · RG-VEG</t>
  </si>
  <si>
    <t>TV</t>
  </si>
  <si>
    <t>exige l'attribut lieu VENUE_VEGETARIAN (garde anti-set-vide légère)</t>
  </si>
  <si>
    <t>TV-SOL</t>
  </si>
  <si>
    <t>SOLO</t>
  </si>
  <si>
    <t>1 voyageur</t>
  </si>
  <si>
    <t>F6</t>
  </si>
  <si>
    <t>Usage événementiel</t>
  </si>
  <si>
    <t>Étape 2 · EV-* / USAGE_EVT</t>
  </si>
  <si>
    <t>la fiche ESP/HEB doit porter l'usage (DEM_MAR, ANNIV_FES…)</t>
  </si>
  <si>
    <t>Matching</t>
  </si>
  <si>
    <t>F7</t>
  </si>
  <si>
    <t>TV-CPL</t>
  </si>
  <si>
    <t>Quota participants</t>
  </si>
  <si>
    <t>COUPLE</t>
  </si>
  <si>
    <t>Règle moteur</t>
  </si>
  <si>
    <t>2 voyageurs</t>
  </si>
  <si>
    <t>si nb_adultes &lt; 5 (hors EV-DEM) → PACK INDISPONIBLE (blocage dur) · événement masqué · message « accessible dès 5 participants ». EV-DEM = 2 adultes (seule exception).</t>
  </si>
  <si>
    <t>TV-GRP</t>
  </si>
  <si>
    <t>GROUPE</t>
  </si>
  <si>
    <t>3 voyageurs et +</t>
  </si>
  <si>
    <t>▸ TRI · points expériences (pondération éditable colonne F)</t>
  </si>
  <si>
    <t>━━ LVL · QUALIFICATION SOLYVENTS · LES CLOCHES (5 codes) ━━</t>
  </si>
  <si>
    <t>T1</t>
  </si>
  <si>
    <t>Match AMBIANCE exact (AMB requête = AMB fiche)</t>
  </si>
  <si>
    <t>Repère bible (AMB-ROM +20). Cœur du tri.</t>
  </si>
  <si>
    <t>T5</t>
  </si>
  <si>
    <t>Tag ÉQUIPEMENT cible atteint (spa, rooftop, DJ, pool club…)</t>
  </si>
  <si>
    <t>par tag matché</t>
  </si>
  <si>
    <t>Note finale 0 – 2,0 · Hors standard / non retenu</t>
  </si>
  <si>
    <t>cibles MASTER_TAGS · cumulables, plafond +36</t>
  </si>
  <si>
    <t>T6</t>
  </si>
  <si>
    <t>Catégorie POI demandée (POI-VIS/SHO/FOO/IMM/VUE)</t>
  </si>
  <si>
    <t>POI·ACT</t>
  </si>
  <si>
    <t>Note finale 2,1 – 3,5 · Correct sans plus</t>
  </si>
  <si>
    <t>selon univers AU-* choisi</t>
  </si>
  <si>
    <t>▸ PÉNALITÉS (déclassent, n'éliminent pas)</t>
  </si>
  <si>
    <t>Note finale 3,6 – 4,0 · Bonne adresse</t>
  </si>
  <si>
    <t>Note finale 4,1 – 4,5 · Exceptionnel</t>
  </si>
  <si>
    <t>P1</t>
  </si>
  <si>
    <t>⚠ Pénalité AMB-FES × AMB-ZEN (incompatibles)</t>
  </si>
  <si>
    <t>Note finale 4,6 – 5,0 · Ultime / signature mondiale</t>
  </si>
  <si>
    <t>règle bible : festif ✕ zen → forte pénalité croisée</t>
  </si>
  <si>
    <t>P2</t>
  </si>
  <si>
    <t>⚠ Pénalité contrainte dure non compatible requête</t>
  </si>
  <si>
    <t>━━ STATUT · CYCLE DE VIE PRESTATAIRE (4 codes) ━━</t>
  </si>
  <si>
    <t>ex. NEIGH_SENSITIVE sur usage festif</t>
  </si>
  <si>
    <t>▸ TABLE D'INCLUSION ÉVÉNEMENT (parcours 2.1) · ce que chaque PACK CRM injecte automatiquement</t>
  </si>
  <si>
    <t>Les 5 EV standards déversent 2 PACKS CRM (fermés) : prestataires EVT-*, sécurité opérationnelle SE-OPER et orientation espaces EP-*. EV-AUT n'a pas de pack — le conseiller puise dans la bibliothèque interne EV-INTERNE (13 packs back-office).</t>
  </si>
  <si>
    <t>ÉVÉNEMENT</t>
  </si>
  <si>
    <t>CONDITION</t>
  </si>
  <si>
    <t>ESPACES EP-* orientés</t>
  </si>
  <si>
    <t>Vient d'être ingéré · 0 évaluation · pas dans la matrice</t>
  </si>
  <si>
    <t>PACKS</t>
  </si>
  <si>
    <t>PRESTATAIRES EVT-* injectés</t>
  </si>
  <si>
    <t>⚙️ SCORING_RULES · pondération des tags de TRI · paramètre éditable du MOTEUR · V1</t>
  </si>
  <si>
    <t>exactement 2 adultes</t>
  </si>
  <si>
    <t>EP-ROO · EP-RIA · EP-RES</t>
  </si>
  <si>
    <t>2 (fermés)</t>
  </si>
  <si>
    <t>📜 DOCTRINE · Cet onglet sort les POIDS du code : chaque tag de tri reçoit un SCORE (points) que le moteur additionne en phase de tri (jamais d'élimination). Modifier un score ici = re-régler le moteur sans toucher au développement. Barème de référence : voir MOTEUR · Section B (AMB exact = +20, esprit OR = +15, standing = +10/15…).</t>
  </si>
  <si>
    <t>— (discret · option SE-PRO)</t>
  </si>
  <si>
    <t>EVT-FLO · EVT-PHO · EVT-MIX · EVT-CHE · EVT-LUM · EVT-MAS (usage DINER_PRV)</t>
  </si>
  <si>
    <t>🔗 Colonnes FAMILLE / TAG / LIBELLÉ / TYPE = tirées par formule de MASTER_TAGS (auto-alignées sur la bible : un tag de tri ajouté à la bible apparaît ici). Colonne SCORE (jaune) = seul paramètre à saisir, laissé à blanc en V1.</t>
  </si>
  <si>
    <t>≥ 5 adultes (obligatoire · blocage dur)</t>
  </si>
  <si>
    <t>⚙️ BARÈME DE TRI · source unique des poids (éditable) — repris de MOTEUR Section B</t>
  </si>
  <si>
    <t>EP-VIL · EP-POL · EP-ROO</t>
  </si>
  <si>
    <t>Visite SOLY programmée · coef en cours</t>
  </si>
  <si>
    <t>EVT-DJ · EVT-SOU · EVT-LUM · EVT-MIX · EVT-FOC · EVT-PHO · EVT-ANI</t>
  </si>
  <si>
    <t>≥ 5 adultes (obligatoire) · ouvre nb enfants</t>
  </si>
  <si>
    <t>EP-VIL · EP-DOM · EP-JAR</t>
  </si>
  <si>
    <t>SCORE (pts)</t>
  </si>
  <si>
    <t>SE-EVE (léger)</t>
  </si>
  <si>
    <t>EVT-ANE · EVT-TRA · EVT-PAT · EVT-PHO · EVT-ANI</t>
  </si>
  <si>
    <t>Coef attribué · LVL calculé · cloches visibles · dans la matrice</t>
  </si>
  <si>
    <t>CLÉ (tag ou famille)</t>
  </si>
  <si>
    <t>≥ 5 adultes (obligatoire)</t>
  </si>
  <si>
    <t>EP-VIL · EP-POL · EP-BEA</t>
  </si>
  <si>
    <t>RÉFÉRENCE MOTEUR</t>
  </si>
  <si>
    <t>EVT-DJ · EVT-MUA · EVT-HAI · EVT-MIX · EVT-DAN · EVT-PHO</t>
  </si>
  <si>
    <t>EP-VIL · EP-POL · EP-BIV</t>
  </si>
  <si>
    <t>Archivé · note dégradée ou arrêt collaboration · plus dans la matrice</t>
  </si>
  <si>
    <t>EVT-DJ · EVT-MIX · EVT-SHI · EVT-FOC · EVT-PHO</t>
  </si>
  <si>
    <t>Autre (cas par cas)</t>
  </si>
  <si>
    <t>champ libre</t>
  </si>
  <si>
    <t>selon brief</t>
  </si>
  <si>
    <t>0 · SOLÝ Assistance 24h</t>
  </si>
  <si>
    <t>SE-ETU (étude sur mesure)</t>
  </si>
  <si>
    <t>Aucun pack auto · conseiller puise EV-INTERNE (SEM/GALA/DES/DIN/NET/BAB/MAR/BAP/FIA/ANV/RET/REU/VOW)</t>
  </si>
  <si>
    <t>═══ ÉTAPE 3 · TRANSPORT · SÉCURITÉ · DEVIS (parcours 3.x) ═══</t>
  </si>
  <si>
    <t>━━ SC · ÉVOLUTION SCORING MOTEUR ━━</t>
  </si>
  <si>
    <t>Aucun filtre d'élimination à cette étape : transport et sécurité sont des ADD-ONS proposés et chiffrés au devis. Le moteur suggère, le conseiller arbitre. En fin d'étape, le moteur cumule le montant du séjour.</t>
  </si>
  <si>
    <t>LIBELLÉ / CODES</t>
  </si>
  <si>
    <t>CATÉGORIE</t>
  </si>
  <si>
    <t>RÈGLE MOTEUR</t>
  </si>
  <si>
    <t>SOURCE / NOTE</t>
  </si>
  <si>
    <t>TR-*</t>
  </si>
  <si>
    <t>Transport : TR-BER · TR-BEL · TR-SUV · TR-VAN</t>
  </si>
  <si>
    <t>Add-on suggéré</t>
  </si>
  <si>
    <t>Suggéré au devis selon N et standing · TR-BER NON suggéré si gestion_transport = CLIENT_GERE</t>
  </si>
  <si>
    <t>Bible TR · PARCOURS 2.11 (déplacé ét.3)</t>
  </si>
  <si>
    <t>SE-*</t>
  </si>
  <si>
    <t>Sécurité privée : SE-SUR · SE-PRO · SE-FEM · SE-24H · SE-ETU</t>
  </si>
  <si>
    <t>Add-on devis</t>
  </si>
  <si>
    <t>Proposée en option, jamais un filtre. Chiffrée au devis selon brief client.</t>
  </si>
  <si>
    <t>Bible SE · PARCOURS 2.10 (déplacé ét.3)</t>
  </si>
  <si>
    <t>Sécurité opérationnelle (événement)</t>
  </si>
  <si>
    <t>SC</t>
  </si>
  <si>
    <t>Injectée (rappel)</t>
  </si>
  <si>
    <t>Injectée automatiquement par les PACKS EV de l'étape 2 (SE-EVE / SE-ETU). Non choisie par le client.</t>
  </si>
  <si>
    <t>SCORE_SUR_MESURE</t>
  </si>
  <si>
    <t>Voir table packs EV · étape 2</t>
  </si>
  <si>
    <t>NOTE SUR-MESURE</t>
  </si>
  <si>
    <t>Cumul du montant séjour</t>
  </si>
  <si>
    <t>Calcul</t>
  </si>
  <si>
    <t>Montant séjour = Σ (hébergement ét.1 + expériences ét.2 + transport + sécurité ét.3). Reporté à l'étape 4.</t>
  </si>
  <si>
    <t>Capte la capacité à privatiser / composer (multi-lieux, fermeture d'un lieu, adaptabilité totale). Driver clé de BG5 et de HB-SUR. À intégrer en section A du Moteur (14e score).</t>
  </si>
  <si>
    <t>PARCOURS Étape 3 · cumul</t>
  </si>
  <si>
    <t>═══ ÉTAPE 4 · CLASSEMENT FINAL &amp; HONORAIRES SOLÝ (parcours 4.x) ═══</t>
  </si>
  <si>
    <t>🆕 À créer</t>
  </si>
  <si>
    <t>Le moteur produit le classement final des recommandations puis le devis honoraires. Les signaux qualité transverses (indépendants d'une étape précise) et le coef NPS s'agrègent ici dans le score classé.</t>
  </si>
  <si>
    <t>▸ SIGNAUX QUALITÉ TRANSVERSES (alimentent le classement final · pondération éditable colonne F)</t>
  </si>
  <si>
    <t>━━ ANC · ANCIENNETÉ PRESTATAIRE (2 codes) ━━</t>
  </si>
  <si>
    <t>T7</t>
  </si>
  <si>
    <t>Label premium (Relais&amp;Châteaux, Michelin Key…)</t>
  </si>
  <si>
    <t>HEB·RES</t>
  </si>
  <si>
    <t>+5 par label, plafond +15</t>
  </si>
  <si>
    <t>T8</t>
  </si>
  <si>
    <t>Rating plateforme élevé (≥4,5/5 &amp; avis nombreux)</t>
  </si>
  <si>
    <t>ANC</t>
  </si>
  <si>
    <t>ANC-INST</t>
  </si>
  <si>
    <t>signal de satisfaction réelle</t>
  </si>
  <si>
    <t>INSTITUTION</t>
  </si>
  <si>
    <t>T9</t>
  </si>
  <si>
    <t>15+ ans · « Adresse mythique · 100 ans d'histoire »</t>
  </si>
  <si>
    <t>Bonus cloches LVL</t>
  </si>
  <si>
    <t>T1 · Ambiance exacte — cœur du tri</t>
  </si>
  <si>
    <t>LVL-5=+20 … LVL-1=0 · départage final</t>
  </si>
  <si>
    <t>T10</t>
  </si>
  <si>
    <t>Bonus découverte ANC-NEW</t>
  </si>
  <si>
    <t>« à tester en avant-première »</t>
  </si>
  <si>
    <t>▸ COEFFICIENT SOLÝ AJUSTÉ NPS (post-séjour · multiplie la note intrinsèque au classement)</t>
  </si>
  <si>
    <t>ANC-NEW</t>
  </si>
  <si>
    <t>T2 · Esprit du séjour</t>
  </si>
  <si>
    <t>NOUVEAU SPOT</t>
  </si>
  <si>
    <t>&lt; 3 ans · « Nouvelle découverte · à tester en avant-première »</t>
  </si>
  <si>
    <t>SCORE NPS</t>
  </si>
  <si>
    <t>IMPACT</t>
  </si>
  <si>
    <t>FACTEUR</t>
  </si>
  <si>
    <t>ACTION MOTEUR</t>
  </si>
  <si>
    <t>T3 · Standing ultra exclusif</t>
  </si>
  <si>
    <t>0 – 6</t>
  </si>
  <si>
    <t>Client mécontent</t>
  </si>
  <si>
    <t>━━ PUBLIC · TYPE DE CLIENTÈLE VISÉE (6 codes) ━━</t>
  </si>
  <si>
    <t>×0,95</t>
  </si>
  <si>
    <t>Pénalise le prestataire · alerte qualité</t>
  </si>
  <si>
    <t>T3 · Standing signature</t>
  </si>
  <si>
    <t>7 – 8</t>
  </si>
  <si>
    <t>Neutre / correct</t>
  </si>
  <si>
    <t>×1,00</t>
  </si>
  <si>
    <t>Coef inchangé</t>
  </si>
  <si>
    <t>T3 · Standing premium (interpolé)</t>
  </si>
  <si>
    <t>9 – 10</t>
  </si>
  <si>
    <t>Enthousiaste</t>
  </si>
  <si>
    <t>×1,02</t>
  </si>
  <si>
    <t>Valorise · client candidat AMBASSADEUR</t>
  </si>
  <si>
    <t>T9 · Cloches — tête de liste</t>
  </si>
  <si>
    <t>Pas de réponse</t>
  </si>
  <si>
    <t>Coef inchangé · relance auto J+7</t>
  </si>
  <si>
    <t>▸ FID · paliers fidélité dérivés (calculés, non choisis) : FID-VOY 0 pt (1 dde/j) · FID-HAB 1 000 pts (2 dde/j) · FID-HOT 4 000 pts (3 dde/j) · FID-AMB 10 000 pts (illimité · sur invitation SOLÝ).</t>
  </si>
  <si>
    <t>T9 · Cloches</t>
  </si>
  <si>
    <t>Voyageur individuel</t>
  </si>
  <si>
    <t>▸ FORMULE DE CLASSEMENT FINAL</t>
  </si>
  <si>
    <t>Score classé = ( Note intrinsèque /5 [BLOC 0] × coef NPS ) + Σ points de tri [Étapes 1 · 2 · 4] − pénalités [Étape 2]. Tri décroissant. Les filtres durs ont déjà éliminé les fiches non conformes en amont · garde anti-set-vide : ne jamais renvoyer 0 résultat.</t>
  </si>
  <si>
    <t>▸ HONORAIRES SOLÝ (parcours 4 · marge SOLÝ)</t>
  </si>
  <si>
    <t>Clientèle en couple</t>
  </si>
  <si>
    <t>Montant à payer client = Montant séjour [cumul Étape 3] + Σ honoraires SOLÝ. Honoraire = montant réservé × % par type de prestation (Hôtel · Événement · Activité · Transport · Sécurité) → grille détaillée dans l'onglet HONORAIRES_SOLY.</t>
  </si>
  <si>
    <t>═══ LÉGENDE &amp; DOCTRINE ═══</t>
  </si>
  <si>
    <t>• BLOC 0 = qualité prestataire (onboarding, hors parcours). ÉTAPES 1→4 = déroulé du parcours web client.</t>
  </si>
  <si>
    <t>T9 · Hors standard</t>
  </si>
  <si>
    <t>Clientèle familiale</t>
  </si>
  <si>
    <t>• FILTRE DUR = élimine la fiche. TRI = ajoute/retire des points, n'élimine JAMAIS. PÉNALITÉ = déclasse sans éliminer.</t>
  </si>
  <si>
    <t>• Cellules JAUNES (poids %, points, facteurs) = seuls paramètres éditables · détail des poids par tag → onglet SCORING_RULES.</t>
  </si>
  <si>
    <t>• Garde anti-set-vide : Sur mesure (BG-LIBRE) sans filtre, régimes souples → le moteur ne renvoie jamais 0 résultat (le séjour se poursuit même si un pack événement est indisponible sous 5 participants).</t>
  </si>
  <si>
    <t>T5 · Tag équipement ciblé (plafond +36)</t>
  </si>
  <si>
    <t>• Garde-fous IA exhaustifs → onglet SOLY_RULES · ordre d'assemblage des journées → SOLY_RULES (ex-COMPOSITION_RULES).</t>
  </si>
  <si>
    <t>═══ ACC &amp; POI · RÈGLES DE MATCHING (V1 · ajouté) ═══</t>
  </si>
  <si>
    <t>Clientèle en groupe</t>
  </si>
  <si>
    <t>ACC · TYPE D'ACCÈS — FILTRE DUR (étape 2). Si privatisation requise (EV-* · mariage · EVJF · EVG) → ne garder que les lieux tagués ACC-PRV. Les lieux ACC-PUB / ACC-CLI sont éliminés pour ces demandes. Binaire, n'attribue pas de points.</t>
  </si>
  <si>
    <t>POI · POINTS D'INTÉRÊT — TRI / BONUS (étape 1-2, tri esprit OR). N'élimine JAMAIS. Ajoute des points si le POI du lieu est cohérent avec l'esprit du séjour (OR). Ex : OR culturel → +POI-VIS ; OR festif/lifestyle → +POI-VUE ; OR immersion → +POI-IMM.</t>
  </si>
  <si>
    <t>SOURCE DES TAGS : fiches lieux (colonnes tag ACC / POI) + listes ACC_TAGS / POI_TAGS (bible 🔖 rows 265-274). L'onglet POI sert de table de référence des points d'intérêt.</t>
  </si>
  <si>
    <t>T4 · Match public</t>
  </si>
  <si>
    <t>Clientèle affaires / corporate</t>
  </si>
  <si>
    <t>T6 · Catégorie POI demandée</t>
  </si>
  <si>
    <t>Univers activité (filtre + tri)</t>
  </si>
  <si>
    <t>Lieu réservé aux adultes</t>
  </si>
  <si>
    <t>Concept restaurant · jour</t>
  </si>
  <si>
    <t>━━ ZONE · RÉFÉRENTIEL GÉOGRAPHIQUE (Z001-Z020) ━━</t>
  </si>
  <si>
    <t>Concept restaurant · soir</t>
  </si>
  <si>
    <t>ZONE</t>
  </si>
  <si>
    <t>Z001</t>
  </si>
  <si>
    <t>Médina · Kasbah</t>
  </si>
  <si>
    <t>Marrakech</t>
  </si>
  <si>
    <t>Univers nightlife</t>
  </si>
  <si>
    <t>Z002</t>
  </si>
  <si>
    <t>Médina · Place Jemaa el-Fna</t>
  </si>
  <si>
    <t>Univers activité enfants</t>
  </si>
  <si>
    <t>Match événement (filtre + pack)</t>
  </si>
  <si>
    <t>Z003</t>
  </si>
  <si>
    <t>Médina · Mouassine</t>
  </si>
  <si>
    <t>Équipement enfants du lieu</t>
  </si>
  <si>
    <t>Z004</t>
  </si>
  <si>
    <t>Médina · Bab Doukkala</t>
  </si>
  <si>
    <t>Z005</t>
  </si>
  <si>
    <t>Médina · Mellah</t>
  </si>
  <si>
    <t>Z006</t>
  </si>
  <si>
    <t>Hivernage · Bab Jdid</t>
  </si>
  <si>
    <t>Z007</t>
  </si>
  <si>
    <t>Hivernage · Avenue Mohammed VI</t>
  </si>
  <si>
    <t>Z008</t>
  </si>
  <si>
    <t>Gueliz · Centre-ville</t>
  </si>
  <si>
    <t>Z009</t>
  </si>
  <si>
    <t>Gueliz · Hassan II</t>
  </si>
  <si>
    <t>Z010</t>
  </si>
  <si>
    <t>Palmeraie · Circuit principal</t>
  </si>
  <si>
    <t>Z011</t>
  </si>
  <si>
    <t>Palmeraie · Route de Fès</t>
  </si>
  <si>
    <t>Z012</t>
  </si>
  <si>
    <t>Route Amizmiz · Selman / Beldi</t>
  </si>
  <si>
    <t>🤖 SOLY_RULES · garde-fous de génération automatique des séjours SOLÝ · V1</t>
  </si>
  <si>
    <t>Z013</t>
  </si>
  <si>
    <t>📜 DOCTRINE · Règles non négociables que le moteur / l'IA SOLÝ doit respecter avant de proposer un séjour. Filtres durs = éliminent ; règles &amp; garde-fous = encadrent ; pénalités = déclassent sans éliminer. Chaque règle pointe vers son onglet source.</t>
  </si>
  <si>
    <t>Route Ourika · Mandarin / Royal Palm</t>
  </si>
  <si>
    <t>PORTÉE / PARAMÈTRE</t>
  </si>
  <si>
    <t>SOURCE</t>
  </si>
  <si>
    <t>Z014</t>
  </si>
  <si>
    <t>Agafay · Désert Nord</t>
  </si>
  <si>
    <t>Hors ville</t>
  </si>
  <si>
    <t>🆕 V1</t>
  </si>
  <si>
    <t>Minimum 2 expériences par jour</t>
  </si>
  <si>
    <t>Composition</t>
  </si>
  <si>
    <t>≥ 2 expériences / jour (hors hébergement)</t>
  </si>
  <si>
    <t>SOLY_RULES (ordre slots ci-dessous) · PARCOURS 2.2</t>
  </si>
  <si>
    <t>✓ Actif</t>
  </si>
  <si>
    <t>Z015</t>
  </si>
  <si>
    <t>Pas de double réservation</t>
  </si>
  <si>
    <t>Agafay · Désert Sud</t>
  </si>
  <si>
    <t>1 prestataire / créneau max par jour</t>
  </si>
  <si>
    <t>SOLY_RULES (ordre slots ci-dessous)</t>
  </si>
  <si>
    <t>Respect des filtres alimentaires</t>
  </si>
  <si>
    <t>Filtre dur + info</t>
  </si>
  <si>
    <t>RG-VEG → exige VENUE_VEGETARIAN ; RG-ALG = signalement (non bloquant)</t>
  </si>
  <si>
    <t>MATCHING F5 · MASTER_TAGS</t>
  </si>
  <si>
    <t>Z016</t>
  </si>
  <si>
    <t>⚠ À instrumenter (attribut lieu)</t>
  </si>
  <si>
    <t>Atlas Imlil · Vallée Imlil</t>
  </si>
  <si>
    <t>Respect du budget</t>
  </si>
  <si>
    <t>Filtre dur</t>
  </si>
  <si>
    <t>BG1–BG5 = bande prix/nuit (hébergement classique) ; BG-LIBRE = aucun filtre, RÉSERVÉ à HB-SUR (couplage exclusif — anti set-vide)</t>
  </si>
  <si>
    <t>MATCHING F2</t>
  </si>
  <si>
    <t>Respect du nombre de participants</t>
  </si>
  <si>
    <t>Z017</t>
  </si>
  <si>
    <t>Atlas Ourika · Vallée Ourika</t>
  </si>
  <si>
    <t>capacité ≥ N ; PUB-GRP exigé si N ≥ 3</t>
  </si>
  <si>
    <t>MATCHING F1</t>
  </si>
  <si>
    <t>Respect du type d'hébergement</t>
  </si>
  <si>
    <t>HB-* single-select ; HB-SUR = combinaison ≥ 2 types (multi-lieux) → impose BG-LIBRE</t>
  </si>
  <si>
    <t>Z018</t>
  </si>
  <si>
    <t>MATCHING F3</t>
  </si>
  <si>
    <t>Atlas Asni · Vallée Asni</t>
  </si>
  <si>
    <t>Respect du slot / créneau</t>
  </si>
  <si>
    <t>la fiche doit servir le slot demandé (matinée…soirée)</t>
  </si>
  <si>
    <t>MATCHING F4</t>
  </si>
  <si>
    <t>Quota événement ≥ 5 participants (blocage dur)</t>
  </si>
  <si>
    <t>Z019</t>
  </si>
  <si>
    <t>Essaouira · Médina</t>
  </si>
  <si>
    <t>EV-* accessibles uniquement à ≥ 5 participants · SEULE EXCEPTION EV-DEM (demande en mariage = 2 adultes) · sous 5 (hors EV-DEM) → pack INDISPONIBLE, événement masqué/désactivé</t>
  </si>
  <si>
    <t>PARCOURS 2.1 · MATCHING · MOTEUR</t>
  </si>
  <si>
    <t>Exclusivité AU-EXC</t>
  </si>
  <si>
    <t>Règle composition</t>
  </si>
  <si>
    <t>excursion journée → désactive Déjeuner (2.5) + Après-midi (2.6)</t>
  </si>
  <si>
    <t>SOLY_RULES (ordre slots ci-dessous) · MATCHING</t>
  </si>
  <si>
    <t>Z020</t>
  </si>
  <si>
    <t>Aéroport Menara · Terminal 1</t>
  </si>
  <si>
    <t>Anti set-vide</t>
  </si>
  <si>
    <t>Aéroport</t>
  </si>
  <si>
    <t>Garde-fou</t>
  </si>
  <si>
    <t>ne jamais renvoyer 0 résultat (Sur mesure, quota &lt; 5, RG souples)</t>
  </si>
  <si>
    <t>MOTEUR · doctrine</t>
  </si>
  <si>
    <t>Le tri n'élimine jamais</t>
  </si>
  <si>
    <t>Principe moteur</t>
  </si>
  <si>
    <t>━━ ACC · TYPE D'ACCÈS (tag transversal) ━━</t>
  </si>
  <si>
    <t>les tags de tri ré-ordonnent les fiches conformes, sans en exclure</t>
  </si>
  <si>
    <t>MOTEUR · Section B</t>
  </si>
  <si>
    <t>Incompatibilité AMB-FES × AMB-ZEN</t>
  </si>
  <si>
    <t>Pénalité</t>
  </si>
  <si>
    <t>−30 pts (déclasse, n'élimine pas) ; festif × zen</t>
  </si>
  <si>
    <t>MOTEUR P1</t>
  </si>
  <si>
    <t>Transport conditionnel</t>
  </si>
  <si>
    <t>Règle devis</t>
  </si>
  <si>
    <t>TR-BER non suggéré si gestion_transport = CLIENT_GERE</t>
  </si>
  <si>
    <t>MATCHING TR-BER</t>
  </si>
  <si>
    <t>Packs événement automatiques</t>
  </si>
  <si>
    <t>Règle pack</t>
  </si>
  <si>
    <t>EV standard → 2 PACKS CRM + SE-OPER + EVT-* + EP- ; EV-AUT = manuel</t>
  </si>
  <si>
    <t>MOTEUR · Section D</t>
  </si>
  <si>
    <t>Couplage budget ↔ hébergement</t>
  </si>
  <si>
    <t>ACC</t>
  </si>
  <si>
    <t>BG-LIBRE ⟺ HB-SUR (exclusif) : hébergement classique (HOT/INC/RIA/COL/NAT) → BG1–BG5 ; HB-SUR → BG-LIBRE forcé. Aucun croisement classique × BG-LIBRE.</t>
  </si>
  <si>
    <t>MATCHING F2/F3 · PARCOURS 1.5</t>
  </si>
  <si>
    <t>Accès public</t>
  </si>
  <si>
    <t>Lieu ouvert au public</t>
  </si>
  <si>
    <t>Double codage hébergement</t>
  </si>
  <si>
    <t>Règle données</t>
  </si>
  <si>
    <t>Un lieu vendu à la nuit ET privatisable = 2 fiches distinctes, une par code applicable (ex : HOT/INC/RIA à la nuit + COL en privatisation ; chaque fiche = 1 ID contact unique). Valable sur tout le fichier + onglet HEBERGEMENT.</t>
  </si>
  <si>
    <t>HEBERGEMENT · REF_CODES</t>
  </si>
  <si>
    <t>🧩 ORDRE D'ASSEMBLAGE DES SLOTS · le moteur remplit chaque journée dans l'ordre de priorité croissante (repris de l'ex-onglet COMPOSITION_RULES)</t>
  </si>
  <si>
    <t>Accès clientèle</t>
  </si>
  <si>
    <t>Accès via consommation / clientèle</t>
  </si>
  <si>
    <t>SLOT</t>
  </si>
  <si>
    <t>PRIORITÉ</t>
  </si>
  <si>
    <t>RÉF. PARCOURS</t>
  </si>
  <si>
    <t>MATINÉE</t>
  </si>
  <si>
    <t>Accès privé</t>
  </si>
  <si>
    <t>Privatisation / accès restreint</t>
  </si>
  <si>
    <t>DÉJEUNER</t>
  </si>
  <si>
    <t>APRÈS-MIDI</t>
  </si>
  <si>
    <t>━━ POI · POINTS D'INTÉRÊT (tag transversal) ━━</t>
  </si>
  <si>
    <t>DÎNER</t>
  </si>
  <si>
    <t>SOIRÉE</t>
  </si>
  <si>
    <t>ENFANTS</t>
  </si>
  <si>
    <t>POI-VIS</t>
  </si>
  <si>
    <t>Visite &amp; patrimoine</t>
  </si>
  <si>
    <t>Monuments · sites · culture</t>
  </si>
  <si>
    <t>POI-SHO</t>
  </si>
  <si>
    <t>Shopping &amp; artisanat</t>
  </si>
  <si>
    <t>Souks · boutiques · artisanat</t>
  </si>
  <si>
    <t>POI-FOO</t>
  </si>
  <si>
    <t>Food &amp; gastronomie</t>
  </si>
  <si>
    <t>Adresses food · marchés</t>
  </si>
  <si>
    <t>POI-IMM</t>
  </si>
  <si>
    <t>Immersion locale</t>
  </si>
  <si>
    <t>Expériences immersives locales</t>
  </si>
  <si>
    <t>POI-VUE</t>
  </si>
  <si>
    <t>Point de vue &amp; panorama</t>
  </si>
  <si>
    <t>Belvédères · rooftops · panoramas</t>
  </si>
  <si>
    <t>━━ TR · TRANSPORT — VÉHICULES &amp; TARIFS (BLOC UNIFIÉ · V1) ━━</t>
  </si>
  <si>
    <t>Inclus · berline de base avec chauffeur · 🔵 suggéré d'office au devis</t>
  </si>
  <si>
    <t>Berline catégorie supérieur · avec chauffeur</t>
  </si>
  <si>
    <t>SUV ou 4X4 · avec chauffeur</t>
  </si>
  <si>
    <t>💰 HONORAIRES_SOLY · rémunération SOLÝ = % par type de prestation réservée · V1</t>
  </si>
  <si>
    <t>type Vito · 6-8 passagers avec chauffeur</t>
  </si>
  <si>
    <t>— Tarifs détaillés (transfert interville / demi-journée / journée) —</t>
  </si>
  <si>
    <t>📜 DOCTRINE · SOLÝ facture un honoraire = un POURCENTAGE appliqué au montant réservé de chaque type de prestation (parcours Étape 4). Honoraire = Montant réservé HT × % SOLÝ. Le client paie : Σ montants réservés (étapes 1–3) + Σ honoraires SOLÝ. Les % (jaune) sont à définir par la direction.</t>
  </si>
  <si>
    <t>🔗 Colonne MONTANT RÉSERVÉ = alimentée par le cumul du devis (étapes 1–3 du MOTEUR) · ici valeurs d'EXEMPLE à remplacer par le devis réel. Colonne % SOLÝ = barre tarifaire à saisir une fois.</t>
  </si>
  <si>
    <t>TYPE DE PRESTATION</t>
  </si>
  <si>
    <t>CODES / FAMILLES CONCERNÉS (étape)</t>
  </si>
  <si>
    <t>MONTANT RÉSERVÉ HT (€)</t>
  </si>
  <si>
    <t>TR-BER-TI</t>
  </si>
  <si>
    <t>% HONORAIRE SOLÝ</t>
  </si>
  <si>
    <t>Berline standard · Transfert interville</t>
  </si>
  <si>
    <t>HONORAIRE SOLÝ (€)</t>
  </si>
  <si>
    <t>Tarif indicatif : 25 € · par véhicule</t>
  </si>
  <si>
    <t>Hôtel / Hébergement</t>
  </si>
  <si>
    <t>HB-* (Étape 1)</t>
  </si>
  <si>
    <t>TR-BER-DM</t>
  </si>
  <si>
    <t>Berline standard · Demi-journée</t>
  </si>
  <si>
    <t>Tarif indicatif : 80 € · par véhicule</t>
  </si>
  <si>
    <t>TR-BER-JC</t>
  </si>
  <si>
    <t>Berline standard · Journée complète</t>
  </si>
  <si>
    <t>Tarif indicatif : 150 € · par véhicule</t>
  </si>
  <si>
    <t>TR-BEL-TI</t>
  </si>
  <si>
    <t>Berline luxe · Transfert interville</t>
  </si>
  <si>
    <t>Tarif indicatif : 45 € · par véhicule</t>
  </si>
  <si>
    <t>TR-BEL-DM</t>
  </si>
  <si>
    <t>Événement à organiser</t>
  </si>
  <si>
    <t>Berline luxe · Demi-journée</t>
  </si>
  <si>
    <t>EV-* + 2 PACKS CRM (Étape 2.1)</t>
  </si>
  <si>
    <t>EVT-* prestataires (DJ, traiteur, déco, fleuriste, photo…) (Étape 2.1)</t>
  </si>
  <si>
    <t>TR-BEL-JC</t>
  </si>
  <si>
    <t>Berline luxe · Journée complète</t>
  </si>
  <si>
    <t>Tarif indicatif : 280 € · par véhicule</t>
  </si>
  <si>
    <t>Espace privatisé</t>
  </si>
  <si>
    <t>EP-* / ESP-TYPE espaces privatisables (Étape 2.1)</t>
  </si>
  <si>
    <t>TR-VAN-TI</t>
  </si>
  <si>
    <t>Van premium · Transfert interville</t>
  </si>
  <si>
    <t>Activité</t>
  </si>
  <si>
    <t>Toutes expériences : AU-* · RA-D* · RA-N* · NL-* · POI · AK-* (Kids / Enfants) (Étape 2)</t>
  </si>
  <si>
    <t>TR-VAN-DM</t>
  </si>
  <si>
    <t>Van premium · Demi-journée</t>
  </si>
  <si>
    <t>Tarif indicatif : 120 € · par véhicule</t>
  </si>
  <si>
    <t>TR-* (Étape 3)</t>
  </si>
  <si>
    <t>TR-VAN-JC</t>
  </si>
  <si>
    <t>Van premium · Journée complète</t>
  </si>
  <si>
    <t>Sécurité</t>
  </si>
  <si>
    <t>Tarif indicatif : 220 € · par véhicule</t>
  </si>
  <si>
    <t>SE-* privées (Étape 3)</t>
  </si>
  <si>
    <t>TR-SUV-TI</t>
  </si>
  <si>
    <t>SUV luxe · Transfert interville</t>
  </si>
  <si>
    <t>Tarif indicatif : 60 € · par véhicule</t>
  </si>
  <si>
    <t>TOTAL</t>
  </si>
  <si>
    <t>Séjour + honoraires</t>
  </si>
  <si>
    <t>TR-SUV-DM</t>
  </si>
  <si>
    <t>SUV luxe · Demi-journée</t>
  </si>
  <si>
    <t>Tarif indicatif : 180 € · par véhicule</t>
  </si>
  <si>
    <t>TR-SUV-JC</t>
  </si>
  <si>
    <t>SUV luxe · Journée complète</t>
  </si>
  <si>
    <t>Tarif indicatif : 350 € · par véhicule</t>
  </si>
  <si>
    <t>TR-MIN</t>
  </si>
  <si>
    <t>Minibus (type Sprinter · ~15 pax)</t>
  </si>
  <si>
    <t>Minibus avec chauffeur pour groupes · tarifs à valider (code créé en V2 sur validation)</t>
  </si>
  <si>
    <t>MONTANT TOTAL À PAYER PAR LE CLIENT (HT)</t>
  </si>
  <si>
    <t>RESTAURANT · structure SOLÝVENTS harmonisée · ✅ V1 vérifié (aligné bible)</t>
  </si>
  <si>
    <t>P</t>
  </si>
  <si>
    <t>IDENTITÉ &amp; LOCALISATION · ✅ V1 vérifié (aligné 🔖 CODES DE RÉFÉRENCE)</t>
  </si>
  <si>
    <t>TARIFS (€/NUIT)</t>
  </si>
  <si>
    <t>COORDONNÉES &amp; RÉSEAUX</t>
  </si>
  <si>
    <t>VILLE</t>
  </si>
  <si>
    <t>NOTES</t>
  </si>
  <si>
    <t>DESIGNATION</t>
  </si>
  <si>
    <t>ID CONTACT</t>
  </si>
  <si>
    <t>ATTRIBUTS RÉFÉRENTIEL SOLÝVENTS</t>
  </si>
  <si>
    <t>LIBELLÉ DINER</t>
  </si>
  <si>
    <t>CODE DÎNER</t>
  </si>
  <si>
    <t>LIBELLÉ DÉJEUNER</t>
  </si>
  <si>
    <t>CODE DÉJEUNER</t>
  </si>
  <si>
    <t>NOM</t>
  </si>
  <si>
    <t>QUARTIER</t>
  </si>
  <si>
    <t>GAMME</t>
  </si>
  <si>
    <t>ADRESSE</t>
  </si>
  <si>
    <t>CONTACT RÉSERVATION</t>
  </si>
  <si>
    <t>TYPE / REMARQUE</t>
  </si>
  <si>
    <t>STANDING
(ST)</t>
  </si>
  <si>
    <t>ATMOSPHÈRE (AMB)</t>
  </si>
  <si>
    <t>RÉGIMES
(RG)</t>
  </si>
  <si>
    <t>LIBELLÉ SOLÝVENTS</t>
  </si>
  <si>
    <t>NIGHTLIFE
(NL)</t>
  </si>
  <si>
    <t>BUDGET
(BG)</t>
  </si>
  <si>
    <t>PLATEFORMES (RATING)</t>
  </si>
  <si>
    <t>ANCIENNETÉ
(ANC)</t>
  </si>
  <si>
    <t>CLASSEMENT (REF)</t>
  </si>
  <si>
    <t>QUALIF · CLOCHE (LVL)</t>
  </si>
  <si>
    <t>CYCLE DE VIE (STATUT)</t>
  </si>
  <si>
    <t>BUDGET (BG)</t>
  </si>
  <si>
    <t>ESPRIT (OR)</t>
  </si>
  <si>
    <t>TYPE D'ACCÈS (ACC)</t>
  </si>
  <si>
    <t>CONTRAINTES OPÉ</t>
  </si>
  <si>
    <t>NBRE DE CH</t>
  </si>
  <si>
    <t>TAG ACC</t>
  </si>
  <si>
    <t>PRIVATISABLE</t>
  </si>
  <si>
    <t>CHAMBRE</t>
  </si>
  <si>
    <t>TAG POI</t>
  </si>
  <si>
    <t>MINI SUITE</t>
  </si>
  <si>
    <t>TARIF MOYEN (€)</t>
  </si>
  <si>
    <t>SUITE</t>
  </si>
  <si>
    <t>MARRAKECH</t>
  </si>
  <si>
    <t>SUITE AVEC 
PISCINE</t>
  </si>
  <si>
    <t>VILLA – NB CH</t>
  </si>
  <si>
    <t>VILLA – TARIF (À PARTIR DE)</t>
  </si>
  <si>
    <t>RES001</t>
  </si>
  <si>
    <t>TELEPHONE</t>
  </si>
  <si>
    <t>WHATSAPP</t>
  </si>
  <si>
    <t>EMAIL</t>
  </si>
  <si>
    <t>CONTACT DÉCISIONNAIRE</t>
  </si>
  <si>
    <t>SITE WEB</t>
  </si>
  <si>
    <t>INSTAGRAM</t>
  </si>
  <si>
    <t>FACEBOOK</t>
  </si>
  <si>
    <t>NOTES CONTACT</t>
  </si>
  <si>
    <t>STANDING (ST)</t>
  </si>
  <si>
    <t>ÉQUIP. ENFANTS (KD)</t>
  </si>
  <si>
    <t>LABELS / DISTINCTIONS (LAB)</t>
  </si>
  <si>
    <t>USAGES ÉVÉNEMENTIELS</t>
  </si>
  <si>
    <t>H072</t>
  </si>
  <si>
    <t>Ahbi Sahbi</t>
  </si>
  <si>
    <t>Guéliz</t>
  </si>
  <si>
    <t>Premium</t>
  </si>
  <si>
    <t>37 Bd Mansour Eddahbi</t>
  </si>
  <si>
    <t>+212 662 682 312</t>
  </si>
  <si>
    <t>Marocain contemporain · équipe féminine · Studio KO</t>
  </si>
  <si>
    <t>RG-VEG · Cuisine végétarienne</t>
  </si>
  <si>
    <t>LES JARDINS DE LA KOUTOUBIA</t>
  </si>
  <si>
    <t>5 ETOILES</t>
  </si>
  <si>
    <t>26 Rue De La Koutoubia, Médina</t>
  </si>
  <si>
    <t>Medina</t>
  </si>
  <si>
    <t>NON</t>
  </si>
  <si>
    <t>RAT-GOO · RAT-TRI</t>
  </si>
  <si>
    <t>ANC-NEW · NOUVEAU SPOT</t>
  </si>
  <si>
    <t>NA</t>
  </si>
  <si>
    <t>PUB-CPL · PUB-GRP</t>
  </si>
  <si>
    <t>212 5 24 38 8800</t>
  </si>
  <si>
    <t>ACC-PUB · ACC-PRV</t>
  </si>
  <si>
    <t>À compléter</t>
  </si>
  <si>
    <t>Réservation conseillée</t>
  </si>
  <si>
    <t>commercial@jardinskoutoubia.com</t>
  </si>
  <si>
    <t>à compléter</t>
  </si>
  <si>
    <t>https://www.lesjardinsdelakoutoubia.com</t>
  </si>
  <si>
    <t>@jardinsdelakoutoubia</t>
  </si>
  <si>
    <t>https://facebook.com/jardinsdelakoutoubia</t>
  </si>
  <si>
    <t>Importé de HEBERGEMENT. Quartier : Medina · Site : https://www.lesjardinsdelakoutoubia.com | Coord. complétée(s) depuis annuaire : tél [Ancien statut: Importé]</t>
  </si>
  <si>
    <t>RES002</t>
  </si>
  <si>
    <t>KD-KFR · KIDS FRIENDLY</t>
  </si>
  <si>
    <t>À qualifier (labels / distinctions)</t>
  </si>
  <si>
    <t>Mariage, séminaire, privatisation</t>
  </si>
  <si>
    <t>H073</t>
  </si>
  <si>
    <t>ACTIVITES · fiche prestataire SOLÝVENTS · V1</t>
  </si>
  <si>
    <t>Es Saadi Marrakech Resort - Palace</t>
  </si>
  <si>
    <t>Rue Ibrahim El Mazini Hivernage, L'Hivernage</t>
  </si>
  <si>
    <t>Hivernage</t>
  </si>
  <si>
    <t>Pétanque Social Club</t>
  </si>
  <si>
    <t>70-74 Bd El Mansour Eddahbi</t>
  </si>
  <si>
    <t>1 ; 2</t>
  </si>
  <si>
    <t>+212 666 455 380</t>
  </si>
  <si>
    <t>+212 524 337400</t>
  </si>
  <si>
    <t>Jardin festif · pétanque · cuisine méditerranéenne</t>
  </si>
  <si>
    <t>selfcoordination@essaadi.com · palace@essaadi.com</t>
  </si>
  <si>
    <t>Rania BAAMRI</t>
  </si>
  <si>
    <t>https://www.essaadi.com</t>
  </si>
  <si>
    <t>@essaadimarrakech</t>
  </si>
  <si>
    <t>https://facebook.com/essaadimarrakechresort</t>
  </si>
  <si>
    <t>Importé de HEBERGEMENT. Quartier : Hivernage · Site : https://www.essaadi.com | Coord. complétée(s) depuis annuaire : tél [Ancien statut: Importé] | Villa(s) privatisable(s) déplacée(s) → HB-COL</t>
  </si>
  <si>
    <t>NL-CLU · CLUB</t>
  </si>
  <si>
    <t>KD-CLB · KIDS CLUB</t>
  </si>
  <si>
    <t>PRESTATAIRE</t>
  </si>
  <si>
    <t>Très fort potentiel évènementiel</t>
  </si>
  <si>
    <t>LIEU</t>
  </si>
  <si>
    <t>H075</t>
  </si>
  <si>
    <t>PANIER MOYEN (€)</t>
  </si>
  <si>
    <t>ACTIVITÉS KIDS (AK)</t>
  </si>
  <si>
    <t>Forte demande week-end</t>
  </si>
  <si>
    <t>ANCIENNETÉ (ANC)</t>
  </si>
  <si>
    <t>RES003</t>
  </si>
  <si>
    <t>Hôtel &amp; Ryads Barrière Le Naoura</t>
  </si>
  <si>
    <t>Djebel Alakhdar - Bab Doukkala, Médina</t>
  </si>
  <si>
    <t>EMAIL RÉSERVATION</t>
  </si>
  <si>
    <t>TÉLÉPHONE</t>
  </si>
  <si>
    <t>OUI</t>
  </si>
  <si>
    <t>SITE</t>
  </si>
  <si>
    <t>1 ; 2 ; 3 ; 6</t>
  </si>
  <si>
    <t>TIKTOK</t>
  </si>
  <si>
    <t>Villa 1 CH: 1200 · Villa 2 CH: 1800 · Villa 3 CH: 2500 · Villa 6 CH: 5000</t>
  </si>
  <si>
    <t>CONTACT COMMERCIAL</t>
  </si>
  <si>
    <t>212524459000</t>
  </si>
  <si>
    <t>OFFRE 1</t>
  </si>
  <si>
    <t>reservation@groupebarriere.com</t>
  </si>
  <si>
    <t>PRIVATISATION</t>
  </si>
  <si>
    <t>https://www.hotelsbarriere.com/fr/marrakech/le-naoura.html</t>
  </si>
  <si>
    <t>COMMISSION NÉGOCIÉE SOLÝ (%)</t>
  </si>
  <si>
    <t>https://facebook.com/hotelryadsbarrierelenaouramarrakech</t>
  </si>
  <si>
    <t>Importé de HEBERGEMENT. Quartier : Hivernage · Site : https://www.hotelsbarriere.com/fr/marrakech/le-naoura.html | Coord. complétée(s) depuis annuaire : tél [Ancien statut: Importé] | Villa(s) privatisable(s) déplacée(s) → HB-COL</t>
  </si>
  <si>
    <t>NOTE GOOGLE</t>
  </si>
  <si>
    <t>NB AVIS</t>
  </si>
  <si>
    <t>DURÉE</t>
  </si>
  <si>
    <t>TARIF ENFANT (€)</t>
  </si>
  <si>
    <t>ENFANTS ADMIS (âge)</t>
  </si>
  <si>
    <t>H026</t>
  </si>
  <si>
    <t>NOTE VÉRIF (marché constaté · juil. 2026)</t>
  </si>
  <si>
    <t>Farmers</t>
  </si>
  <si>
    <t>ACT001</t>
  </si>
  <si>
    <t>Galerie El Beqal</t>
  </si>
  <si>
    <t>+212 524 423 022</t>
  </si>
  <si>
    <t>Farm-to-table · produits bio</t>
  </si>
  <si>
    <t>Park Hyatt Marrakech</t>
  </si>
  <si>
    <t>Al Maaden Golf Resort</t>
  </si>
  <si>
    <t>Al Maaden</t>
  </si>
  <si>
    <t>1 ; 2 ; 3</t>
  </si>
  <si>
    <t>Villa 1 CH: 1800 · Villa 2 CH: 3000 · Villa 3 CH: 4500</t>
  </si>
  <si>
    <t>+212 7 75 75 75 61 / 212524441234</t>
  </si>
  <si>
    <t>+212 775757561 (à confirmer)</t>
  </si>
  <si>
    <t>Horaires limités</t>
  </si>
  <si>
    <t>marrakech.park@hyatt.com</t>
  </si>
  <si>
    <t>Mme Fatim Zahra El Basri</t>
  </si>
  <si>
    <t>non trouvé</t>
  </si>
  <si>
    <t>@parkhyattmarrakech</t>
  </si>
  <si>
    <t>https://facebook.com/ParkHyattmarrakech</t>
  </si>
  <si>
    <t>Coord. complétée(s) depuis annuaire : tél | Villa(s) privatisable(s) déplacée(s) → HB-COL</t>
  </si>
  <si>
    <t>RES004</t>
  </si>
  <si>
    <t>LAB-VIRT · VIRTUOSO</t>
  </si>
  <si>
    <t>Séminaires premium</t>
  </si>
  <si>
    <t>H004</t>
  </si>
  <si>
    <t>The Oberoi Marrakech</t>
  </si>
  <si>
    <t>BP 22788 - Route de Ouarzazate</t>
  </si>
  <si>
    <t>Route d'Ouarzazate</t>
  </si>
  <si>
    <t>+212 525 08 15 15 / +212 664 77 66 31 / 212525081515</t>
  </si>
  <si>
    <t>+212 664776631 (à confirmer)</t>
  </si>
  <si>
    <t>reservations@oberoigroup.com</t>
  </si>
  <si>
    <t>Mlle Fatima Ezahra El Idrissi</t>
  </si>
  <si>
    <t>La Famille</t>
  </si>
  <si>
    <t>https://www.oberoihotels.com/hotels-in-morocco-marrakech/</t>
  </si>
  <si>
    <t>@oberoimarrakech</t>
  </si>
  <si>
    <t>Médina</t>
  </si>
  <si>
    <t>42 Riad Zitoun Jdid</t>
  </si>
  <si>
    <t>+212 5 24 38 52 95</t>
  </si>
  <si>
    <t>Jardin caché végétarien</t>
  </si>
  <si>
    <t>Mariages destination</t>
  </si>
  <si>
    <t>H001</t>
  </si>
  <si>
    <t>ANC-INST · INSTITUTION</t>
  </si>
  <si>
    <t>Déjeuner uniquement</t>
  </si>
  <si>
    <t>HAMMAN DU MANDARIN</t>
  </si>
  <si>
    <t>RES005</t>
  </si>
  <si>
    <t>Mandarin Oriental Marrakech</t>
  </si>
  <si>
    <t>Royal Mansour Marrakech</t>
  </si>
  <si>
    <t>Hivernage (Mandarin Oriental)</t>
  </si>
  <si>
    <t>Rue Abou Abbas El Sebti, Médina</t>
  </si>
  <si>
    <t>1 ; 2 ; 3 ; 4</t>
  </si>
  <si>
    <t>+212 529 80 80 80 / 212529808069</t>
  </si>
  <si>
    <t>marrakech@royalmansour.com</t>
  </si>
  <si>
    <t>M. Ibensrhir (ibensrhir@royalmansour.com)</t>
  </si>
  <si>
    <t>https://www.royalmansour.com</t>
  </si>
  <si>
    <t>@royalmansour</t>
  </si>
  <si>
    <t>@royalmansourmarrakech</t>
  </si>
  <si>
    <t>Domaine email corrigé (royalmansour.com) | Coord. complétée(s) depuis annuaire : tél [Ancien statut: Complété ✦] | Villa(s) privatisable(s) déplacée(s) → HB-COL</t>
  </si>
  <si>
    <t>LAB-VIRT · VIRTUOSO · LAB-LHW · LEADING HOTELS OF THE WORLD</t>
  </si>
  <si>
    <t>Mariages VIP, privatisations</t>
  </si>
  <si>
    <t>PUB-CPL · PUB-SOL · PUB-FAM</t>
  </si>
  <si>
    <t>H006</t>
  </si>
  <si>
    <t>+212 5 24 29 88 88</t>
  </si>
  <si>
    <t>Nomad</t>
  </si>
  <si>
    <t>À compléter (site)</t>
  </si>
  <si>
    <t>Place des Épices</t>
  </si>
  <si>
    <t>+212 524 38 16 09</t>
  </si>
  <si>
    <t>Rooftop iconique de la Médina</t>
  </si>
  <si>
    <t>NC (réseau non identifié)</t>
  </si>
  <si>
    <t>NL-LOU · LOUNGE</t>
  </si>
  <si>
    <t>À renseigner (prospection)</t>
  </si>
  <si>
    <t>Amanjena Resort</t>
  </si>
  <si>
    <t>Cf. panier (col H)</t>
  </si>
  <si>
    <t>Km 12 Route de Ouarzazate P.O. Box 2405</t>
  </si>
  <si>
    <t>À négocier</t>
  </si>
  <si>
    <t>Non admis</t>
  </si>
  <si>
    <t>Très demandé</t>
  </si>
  <si>
    <t>Non (âge min 16-18 ans)</t>
  </si>
  <si>
    <t>Spa indép. 45-90 € · palace 145-310 €. Enfants non admis (16-18 ans).</t>
  </si>
  <si>
    <t>+212 524 39 90 00</t>
  </si>
  <si>
    <t>ACT002</t>
  </si>
  <si>
    <t>amanjena@aman.com</t>
  </si>
  <si>
    <t>Mme Sara Laghmir</t>
  </si>
  <si>
    <t>https://www.aman.com/resorts/amanjena</t>
  </si>
  <si>
    <t>RES006</t>
  </si>
  <si>
    <t>@amanresorts</t>
  </si>
  <si>
    <t>https://facebook.com/amanjenaresort</t>
  </si>
  <si>
    <t>H077</t>
  </si>
  <si>
    <t>Kabana</t>
  </si>
  <si>
    <t>Face Koutoubia</t>
  </si>
  <si>
    <t>+212 664 464 450</t>
  </si>
  <si>
    <t>Rooftop festif · vue monumentale</t>
  </si>
  <si>
    <t>Dar Rhizlane, Palais Table d'hôtes &amp; SPA</t>
  </si>
  <si>
    <t>Avenue Jnane El Harti Hivernage, L'Hivernage</t>
  </si>
  <si>
    <t>Forte demande coucher soleil</t>
  </si>
  <si>
    <t>SPA ESSSADI HOTEL</t>
  </si>
  <si>
    <t>Heritage Spa</t>
  </si>
  <si>
    <t>Hivernage (Es Saadi)</t>
  </si>
  <si>
    <t>RES007</t>
  </si>
  <si>
    <t>+212 5 24 42 13 03 / +212 5 24 44 79 00</t>
  </si>
  <si>
    <t>contact@rhizlane.com</t>
  </si>
  <si>
    <t>+212 524 38 43 33</t>
  </si>
  <si>
    <t>https://www.dar-rhizlane.com</t>
  </si>
  <si>
    <t>@darrhizlane</t>
  </si>
  <si>
    <t>Importé de HEBERGEMENT. Quartier : Hivernage · Site : https://www.dar-rhizlane.com | Coord. complétée(s) depuis annuaire : tél [Ancien statut: Importé] | Fusion doublons : Dar Rhizlane, Palais Table d'hôtes &amp; SPA (H077) + Dar Rhizlane (H149)</t>
  </si>
  <si>
    <t>LAB-MMS · MR &amp; MRS SMITH</t>
  </si>
  <si>
    <t>ACT003</t>
  </si>
  <si>
    <t>Mariage intimiste, anniversaire</t>
  </si>
  <si>
    <t>H019</t>
  </si>
  <si>
    <t>Comptoir Darna</t>
  </si>
  <si>
    <t>Avenue Echouhada</t>
  </si>
  <si>
    <t>+212 5 24 43 77 02</t>
  </si>
  <si>
    <t>Institution festive marrakchie</t>
  </si>
  <si>
    <t>NL-SHO · SHOW &amp; CABARET</t>
  </si>
  <si>
    <t>Marrakech Insiders</t>
  </si>
  <si>
    <t>AK-DEC · DÉCOUVERTE &amp; APPRENTISSAGE</t>
  </si>
  <si>
    <t>Réservation indispensable</t>
  </si>
  <si>
    <t>Kasbah d'if</t>
  </si>
  <si>
    <t>RES008</t>
  </si>
  <si>
    <t>km 25 Route du Barrage Agafay</t>
  </si>
  <si>
    <t>Désert d'Agafay (Tameslouht)</t>
  </si>
  <si>
    <t>PUB-FAM · PUB-CPL · PUB-SOL</t>
  </si>
  <si>
    <t>+212 669 69 93 74</t>
  </si>
  <si>
    <t>+212 808 68 56 66</t>
  </si>
  <si>
    <t>contact@kasbahdif.com</t>
  </si>
  <si>
    <t>Mr Abdellatif / Gérant</t>
  </si>
  <si>
    <t>https://www.kasbahdif.com</t>
  </si>
  <si>
    <t>@kasbahdif</t>
  </si>
  <si>
    <t>Oui</t>
  </si>
  <si>
    <t>Immersion culturelle — familial.</t>
  </si>
  <si>
    <t>Coord. complétée(s) depuis annuaire : tél | Fusion doublons : Kasbah d'if (H019)</t>
  </si>
  <si>
    <t>ACT004</t>
  </si>
  <si>
    <t>Privatisation, EVJF</t>
  </si>
  <si>
    <t>Shirvan</t>
  </si>
  <si>
    <t>H003</t>
  </si>
  <si>
    <t>Luxe</t>
  </si>
  <si>
    <t>M Avenue</t>
  </si>
  <si>
    <t>Cuisine Route de la Soie · Chef Akrame Benallal</t>
  </si>
  <si>
    <t>SPA HOTEL LES 2 TOURS</t>
  </si>
  <si>
    <t>Hôtel Les Deux Tours</t>
  </si>
  <si>
    <t>Palmeraie (Les Deux Tours)</t>
  </si>
  <si>
    <t>Dress code conseillé</t>
  </si>
  <si>
    <t>+212 524 32 95 25</t>
  </si>
  <si>
    <t>RES009</t>
  </si>
  <si>
    <t>Mandarin Oriental, Marrakech</t>
  </si>
  <si>
    <t>Route Du Golf Royal</t>
  </si>
  <si>
    <t>Route du Golf Royal</t>
  </si>
  <si>
    <t>ACT005</t>
  </si>
  <si>
    <t>+212 524 29 88 88</t>
  </si>
  <si>
    <t>momrk-reservations@mohg.com</t>
  </si>
  <si>
    <t>Mme Nada Hihi</t>
  </si>
  <si>
    <t>https://www.mandarinoriental.com/fr/marrakech/la-medina</t>
  </si>
  <si>
    <t>@mo_marrakech</t>
  </si>
  <si>
    <t>https://facebook.com/MandarinOrientalMarrakech</t>
  </si>
  <si>
    <t>Lagon &amp; Jardin Es Saadi</t>
  </si>
  <si>
    <t>Es Saadi Resort</t>
  </si>
  <si>
    <t>+212 5 24 33 74 00</t>
  </si>
  <si>
    <t>Marrakech Balloon</t>
  </si>
  <si>
    <t>Restaurant jardin &amp; piscine</t>
  </si>
  <si>
    <t>Marrakech By Air</t>
  </si>
  <si>
    <t>Région (vol au-dessus de la palmeraie/désert)</t>
  </si>
  <si>
    <t>AK-LOI · LOISIRS &amp; ÉNERGIE</t>
  </si>
  <si>
    <t>Mariages &amp; groupes</t>
  </si>
  <si>
    <t>H079</t>
  </si>
  <si>
    <t>PUB-CPL · PUB-FAM</t>
  </si>
  <si>
    <t>+212 652 129 721</t>
  </si>
  <si>
    <t>Accès selon disponibilité</t>
  </si>
  <si>
    <t>RES010</t>
  </si>
  <si>
    <t>Oui (âge min ~6 ans)</t>
  </si>
  <si>
    <t>Marché 130-240 € (Classic 130 / VIP 195). Enfant -50 % &lt;10 ans (~100 €).</t>
  </si>
  <si>
    <t>ACT006</t>
  </si>
  <si>
    <t>Les Jardins De La Médina</t>
  </si>
  <si>
    <t>21 Derb Chtouka, Kasbah</t>
  </si>
  <si>
    <t>Médina (Kasbah)</t>
  </si>
  <si>
    <t>Villa des Orangers</t>
  </si>
  <si>
    <t>Kasbah</t>
  </si>
  <si>
    <t>+212 524 381 851</t>
  </si>
  <si>
    <t>6 Rue Sidi Mimoun</t>
  </si>
  <si>
    <t>+212 524 384 638</t>
  </si>
  <si>
    <t>info@lesjardinsdelamedina.com</t>
  </si>
  <si>
    <t>Relais &amp; Châteaux</t>
  </si>
  <si>
    <t>doublon Les Jardins de la Médina</t>
  </si>
  <si>
    <t>https://www.lesjardinsdelamedina.com</t>
  </si>
  <si>
    <t>@lesjardinsdelamedina</t>
  </si>
  <si>
    <t>Importé de HEBERGEMENT. Quartier : Médina — Kasbah · Site : lesjardinsdelamedina.com | Coord. complétée(s) depuis annuaire : tél [Ancien statut: Importé] | Fusion doublons : Les Jardins de la Medina Collection (H079)</t>
  </si>
  <si>
    <t>SPA HOTEL SELMAN</t>
  </si>
  <si>
    <t>🔒 CARTE DES PLAGES FIGÉES (ex-onglet PLAGES_REF_CODES) · ⚠️ ~1759 INDEX/MATCH pointent sur ces plages absolues · ne PAS insérer/supprimer de lignes dans REF_CODES sans resynchroniser cette carte.</t>
  </si>
  <si>
    <t>Hotel Selman</t>
  </si>
  <si>
    <t>LISTE DÉROULANT ACTIVITES · D (AU 7 + AK 5 = 12)</t>
  </si>
  <si>
    <t>Route d'Amizmiz (Selman)</t>
  </si>
  <si>
    <t>Réservation obligatoire</t>
  </si>
  <si>
    <t>Mariage, dîner privé</t>
  </si>
  <si>
    <t>LIGNES</t>
  </si>
  <si>
    <t>H080</t>
  </si>
  <si>
    <t>RES011</t>
  </si>
  <si>
    <t>NB CODES</t>
  </si>
  <si>
    <t>PLAGE CODE (col B)</t>
  </si>
  <si>
    <t>+212 5 24 45 96 00</t>
  </si>
  <si>
    <t>PLAGE LIBELLÉ (col C)</t>
  </si>
  <si>
    <t>ACT007</t>
  </si>
  <si>
    <t>3-7</t>
  </si>
  <si>
    <t>The Mellah Hotel</t>
  </si>
  <si>
    <t>Derb Alaati Allah No 13 Hay Salam, Mellah</t>
  </si>
  <si>
    <t>$B$3:$B$7</t>
  </si>
  <si>
    <t>Médina (Mellah)</t>
  </si>
  <si>
    <t>$C$3:$C$7</t>
  </si>
  <si>
    <t>La Table de La Sultana</t>
  </si>
  <si>
    <t>Rue de la Kasbah</t>
  </si>
  <si>
    <t>+212 5 24 38 80 08</t>
  </si>
  <si>
    <t>Gastronomie marocaine haut de gamme</t>
  </si>
  <si>
    <t>8-13</t>
  </si>
  <si>
    <t>Hammam de la Rose</t>
  </si>
  <si>
    <t>$B$8:$B$13</t>
  </si>
  <si>
    <t>$C$8:$C$13</t>
  </si>
  <si>
    <t>+212 628 613848</t>
  </si>
  <si>
    <t>+212 628613848 (à confirmer)</t>
  </si>
  <si>
    <t>hello@hotelthemellah.com</t>
  </si>
  <si>
    <t>PUB-CPL · PUB-PRO</t>
  </si>
  <si>
    <t>https://www.themellahmarrakech.com</t>
  </si>
  <si>
    <t>14-19</t>
  </si>
  <si>
    <t>Réservation recommandée</t>
  </si>
  <si>
    <t>@themellahmarrakech</t>
  </si>
  <si>
    <t>$B$14:$B$19</t>
  </si>
  <si>
    <t>Importé de HEBERGEMENT. Quartier : Médina (Mellah) · Site : https://www.themellahmarrakech.com | Coord. complétée(s) depuis annuaire : tél [Ancien statut: Importé]</t>
  </si>
  <si>
    <t>$C$14:$C$19</t>
  </si>
  <si>
    <t>+212 5 24 44 47 69</t>
  </si>
  <si>
    <t>RES012</t>
  </si>
  <si>
    <t>20-26</t>
  </si>
  <si>
    <t>$B$20:$B$26</t>
  </si>
  <si>
    <t>Shooting, influenceurs</t>
  </si>
  <si>
    <t>$C$20:$C$26</t>
  </si>
  <si>
    <t>H081</t>
  </si>
  <si>
    <t>ACT008</t>
  </si>
  <si>
    <t>27-33</t>
  </si>
  <si>
    <t>$B$27:$B$33</t>
  </si>
  <si>
    <t>$C$27:$C$33</t>
  </si>
  <si>
    <t>34-39</t>
  </si>
  <si>
    <t>PL Place Boutique Hôtel &amp; Restaurant</t>
  </si>
  <si>
    <t>Sesamo</t>
  </si>
  <si>
    <t>DAR TOUNSSI RTE DE FES ENNAKHIL</t>
  </si>
  <si>
    <t>$B$34:$B$39</t>
  </si>
  <si>
    <t>Palmeraie</t>
  </si>
  <si>
    <t>Ultra Luxe</t>
  </si>
  <si>
    <t>$C$34:$C$39</t>
  </si>
  <si>
    <t>Royal Mansour</t>
  </si>
  <si>
    <t>+212 529 80 82 82</t>
  </si>
  <si>
    <t>Spa Les Jardins d'Issil</t>
  </si>
  <si>
    <t>Restaurant italien des frères Alajmo</t>
  </si>
  <si>
    <t>Hôtel Jardins d'Issil</t>
  </si>
  <si>
    <t>Route de l'Ourika</t>
  </si>
  <si>
    <t>40-45</t>
  </si>
  <si>
    <t>+212 6 66 48 59 29</t>
  </si>
  <si>
    <t>$B$40:$B$45</t>
  </si>
  <si>
    <t>$C$40:$C$45</t>
  </si>
  <si>
    <t>hello@plplace-marrakech.com</t>
  </si>
  <si>
    <t>tél. non trouvé de source fiable (numéros contradictoires selon annuaires)</t>
  </si>
  <si>
    <t>https://www.plplace.com</t>
  </si>
  <si>
    <t>@plplace_marrakech</t>
  </si>
  <si>
    <t>+212 7 53 08 92 11</t>
  </si>
  <si>
    <t>Importé de HEBERGEMENT. Quartier : Palmeraie · Site : https://www.plplace.com | Coord. complétée(s) depuis annuaire : email [Ancien statut: À compléter]</t>
  </si>
  <si>
    <t>46-50</t>
  </si>
  <si>
    <t>RES013</t>
  </si>
  <si>
    <t>Privatisation légère</t>
  </si>
  <si>
    <t>$B$46:$B$50</t>
  </si>
  <si>
    <t>H082</t>
  </si>
  <si>
    <t>$C$46:$C$50</t>
  </si>
  <si>
    <t>ACT009</t>
  </si>
  <si>
    <t>51-55</t>
  </si>
  <si>
    <t>$B$51:$B$55</t>
  </si>
  <si>
    <t>$C$51:$C$55</t>
  </si>
  <si>
    <t>La Pause Ecolodge Agafay</t>
  </si>
  <si>
    <t>Ecolodge de luxe · camp désert Agafay (non classé étoiles, créé 2003)</t>
  </si>
  <si>
    <t>Agafay Desert</t>
  </si>
  <si>
    <t>Agafay</t>
  </si>
  <si>
    <t>56-57</t>
  </si>
  <si>
    <t>$B$56:$B$57</t>
  </si>
  <si>
    <t>Pearl Spa (The Pearl Marrakech)</t>
  </si>
  <si>
    <t>The Pearl Marrakech</t>
  </si>
  <si>
    <t>$C$56:$C$57</t>
  </si>
  <si>
    <t>+212 524 421576</t>
  </si>
  <si>
    <t>Hivernage (The Pearl)</t>
  </si>
  <si>
    <t>Le Marocain</t>
  </si>
  <si>
    <t>lapause1@gmail.com</t>
  </si>
  <si>
    <t>https://www.lapause-marrakech.com</t>
  </si>
  <si>
    <t>@lapauseagafay</t>
  </si>
  <si>
    <t>La Mamounia, Av. Bab Jdid</t>
  </si>
  <si>
    <t>Importé de HEBERGEMENT. Quartier : Agafay · Site : https://www.lapause-marrakech.com | Coord. complétée(s) depuis annuaire : tél [Ancien statut: Importé]</t>
  </si>
  <si>
    <t>+212 5243 88600</t>
  </si>
  <si>
    <t>58-61</t>
  </si>
  <si>
    <t>Gastronomie marocaine de palace</t>
  </si>
  <si>
    <t>$B$58:$B$61</t>
  </si>
  <si>
    <t>$C$58:$C$61</t>
  </si>
  <si>
    <t>EVJF, retraite yoga</t>
  </si>
  <si>
    <t>H008</t>
  </si>
  <si>
    <t>+212 5 24 42 42 37</t>
  </si>
  <si>
    <t>62-66</t>
  </si>
  <si>
    <t>$B$62:$B$66</t>
  </si>
  <si>
    <t>$C$62:$C$66</t>
  </si>
  <si>
    <t>RES014</t>
  </si>
  <si>
    <t>Riad Camilia</t>
  </si>
  <si>
    <t>ACT010</t>
  </si>
  <si>
    <t>Maison d'hôtes · riad (cat. maison d'hôtes)</t>
  </si>
  <si>
    <t>9 Derb El Ouali, Kaat Benahid, Médina</t>
  </si>
  <si>
    <t>6-7</t>
  </si>
  <si>
    <t>67-70</t>
  </si>
  <si>
    <t>$B$67:$B$70</t>
  </si>
  <si>
    <t>$C$67:$C$70</t>
  </si>
  <si>
    <t>+212 5 244 43 081 / +212 524 443 081 / +212 669 283 492</t>
  </si>
  <si>
    <t>+212 669283492 (à confirmer)</t>
  </si>
  <si>
    <t>contact@riadcamilia.com</t>
  </si>
  <si>
    <t>Propriétaire Riad</t>
  </si>
  <si>
    <t>riadcamilia.com</t>
  </si>
  <si>
    <t>71-74</t>
  </si>
  <si>
    <t>@riadcamilia</t>
  </si>
  <si>
    <t>Mention fichier : « plus en activité » — à vérifier | Coord. complétée(s) depuis annuaire : tél</t>
  </si>
  <si>
    <t>$B$71:$B$74</t>
  </si>
  <si>
    <t>$C$71:$C$74</t>
  </si>
  <si>
    <t>Privatisation, anniversaire</t>
  </si>
  <si>
    <t>H007</t>
  </si>
  <si>
    <t>Les Bains d'Orient</t>
  </si>
  <si>
    <t>75-77</t>
  </si>
  <si>
    <t>L'Asiatique</t>
  </si>
  <si>
    <t>$B$75:$B$77</t>
  </si>
  <si>
    <t>$C$75:$C$77</t>
  </si>
  <si>
    <t>Asiatique par Jean-Georges</t>
  </si>
  <si>
    <t>78-82</t>
  </si>
  <si>
    <t>+212 5 24 38 76 79</t>
  </si>
  <si>
    <t>Four Seasons Resort Marrakech</t>
  </si>
  <si>
    <t>$B$78:$B$82</t>
  </si>
  <si>
    <t>$C$78:$C$82</t>
  </si>
  <si>
    <t>1 Boulevard de la Menara, L'Hivernage,</t>
  </si>
  <si>
    <t>83-86</t>
  </si>
  <si>
    <t>RES015</t>
  </si>
  <si>
    <t>$B$83:$B$86</t>
  </si>
  <si>
    <t>ACT011</t>
  </si>
  <si>
    <t>+212 524 35 92 00</t>
  </si>
  <si>
    <t>$C$83:$C$86</t>
  </si>
  <si>
    <t>reservations.morocco@fourseasons.com</t>
  </si>
  <si>
    <t>Hajar Naciri</t>
  </si>
  <si>
    <t>https://www.fourseasons.com/marrakech/</t>
  </si>
  <si>
    <t>@fsmarrakech</t>
  </si>
  <si>
    <t>https://facebook.com/FourSeasonsResortMarrakech</t>
  </si>
  <si>
    <t>Coord. complétée(s) depuis annuaire : tél</t>
  </si>
  <si>
    <t>87-132</t>
  </si>
  <si>
    <t>$B$87:$B$132</t>
  </si>
  <si>
    <t>$C$87:$C$132</t>
  </si>
  <si>
    <t>Évènements haut de gamme</t>
  </si>
  <si>
    <t>H005</t>
  </si>
  <si>
    <t>133-141</t>
  </si>
  <si>
    <t>Spa du Four Seasons Resort Marrakech</t>
  </si>
  <si>
    <t>Four Seasons Marrakech</t>
  </si>
  <si>
    <t>$B$133:$B$141</t>
  </si>
  <si>
    <t>Route du Golf Royal (Four Seasons)</t>
  </si>
  <si>
    <t>$C$133:$C$141</t>
  </si>
  <si>
    <t>Le Salammbô</t>
  </si>
  <si>
    <t>Selman Marrakech</t>
  </si>
  <si>
    <t>BP 24 530 Marrakech Atlas, KM 5, route d'Amizmiz</t>
  </si>
  <si>
    <t>Route d'Amizmiz</t>
  </si>
  <si>
    <t>Les Deux Tours</t>
  </si>
  <si>
    <t>Table gastronomique de jardin</t>
  </si>
  <si>
    <t>142-157</t>
  </si>
  <si>
    <t>$B$142:$B$157</t>
  </si>
  <si>
    <t>$C$142:$C$157</t>
  </si>
  <si>
    <t>+212 524 45 96 00</t>
  </si>
  <si>
    <t>158-160</t>
  </si>
  <si>
    <t>info@selman-marrakech.com</t>
  </si>
  <si>
    <t>Mme Nihad Najdi</t>
  </si>
  <si>
    <t>$B$158:$B$160</t>
  </si>
  <si>
    <t>https://www.selman-marrakech.com</t>
  </si>
  <si>
    <t>$C$158:$C$160</t>
  </si>
  <si>
    <t>@selmanmarrakech</t>
  </si>
  <si>
    <t>https://facebook.com/selmanmarrakech</t>
  </si>
  <si>
    <t>161-162</t>
  </si>
  <si>
    <t>$B$161:$B$162</t>
  </si>
  <si>
    <t>ACT012</t>
  </si>
  <si>
    <t>$C$161:$C$162</t>
  </si>
  <si>
    <t>163-167</t>
  </si>
  <si>
    <t>Mariages &amp; événements privés</t>
  </si>
  <si>
    <t>$B$163:$B$167</t>
  </si>
  <si>
    <t>H009</t>
  </si>
  <si>
    <t>$C$163:$C$167</t>
  </si>
  <si>
    <t>RES016</t>
  </si>
  <si>
    <t>168-171</t>
  </si>
  <si>
    <t>$B$168:$B$171</t>
  </si>
  <si>
    <t>$C$168:$C$171</t>
  </si>
  <si>
    <t>172-175</t>
  </si>
  <si>
    <t>$B$172:$B$175</t>
  </si>
  <si>
    <t>$C$172:$C$175</t>
  </si>
  <si>
    <t>176-179</t>
  </si>
  <si>
    <t>Le Farnatchi</t>
  </si>
  <si>
    <t>$B$176:$B$179</t>
  </si>
  <si>
    <t>$C$176:$C$179</t>
  </si>
  <si>
    <t>2 Derb El Farnatchi, Rue Souk El Fassis, Médina</t>
  </si>
  <si>
    <t>180-180</t>
  </si>
  <si>
    <t>$B$180:$B$180</t>
  </si>
  <si>
    <t>$C$180:$C$180</t>
  </si>
  <si>
    <t>+212 524 384 910</t>
  </si>
  <si>
    <t>181-186</t>
  </si>
  <si>
    <t>Mr Naciri Mourad / DG : Mr Gamse Wix</t>
  </si>
  <si>
    <t>https://lefarnatchi.com</t>
  </si>
  <si>
    <t>+212 5 24 38 43 33</t>
  </si>
  <si>
    <t>facebook.com/LeFarnatchi</t>
  </si>
  <si>
    <t>$B$181:$B$186</t>
  </si>
  <si>
    <t>$C$181:$C$186</t>
  </si>
  <si>
    <t>Moro</t>
  </si>
  <si>
    <t>Majorelle</t>
  </si>
  <si>
    <t>187-189</t>
  </si>
  <si>
    <t>Rue Yves Saint Laurent</t>
  </si>
  <si>
    <t>$B$187:$B$189</t>
  </si>
  <si>
    <t>+212 665 999 336</t>
  </si>
  <si>
    <t>$C$187:$C$189</t>
  </si>
  <si>
    <t>Tapas &amp; méditerranéen chic</t>
  </si>
  <si>
    <t>Évènements VIP</t>
  </si>
  <si>
    <t>H012</t>
  </si>
  <si>
    <t>190-194</t>
  </si>
  <si>
    <t>$B$190:$B$194</t>
  </si>
  <si>
    <t>ACT013</t>
  </si>
  <si>
    <t>$C$190:$C$194</t>
  </si>
  <si>
    <t>195-214</t>
  </si>
  <si>
    <t>$B$195:$B$214</t>
  </si>
  <si>
    <t>$C$195:$C$214</t>
  </si>
  <si>
    <t>Terrasse demandée</t>
  </si>
  <si>
    <t>Riad Noir d'Ivoire</t>
  </si>
  <si>
    <t>Riad de luxe · boutique-hôtel 4★ (9 logements : 7 suites + 2 ch.)</t>
  </si>
  <si>
    <t>RES017</t>
  </si>
  <si>
    <t>31-33 Derb Jdid, Bab Doukkala, Médina, 40000</t>
  </si>
  <si>
    <t>+212 524 37 76 07 / +212 524 380975</t>
  </si>
  <si>
    <t>contact@noir-d-ivoire.com</t>
  </si>
  <si>
    <t>Direction Riad</t>
  </si>
  <si>
    <t>Spa de La Mamounia</t>
  </si>
  <si>
    <t>https://noir-d-ivoire.com</t>
  </si>
  <si>
    <t>@riadnoirdivoire</t>
  </si>
  <si>
    <t>Hivernage (La Mamounia)</t>
  </si>
  <si>
    <t>Anniversaire</t>
  </si>
  <si>
    <t>H002</t>
  </si>
  <si>
    <t>+212 5 24 38 86 00</t>
  </si>
  <si>
    <t>Tfaya</t>
  </si>
  <si>
    <t>La Mamounia</t>
  </si>
  <si>
    <t>Avenue Bab Jdid, 40040 Marrakech</t>
  </si>
  <si>
    <t>ACT014</t>
  </si>
  <si>
    <t>+212 524 38 86 00</t>
  </si>
  <si>
    <t>+212 775 757 535</t>
  </si>
  <si>
    <t>reservations@mamounia.com</t>
  </si>
  <si>
    <t>Mr Saad Chheb</t>
  </si>
  <si>
    <t>https://www.mamounia.com</t>
  </si>
  <si>
    <t>Brasserie arabesque contemporaine</t>
  </si>
  <si>
    <t>@mamouniamarrakech</t>
  </si>
  <si>
    <t>https://facebook.com/LaMamouniaMarrakech</t>
  </si>
  <si>
    <t>H011</t>
  </si>
  <si>
    <t>Les Bains de Marrakech</t>
  </si>
  <si>
    <t>Médina (Bab Agnaou)</t>
  </si>
  <si>
    <t>Riad El Fenn</t>
  </si>
  <si>
    <t>4 ETOILES</t>
  </si>
  <si>
    <t>2 Derb Moulay Abdellah Ben Hezzian, Bab El Ksour, Médina</t>
  </si>
  <si>
    <t>+212 5 24 38 14 28</t>
  </si>
  <si>
    <t>RES018</t>
  </si>
  <si>
    <t>+212 524 44 12 10</t>
  </si>
  <si>
    <t>Vanessa Branson (propriétaire) / Mr Soufiane</t>
  </si>
  <si>
    <t>https://el-fenn.com</t>
  </si>
  <si>
    <t>@el.fenn</t>
  </si>
  <si>
    <t>https://facebook.com/ElFennMarrakech</t>
  </si>
  <si>
    <t>ACT015</t>
  </si>
  <si>
    <t>Shooting, mode, influence</t>
  </si>
  <si>
    <t>H093</t>
  </si>
  <si>
    <t>Fairmont Royal</t>
  </si>
  <si>
    <t>Km 12, route d'Amizmiz</t>
  </si>
  <si>
    <t>+212 524 48 78 00</t>
  </si>
  <si>
    <t>marrakech@fairmont.com</t>
  </si>
  <si>
    <t>Spa de la Villa des Orangers</t>
  </si>
  <si>
    <t>https://royalpalmmarrakech.com</t>
  </si>
  <si>
    <t>@fairmontmarrakech</t>
  </si>
  <si>
    <t>Importé de HEBERGEMENT. Quartier : Route d'Amizmiz · Site : https://royalpalmmarrakech.com | Coord. complétée(s) depuis annuaire : tél [Ancien statut: Importé]</t>
  </si>
  <si>
    <t>+212 524 38 46 38</t>
  </si>
  <si>
    <t>SABO</t>
  </si>
  <si>
    <t>H013</t>
  </si>
  <si>
    <t>+212 5244 59600</t>
  </si>
  <si>
    <t>Asiatique &amp; sushi</t>
  </si>
  <si>
    <t>✅ V2</t>
  </si>
  <si>
    <t>ACT016</t>
  </si>
  <si>
    <t>Riad Kheirredine</t>
  </si>
  <si>
    <t>2, Derb Chelligui, Sidi Ben Slimane, Médina</t>
  </si>
  <si>
    <t>+212 524 386 364</t>
  </si>
  <si>
    <t>book@riadkheirredine.com</t>
  </si>
  <si>
    <t>https://www.riadkheirredine.com</t>
  </si>
  <si>
    <t>@riadkheirredine</t>
  </si>
  <si>
    <t>Montgolfière au lever du soleil</t>
  </si>
  <si>
    <t>Ciel d'Afrique</t>
  </si>
  <si>
    <t>Région</t>
  </si>
  <si>
    <t>Adresse à vérifier</t>
  </si>
  <si>
    <t>H014</t>
  </si>
  <si>
    <t>RES019</t>
  </si>
  <si>
    <t>+212 524 43 28 43</t>
  </si>
  <si>
    <t>Riad 72</t>
  </si>
  <si>
    <t>72 Arset Aouzal, Bab Doukkala</t>
  </si>
  <si>
    <t>ACT017</t>
  </si>
  <si>
    <t>+212 524 38 76 29</t>
  </si>
  <si>
    <t>info@riad72.com</t>
  </si>
  <si>
    <t>Direction commerciale</t>
  </si>
  <si>
    <t>https://www.riad72.com</t>
  </si>
  <si>
    <t>@riad72</t>
  </si>
  <si>
    <t>H015</t>
  </si>
  <si>
    <t>Riad Mena &amp; Beyond</t>
  </si>
  <si>
    <t>70 Derb J'Did, Douar Graoua, Médina</t>
  </si>
  <si>
    <t>Quad Agafay</t>
  </si>
  <si>
    <t>Xtreme Agafay Desert</t>
  </si>
  <si>
    <t>+212 524 38 18 28</t>
  </si>
  <si>
    <t>Le Douar M Avenue</t>
  </si>
  <si>
    <t>AK-NAT · NATURE &amp; EXPLORATION</t>
  </si>
  <si>
    <t>Mme Philomena / Direction Générale</t>
  </si>
  <si>
    <t>riadmenaandbeyond.com</t>
  </si>
  <si>
    <t>@riadmena</t>
  </si>
  <si>
    <t>Coord. complétée(s) depuis annuaire : email, tél</t>
  </si>
  <si>
    <t>OR-FES · FESTIF · OR-PRO · PROFESSIONNEL</t>
  </si>
  <si>
    <t>PUB-GRP · PUB-FAM</t>
  </si>
  <si>
    <t>+212 6 36 62 16 16</t>
  </si>
  <si>
    <t>Rooftop marocain contemporain</t>
  </si>
  <si>
    <t>+212 688 77 63 68</t>
  </si>
  <si>
    <t>Couple premium</t>
  </si>
  <si>
    <t>H017</t>
  </si>
  <si>
    <t>Passager (dès 4-6 ans)</t>
  </si>
  <si>
    <t>~50 €/pers. Passager souvent payant ~20 €.</t>
  </si>
  <si>
    <t>ACT018</t>
  </si>
  <si>
    <t>Riad Due</t>
  </si>
  <si>
    <t>2 Derb Chantouf, Riad Larousse, Médina</t>
  </si>
  <si>
    <t>+212 524 38 76 87 / +212 524 378 864</t>
  </si>
  <si>
    <t>RES020</t>
  </si>
  <si>
    <t>info@riaddue.net</t>
  </si>
  <si>
    <t>Direction (Eleni)</t>
  </si>
  <si>
    <t>riaddue.net</t>
  </si>
  <si>
    <t>@riaddueboutiquehotel</t>
  </si>
  <si>
    <t>Recherche web : email/Instagram/direction renseignés ; site riaddue.com | Coord. complétée(s) depuis annuaire : tél [Ancien statut: Complété ✦]</t>
  </si>
  <si>
    <t>Buggy Agafay</t>
  </si>
  <si>
    <t>QuadBuggy Adventures</t>
  </si>
  <si>
    <t>H044</t>
  </si>
  <si>
    <t>+212 679 419 149</t>
  </si>
  <si>
    <t>Riad Le Yasmine</t>
  </si>
  <si>
    <t>209 Rue Ank Jemel, Bab Taghzout</t>
  </si>
  <si>
    <t>L'Mida</t>
  </si>
  <si>
    <t>Passager (dès 4 ans)</t>
  </si>
  <si>
    <t>Rahba Lakdima</t>
  </si>
  <si>
    <t>150 €/buggy (≤2 pers ≈ 70-75 €/pers). Passager +~20 €.</t>
  </si>
  <si>
    <t>+212 524 377 012</t>
  </si>
  <si>
    <t>+212 5 24 44 36 62</t>
  </si>
  <si>
    <t>Rooftop marocain moderne</t>
  </si>
  <si>
    <t>leriadyasmine@gmail.com</t>
  </si>
  <si>
    <t>ACT019</t>
  </si>
  <si>
    <t>Mr Gabriel / Direction</t>
  </si>
  <si>
    <t>https://www.riad-yasmine.com</t>
  </si>
  <si>
    <t>@riadyasmine</t>
  </si>
  <si>
    <t>Coord. complétée(s) depuis annuaire : tél | Fusion doublons : Riad Yasmine (H044)</t>
  </si>
  <si>
    <t>Influence, Instagram</t>
  </si>
  <si>
    <t>H045</t>
  </si>
  <si>
    <t>RES021</t>
  </si>
  <si>
    <t>Side-car Marrakech</t>
  </si>
  <si>
    <t>Riad Brummell Medina</t>
  </si>
  <si>
    <t>20 Derb Assabbane</t>
  </si>
  <si>
    <t>+212 524 38 58 06</t>
  </si>
  <si>
    <t>salam@riadbrummell.com</t>
  </si>
  <si>
    <t>Direction</t>
  </si>
  <si>
    <t>https://riadbrummell.brummellprojects.com</t>
  </si>
  <si>
    <t>@brummellmedina</t>
  </si>
  <si>
    <t>Passager (selon âge)</t>
  </si>
  <si>
    <t>Passager en side-car (selon âge).</t>
  </si>
  <si>
    <t>ACT020</t>
  </si>
  <si>
    <t>DarDar</t>
  </si>
  <si>
    <t>H046</t>
  </si>
  <si>
    <t>Riad Zitoun Lakdim</t>
  </si>
  <si>
    <t>+212 623 611 121</t>
  </si>
  <si>
    <t>Rooftop festif marocain</t>
  </si>
  <si>
    <t>Riad Kniza</t>
  </si>
  <si>
    <t>34 Derb l'Hôtel, Bab Doukkala</t>
  </si>
  <si>
    <t>Forte demande soir</t>
  </si>
  <si>
    <t>RES022</t>
  </si>
  <si>
    <t>Cours de cuisine marocaine</t>
  </si>
  <si>
    <t>La Maison Arabe</t>
  </si>
  <si>
    <t>Médina/Marrakech</t>
  </si>
  <si>
    <t>+212 524 37 69 42</t>
  </si>
  <si>
    <t>Mr Kamal / Resp Commercial</t>
  </si>
  <si>
    <t>https://riadkniza.com</t>
  </si>
  <si>
    <t>@riadkniza</t>
  </si>
  <si>
    <t>+212 524 38 70 10</t>
  </si>
  <si>
    <t>H084</t>
  </si>
  <si>
    <t>Oui (dès ~4-6 ans)</t>
  </si>
  <si>
    <t>Mizaan</t>
  </si>
  <si>
    <t>18-70 € (Amal ~18 · La Maison Arabe ~68). Enfant = tarif adulte.</t>
  </si>
  <si>
    <t>Riad Livia Marrakech - Adults Only</t>
  </si>
  <si>
    <t>ACT021</t>
  </si>
  <si>
    <t>Rue Tarik Ibn Ziad</t>
  </si>
  <si>
    <t>36 SIDI AYOUB DERB EL ARSA, Médina</t>
  </si>
  <si>
    <t>+212 5244 39560</t>
  </si>
  <si>
    <t>Bistronomie créative</t>
  </si>
  <si>
    <t>Adults Only</t>
  </si>
  <si>
    <t>+212 808 666 132</t>
  </si>
  <si>
    <t>info@riad-livia.com</t>
  </si>
  <si>
    <t>https://www.riad-livia.com</t>
  </si>
  <si>
    <t>@riadlivia</t>
  </si>
  <si>
    <t>Importé de HEBERGEMENT. Quartier : Médina · Site : https://www.riad-livia.com | Coord. complétée(s) depuis annuaire : tél [Ancien statut: Importé]</t>
  </si>
  <si>
    <t>— Adults only (pas d'équipement enfants)</t>
  </si>
  <si>
    <t>RES023</t>
  </si>
  <si>
    <t>H090</t>
  </si>
  <si>
    <t>Atelier parfum personnalisé</t>
  </si>
  <si>
    <t>SOIRÉE / NIGHTLIFE · structure SOLÝVENTS harmonisée · ✅ V1 vérifié (aligné 🔖 CODES DE RÉFÉRENCE)</t>
  </si>
  <si>
    <t>Le Jardin Secret</t>
  </si>
  <si>
    <t>+212 524 39 00 40</t>
  </si>
  <si>
    <t>Riad Al Rimal &amp; Spa</t>
  </si>
  <si>
    <t>43 Derb Fahl Ezzafriti Quartier Laksour , Médina,</t>
  </si>
  <si>
    <t>Oui (poterie : min ~90 cm)</t>
  </si>
  <si>
    <t>34-45 € (2h) · 73-84 € (4h). Enfant = tarif adulte.</t>
  </si>
  <si>
    <t>+212 661 582972</t>
  </si>
  <si>
    <t>+212 661582972 (à confirmer)</t>
  </si>
  <si>
    <t>ACT022</t>
  </si>
  <si>
    <t>https://www.riad-alrimal.com</t>
  </si>
  <si>
    <t>@riadalrimal</t>
  </si>
  <si>
    <t>Importé de HEBERGEMENT. Quartier : Médina · Site : https://www.riad-alrimal.com | Coord. complétée(s) depuis annuaire : tél [Ancien statut: À compléter]</t>
  </si>
  <si>
    <t>Bab Doukkala</t>
  </si>
  <si>
    <t>Institution marocaine historique</t>
  </si>
  <si>
    <t>LIEU / QUARTIER</t>
  </si>
  <si>
    <t>Anniversaire, groupe</t>
  </si>
  <si>
    <t>TICKET / PANIER MOYEN (€)</t>
  </si>
  <si>
    <t>TYPE DE LIEU</t>
  </si>
  <si>
    <t>H091</t>
  </si>
  <si>
    <t>AMBIANCE &amp; NOTE</t>
  </si>
  <si>
    <t>Hammam Royal Mansour</t>
  </si>
  <si>
    <t>Médina/Hivernage (Royal Mansour)</t>
  </si>
  <si>
    <t>Riad Anaqa</t>
  </si>
  <si>
    <t>184, 185 Arset Aouzal Road,</t>
  </si>
  <si>
    <t>RES024</t>
  </si>
  <si>
    <t>TARIF 1 (€)</t>
  </si>
  <si>
    <t>OFFRE 2</t>
  </si>
  <si>
    <t>TARIF 2 (€)</t>
  </si>
  <si>
    <t>OFFRE 3</t>
  </si>
  <si>
    <t>TARIF 3 (€)</t>
  </si>
  <si>
    <t>Villa 5 CH: 250</t>
  </si>
  <si>
    <t>+212 664 838694</t>
  </si>
  <si>
    <t>+212 5 29 80 80 80</t>
  </si>
  <si>
    <t>+212 664838694 (à confirmer)</t>
  </si>
  <si>
    <t>CONVENTION SIGNÉE</t>
  </si>
  <si>
    <t>reservations@anaqa-signature.com</t>
  </si>
  <si>
    <t>DATE DERNIÈRE MISE À JOUR</t>
  </si>
  <si>
    <t>https://www.riad-anaqa.com</t>
  </si>
  <si>
    <t>@anaqasignature</t>
  </si>
  <si>
    <t>Importé de HEBERGEMENT. Quartier : Médina · Site : https://www.riad-anaqa.com | Coord. complétée(s) depuis annuaire : tél [Ancien statut: Importé] | Villa(s) privatisable(s) déplacée(s) → HB-COL</t>
  </si>
  <si>
    <t>NL001</t>
  </si>
  <si>
    <t>Privatisation complète</t>
  </si>
  <si>
    <t>H094</t>
  </si>
  <si>
    <t>ACT023</t>
  </si>
  <si>
    <t>Le Jardin</t>
  </si>
  <si>
    <t>Sakkan</t>
  </si>
  <si>
    <t>Souk Sidi Abdelaziz</t>
  </si>
  <si>
    <t>À confirmer (catégorie / classement)</t>
  </si>
  <si>
    <t>+212 5 24 37 82 95</t>
  </si>
  <si>
    <t>43 Rue Sidi Yamani, Mouassine</t>
  </si>
  <si>
    <t>Patio végétalisé historique</t>
  </si>
  <si>
    <t>Hammam La Mamounia</t>
  </si>
  <si>
    <t>+212 6 62 67 02 90</t>
  </si>
  <si>
    <t>+212 662670290 (à confirmer)</t>
  </si>
  <si>
    <t>info@riadsakkan.com</t>
  </si>
  <si>
    <t>https://riadsakkan.com</t>
  </si>
  <si>
    <t>@riadsakkan</t>
  </si>
  <si>
    <t>Déjeuner privilégié</t>
  </si>
  <si>
    <t>Importé de HEBERGEMENT. Quartier : Médina · Site : https://riadsakkan.com | Coord. complétée(s) depuis annuaire : tél [Ancien statut: Importé]</t>
  </si>
  <si>
    <t>RES025</t>
  </si>
  <si>
    <t>Theatro</t>
  </si>
  <si>
    <t>Privatisation</t>
  </si>
  <si>
    <t>80-150</t>
  </si>
  <si>
    <t>Club</t>
  </si>
  <si>
    <t>H095</t>
  </si>
  <si>
    <t>Show &amp; DJ</t>
  </si>
  <si>
    <t>À compléter (site/contact)</t>
  </si>
  <si>
    <t>+212 6 64 86 03 39</t>
  </si>
  <si>
    <t>À compléter (site officiel)</t>
  </si>
  <si>
    <t>ACT024</t>
  </si>
  <si>
    <t>Carte / à la carte</t>
  </si>
  <si>
    <t>Dar Seven</t>
  </si>
  <si>
    <t>Selon carte (cf. panier col H)</t>
  </si>
  <si>
    <t>7 Derb Ben Moussa, Kaa Sour, Sidi Benslimane</t>
  </si>
  <si>
    <t>Médina (Sidi Benslimane)</t>
  </si>
  <si>
    <t>Sur demande</t>
  </si>
  <si>
    <t>Non (à initier)</t>
  </si>
  <si>
    <t>19/06/2026</t>
  </si>
  <si>
    <t>+39 347 743 4272</t>
  </si>
  <si>
    <t>info@darseven.com</t>
  </si>
  <si>
    <t>N° de tél. italien (propriétaires) — pas de fixe marocain publié</t>
  </si>
  <si>
    <t>https://www.darseven.com</t>
  </si>
  <si>
    <t>@darsevenmarrakech</t>
  </si>
  <si>
    <t>Importé de HEBERGEMENT. Quartier : Médina (Sidi Benslimane) · Site : https://www.darseven.com | Coord. complétée(s) depuis annuaire : tél [Ancien statut: Importé]</t>
  </si>
  <si>
    <t>NL002</t>
  </si>
  <si>
    <t>Golf Royal Palm</t>
  </si>
  <si>
    <t>Royal Palm Golf</t>
  </si>
  <si>
    <t>Route d'Amizmiz (Royal Palm)</t>
  </si>
  <si>
    <t>Amanjena</t>
  </si>
  <si>
    <t>H096</t>
  </si>
  <si>
    <t>Route Ouarzazate</t>
  </si>
  <si>
    <t>+212 5 24 399 000</t>
  </si>
  <si>
    <t>Dîner d'exception Aman Resorts</t>
  </si>
  <si>
    <t>So Lounge</t>
  </si>
  <si>
    <t>+212 524 48 78 78</t>
  </si>
  <si>
    <t>70-140</t>
  </si>
  <si>
    <t>Club Lounge</t>
  </si>
  <si>
    <t>Dar Zemora</t>
  </si>
  <si>
    <t>Luxe festif</t>
  </si>
  <si>
    <t>72 Rue El Aandalib, Palmeraie</t>
  </si>
  <si>
    <t>+212 6 56 51 50 09</t>
  </si>
  <si>
    <t>Villa 2 CH: 640</t>
  </si>
  <si>
    <t>+44 7913 152195</t>
  </si>
  <si>
    <t>Oui (junior &lt;18 ans)</t>
  </si>
  <si>
    <t>Green fee 70-130 €. Junior &lt;18 ~45 €. Voiturette/caddie en sus.</t>
  </si>
  <si>
    <t>lindsay@darzemora.com</t>
  </si>
  <si>
    <t>RES026</t>
  </si>
  <si>
    <t>https://darzemora.com</t>
  </si>
  <si>
    <t>@darzemora</t>
  </si>
  <si>
    <t>ACT025</t>
  </si>
  <si>
    <t>Importé de HEBERGEMENT. Quartier : Palmeraie · Site : https://darzemora.com | Coord. complétée(s) depuis annuaire : tél [Ancien statut: Importé] | Villa(s) privatisable(s) déplacée(s) → HB-COL</t>
  </si>
  <si>
    <t>Mariage intimiste</t>
  </si>
  <si>
    <t>H097</t>
  </si>
  <si>
    <t>NL003</t>
  </si>
  <si>
    <t>Riad Jaaneman</t>
  </si>
  <si>
    <t>Golf Assoufid</t>
  </si>
  <si>
    <t>Assoufid Golf Club</t>
  </si>
  <si>
    <t>Epicurien</t>
  </si>
  <si>
    <t>12 Derb Sraghna, Dar El Bacha, Médina, 40000</t>
  </si>
  <si>
    <t>Assoufid</t>
  </si>
  <si>
    <t>50-100</t>
  </si>
  <si>
    <t>Live Music</t>
  </si>
  <si>
    <t>Groupe live</t>
  </si>
  <si>
    <t>Palais Namaskar</t>
  </si>
  <si>
    <t>Route de Bab Atlas</t>
  </si>
  <si>
    <t>+212 6 63 05 57 04</t>
  </si>
  <si>
    <t>+212 524 382164</t>
  </si>
  <si>
    <t>+212 5 24 29 98 00</t>
  </si>
  <si>
    <t>info@riadjaaneman.com</t>
  </si>
  <si>
    <t>Dîner féérique dans un palace</t>
  </si>
  <si>
    <t>+212 5 25 06 07 77</t>
  </si>
  <si>
    <t>https://www.riadjaaneman.com</t>
  </si>
  <si>
    <t>@riadjaaneman</t>
  </si>
  <si>
    <t>Importé de HEBERGEMENT. Quartier : Médina · Site : https://www.riadjaaneman.com | Coord. complétée(s) depuis annuaire : tél [Ancien statut: Importé]</t>
  </si>
  <si>
    <t>H099</t>
  </si>
  <si>
    <t>NL004</t>
  </si>
  <si>
    <t>ACT026</t>
  </si>
  <si>
    <t>RES027</t>
  </si>
  <si>
    <t>Riad Olema et Spa</t>
  </si>
  <si>
    <t>31-32 Derb Sidi Ahmed ou Moussa, Bab Doukkala</t>
  </si>
  <si>
    <t>Kabana Rooftop</t>
  </si>
  <si>
    <t>30-70</t>
  </si>
  <si>
    <t>Rooftop</t>
  </si>
  <si>
    <t>Sunset &amp; cocktails</t>
  </si>
  <si>
    <t>+212 524 378 288</t>
  </si>
  <si>
    <t>+212 6 64 46 44 50</t>
  </si>
  <si>
    <t>adm.riadolema@gmail.com</t>
  </si>
  <si>
    <t>https://www.riadolema-spa.com</t>
  </si>
  <si>
    <t>@riadolema</t>
  </si>
  <si>
    <t>Importé de HEBERGEMENT. Quartier : Médina · Site : https://www.riadolema-spa.com | Coord. complétée(s) depuis annuaire : tél [Ancien statut: Importé]</t>
  </si>
  <si>
    <t>Dîner désert Agafay</t>
  </si>
  <si>
    <t>Scarabeo Camp</t>
  </si>
  <si>
    <t>H100</t>
  </si>
  <si>
    <t>Bô Zin</t>
  </si>
  <si>
    <t>NL005</t>
  </si>
  <si>
    <t>Route de l'Ourika Km 3,5</t>
  </si>
  <si>
    <t>+212 524 43 36 88</t>
  </si>
  <si>
    <t>+212 524 388 012</t>
  </si>
  <si>
    <t>Institution festive de Marrakech</t>
  </si>
  <si>
    <t>Riad Houdou</t>
  </si>
  <si>
    <t>Rue Essebtiyne, n°54 Derb el Hammam, quartier Moukef, Médina</t>
  </si>
  <si>
    <t>Kosybar</t>
  </si>
  <si>
    <t>Sur devis</t>
  </si>
  <si>
    <t>Mellah</t>
  </si>
  <si>
    <t>25-60</t>
  </si>
  <si>
    <t>Dîner/glamping désert — sur devis, selon âge.</t>
  </si>
  <si>
    <t>Vue Médina</t>
  </si>
  <si>
    <t>PUB-ADU · PUB-GRP</t>
  </si>
  <si>
    <t>ACT027</t>
  </si>
  <si>
    <t>+212 6 62 21 84 39</t>
  </si>
  <si>
    <t>+212 5 24 38 37 93 / +212 6 08 86 40 72</t>
  </si>
  <si>
    <t>+212 608864072 (à confirmer)</t>
  </si>
  <si>
    <t>le.riad.houdou@gmail.com</t>
  </si>
  <si>
    <t>RES028</t>
  </si>
  <si>
    <t>riadhoudou.com</t>
  </si>
  <si>
    <t>@riadhoudou</t>
  </si>
  <si>
    <t>Importé de HEBERGEMENT. Quartier : Médina · Site : riadhoudou.com | Coord. complétée(s) depuis annuaire : tél [Ancien statut: Importé]</t>
  </si>
  <si>
    <t>Groupe amis</t>
  </si>
  <si>
    <t>H101</t>
  </si>
  <si>
    <t>NL006</t>
  </si>
  <si>
    <t>Balade à cheval</t>
  </si>
  <si>
    <t>Domaine Equestre Palmeraie</t>
  </si>
  <si>
    <t>Palmeraie / Agafay</t>
  </si>
  <si>
    <t>Riad Idra</t>
  </si>
  <si>
    <t>105 Derb Tizougarine, Dar El Bacha</t>
  </si>
  <si>
    <t>Baromètre</t>
  </si>
  <si>
    <t>+212 678 885 473</t>
  </si>
  <si>
    <t>20-50</t>
  </si>
  <si>
    <t>Cocktail Bar</t>
  </si>
  <si>
    <t>Mixologie</t>
  </si>
  <si>
    <t>La Trattoria</t>
  </si>
  <si>
    <t>+212 524 391 776</t>
  </si>
  <si>
    <t>+212 5 24 37 90 12</t>
  </si>
  <si>
    <t>179 Rue Mohamed El Beqal</t>
  </si>
  <si>
    <t>contact@riadidra.com</t>
  </si>
  <si>
    <t>+212 5 24 43 26 41</t>
  </si>
  <si>
    <t>Italien historique avec jardin et piscine</t>
  </si>
  <si>
    <t>https://www.riad-idra-marrakech.com</t>
  </si>
  <si>
    <t>@riadidra</t>
  </si>
  <si>
    <t>Importé de HEBERGEMENT. Quartier : Médina · Site : https://www.riad-idra-marrakech.com | Coord. complétée(s) depuis annuaire : tél [Ancien statut: Importé] | Fusion doublons : Riad Idra (H101)</t>
  </si>
  <si>
    <t>Familles</t>
  </si>
  <si>
    <t>Balade cheval ~33-45 €. Familles.</t>
  </si>
  <si>
    <t>ACT028</t>
  </si>
  <si>
    <t>H102</t>
  </si>
  <si>
    <t>NL007</t>
  </si>
  <si>
    <t>Balade à dos de dromadaire</t>
  </si>
  <si>
    <t>Marrakech Camel Rides</t>
  </si>
  <si>
    <t>RES029</t>
  </si>
  <si>
    <t>Palais Soleiman</t>
  </si>
  <si>
    <t>60-120</t>
  </si>
  <si>
    <t>Palais</t>
  </si>
  <si>
    <t>Folklore chic</t>
  </si>
  <si>
    <t>+212 642 829 281</t>
  </si>
  <si>
    <t>+212 5 24 37 89 62</t>
  </si>
  <si>
    <t>Dar Anika</t>
  </si>
  <si>
    <t>Quartier Kennaria, Médina</t>
  </si>
  <si>
    <t>Oui (dès 3 ans, &lt;12 accompagné)</t>
  </si>
  <si>
    <t>Marché 20-30 €. Enfant ~35 € (accompagnement). Dès 3 ans.</t>
  </si>
  <si>
    <t>ACT029</t>
  </si>
  <si>
    <t>NL008</t>
  </si>
  <si>
    <t>+212 5 24 39 17 51</t>
  </si>
  <si>
    <t>email non trouvé (formulaire)</t>
  </si>
  <si>
    <t>riadanika.com</t>
  </si>
  <si>
    <t>@daranika</t>
  </si>
  <si>
    <t>W Club</t>
  </si>
  <si>
    <t>https://facebook.com/Anikamarrakech2022</t>
  </si>
  <si>
    <t>Tables VIP</t>
  </si>
  <si>
    <t>Importé de HEBERGEMENT. Quartier : Médina · Site : riadanika.com [Ancien statut: À compléter] | Fusion doublons : Riad Anika (H102)</t>
  </si>
  <si>
    <t>R'Matt</t>
  </si>
  <si>
    <t>+212 6 25 25 25 06</t>
  </si>
  <si>
    <t>Vallée de l'Ourika</t>
  </si>
  <si>
    <t>Jet privé Atlas</t>
  </si>
  <si>
    <t>Heliconia</t>
  </si>
  <si>
    <t>+212 653 538 855</t>
  </si>
  <si>
    <t>H103</t>
  </si>
  <si>
    <t>Déjeuner champêtre au bord de l'oued</t>
  </si>
  <si>
    <t>Atlas (région)</t>
  </si>
  <si>
    <t>NL009</t>
  </si>
  <si>
    <t>Churchill Bar</t>
  </si>
  <si>
    <t>Dépend de la météo</t>
  </si>
  <si>
    <t>40-120</t>
  </si>
  <si>
    <t>Piano Bar</t>
  </si>
  <si>
    <t>Riad Houma</t>
  </si>
  <si>
    <t>+212 522 53 97 57</t>
  </si>
  <si>
    <t>49 Kaa El Houma, Riad Zitoune Jdid, Médina</t>
  </si>
  <si>
    <t>RES030</t>
  </si>
  <si>
    <t>+212 662 628 942</t>
  </si>
  <si>
    <t>+212 662628942 (à confirmer)</t>
  </si>
  <si>
    <t>NL010</t>
  </si>
  <si>
    <t>riadhouma.marrakech@gmail.com</t>
  </si>
  <si>
    <t>Sur devis (prestation privée).</t>
  </si>
  <si>
    <t>riadhoumamarrakech.com</t>
  </si>
  <si>
    <t>@riadhouma</t>
  </si>
  <si>
    <t>Importé de HEBERGEMENT. Quartier : Médina · Site : riadhoumamarrakech.com | Coord. complétée(s) depuis annuaire : tél [Ancien statut: Importé]</t>
  </si>
  <si>
    <t>ACT030</t>
  </si>
  <si>
    <t>Ling Ling Marrakech</t>
  </si>
  <si>
    <t>100-180</t>
  </si>
  <si>
    <t>Club Restaurant</t>
  </si>
  <si>
    <t>Luxe tendance</t>
  </si>
  <si>
    <t>Clientèle Luxe</t>
  </si>
  <si>
    <t>H104</t>
  </si>
  <si>
    <t>La Grande Table Marocaine</t>
  </si>
  <si>
    <t>NL011</t>
  </si>
  <si>
    <t>Gastronomie marocaine d'exception</t>
  </si>
  <si>
    <t>Dar Sabra</t>
  </si>
  <si>
    <t>Circuit de la Palmeraie, Douar Abiad</t>
  </si>
  <si>
    <t>BÔ ZIN</t>
  </si>
  <si>
    <t>Route Ourika</t>
  </si>
  <si>
    <t>Restaurant Club</t>
  </si>
  <si>
    <t>DJ &amp; dîner</t>
  </si>
  <si>
    <t>+212 5 24 38 80 12</t>
  </si>
  <si>
    <t>Excursion Vallée de l'Ourika</t>
  </si>
  <si>
    <t>+212 524 329 172</t>
  </si>
  <si>
    <t>Click Excursions</t>
  </si>
  <si>
    <t>Ourika</t>
  </si>
  <si>
    <t>darsabra-marrakech.com</t>
  </si>
  <si>
    <t>@darsabra</t>
  </si>
  <si>
    <t>Importé de HEBERGEMENT. Quartier : Palmeraie · Site : darsabra-marrakech.com | Coord. complétée(s) depuis annuaire : tél [Ancien statut: À compléter]</t>
  </si>
  <si>
    <t>NL012</t>
  </si>
  <si>
    <t>RES031</t>
  </si>
  <si>
    <t>Shooting photo</t>
  </si>
  <si>
    <t>H105</t>
  </si>
  <si>
    <t>Baccarat Marrakech</t>
  </si>
  <si>
    <t>Électro</t>
  </si>
  <si>
    <t>PUB-FAM · PUB-GRP · PUB-CPL</t>
  </si>
  <si>
    <t>+212 524 370 878</t>
  </si>
  <si>
    <t>NL013</t>
  </si>
  <si>
    <t>Riyad Al Moussika</t>
  </si>
  <si>
    <t>62 Derb Boutouil, Kennaria</t>
  </si>
  <si>
    <t>Sky 5 Rooftop</t>
  </si>
  <si>
    <t>Oui (-50 % &lt;12 ans)</t>
  </si>
  <si>
    <t>20-60</t>
  </si>
  <si>
    <t>Partagé ~13-21 € · privatif 60-90 €+. Enfant -50 % &lt;12 ans.</t>
  </si>
  <si>
    <t>Cocktails</t>
  </si>
  <si>
    <t>ACT031</t>
  </si>
  <si>
    <t>+212 524 389067</t>
  </si>
  <si>
    <t>+212 6 78 64 39 40</t>
  </si>
  <si>
    <t>Dar Yacout</t>
  </si>
  <si>
    <t>http://www.riyad-al-moussika.com</t>
  </si>
  <si>
    <t>@almoussika</t>
  </si>
  <si>
    <t>79 Derb Sidi Ahmed Soussi</t>
  </si>
  <si>
    <t>Importé de HEBERGEMENT. Quartier : Médina · Site : http://www.riyad-al-moussika.com | Coord. complétée(s) depuis annuaire : tél [Ancien statut: À compléter]</t>
  </si>
  <si>
    <t>+212 5 24 38 29 29</t>
  </si>
  <si>
    <t>Palais marocain historique</t>
  </si>
  <si>
    <t>H106</t>
  </si>
  <si>
    <t>NL014</t>
  </si>
  <si>
    <t>Excursion Cascades d'Ouzoud</t>
  </si>
  <si>
    <t>Ouzoud</t>
  </si>
  <si>
    <t>Café Arabe</t>
  </si>
  <si>
    <t>Elegancia Riad Boutique &amp; SPA</t>
  </si>
  <si>
    <t>25-70</t>
  </si>
  <si>
    <t>Ambiance romantique</t>
  </si>
  <si>
    <t>23 Derb Zaouia, Bab Doukkala, Médina</t>
  </si>
  <si>
    <t>Dîner principalement</t>
  </si>
  <si>
    <t>+212 5 24 42 97 28</t>
  </si>
  <si>
    <t>+212 524 386 980</t>
  </si>
  <si>
    <t>info@riadelegancia.com</t>
  </si>
  <si>
    <t>RES032</t>
  </si>
  <si>
    <t>@riadelegancia</t>
  </si>
  <si>
    <t>Importé de HEBERGEMENT. Quartier : Médina | Coord. complétée(s) depuis annuaire : tél [Ancien statut: Importé]</t>
  </si>
  <si>
    <t>ACT032</t>
  </si>
  <si>
    <t>NL015</t>
  </si>
  <si>
    <t>H107</t>
  </si>
  <si>
    <t>Le Tobsil</t>
  </si>
  <si>
    <t>Riad Kbour &amp; Chou</t>
  </si>
  <si>
    <t>80-140</t>
  </si>
  <si>
    <t>Maison traditionnelle</t>
  </si>
  <si>
    <t>Gastronomie &amp; musique</t>
  </si>
  <si>
    <t>Nord-ouest de la médina (près Bab Doukkala / Majorelle)</t>
  </si>
  <si>
    <t>+212 5 24 44 40 52</t>
  </si>
  <si>
    <t>Excursion Essaouira</t>
  </si>
  <si>
    <t>Essaouira</t>
  </si>
  <si>
    <t>+212 6 75 06 54 70</t>
  </si>
  <si>
    <t>Plus61</t>
  </si>
  <si>
    <t>tél/email non trouvés (formulaire)</t>
  </si>
  <si>
    <t>riadkbourchou.com</t>
  </si>
  <si>
    <t>@riadkbourchou</t>
  </si>
  <si>
    <t>96 Rue Mohamed El Beqal</t>
  </si>
  <si>
    <t>+212 5242 07020</t>
  </si>
  <si>
    <t>Importé de HEBERGEMENT. Quartier : Médina · Site : riadkbourchou.com [Ancien statut: À compléter]</t>
  </si>
  <si>
    <t>Australien &amp; méditerranéen</t>
  </si>
  <si>
    <t>https://clickexcursions.com</t>
  </si>
  <si>
    <t>NL016</t>
  </si>
  <si>
    <t>H108</t>
  </si>
  <si>
    <t>Casino de Marrakech</t>
  </si>
  <si>
    <t>50-150</t>
  </si>
  <si>
    <t>Riad Azzar</t>
  </si>
  <si>
    <t>Casino</t>
  </si>
  <si>
    <t>Gaming &amp; Nightlife</t>
  </si>
  <si>
    <t>94 Derb Moulay Abdelkader, Derb Dabachi</t>
  </si>
  <si>
    <t>ACT033</t>
  </si>
  <si>
    <t>+212 6 60 21 08 06</t>
  </si>
  <si>
    <t>RES033</t>
  </si>
  <si>
    <t>+39 346 606 0622</t>
  </si>
  <si>
    <t>tél non confirmé (mobile +212 661 158 179 via annuaire non officiel — à vérifier)</t>
  </si>
  <si>
    <t>https://www.riadazzar.com</t>
  </si>
  <si>
    <t>@riadazzar</t>
  </si>
  <si>
    <t>Importé de HEBERGEMENT. Quartier : Médina · Site : https://www.riadazzar.com [Ancien statut: À compléter]</t>
  </si>
  <si>
    <t>H109</t>
  </si>
  <si>
    <t>NL017</t>
  </si>
  <si>
    <t>Vol en hélicoptère Atlas</t>
  </si>
  <si>
    <t>Riad Karmela Princesse</t>
  </si>
  <si>
    <t>4 Derb El Ferrane, Azbezt, Place Ben Salah</t>
  </si>
  <si>
    <t>Le Blokk</t>
  </si>
  <si>
    <t>Agdal</t>
  </si>
  <si>
    <t>30-80</t>
  </si>
  <si>
    <t>Concert Live</t>
  </si>
  <si>
    <t>Concert &amp; dîner</t>
  </si>
  <si>
    <t>+212 524 387937</t>
  </si>
  <si>
    <t>Cantonais festif by Hakkasan</t>
  </si>
  <si>
    <t>+212 6 74 33 43 34</t>
  </si>
  <si>
    <t>info@riadkarmelaprincesse.com</t>
  </si>
  <si>
    <t>https://www.riadkarmelaprincesse.com</t>
  </si>
  <si>
    <t>@riadkarmela</t>
  </si>
  <si>
    <t>ACT034</t>
  </si>
  <si>
    <t>Importé de HEBERGEMENT. Quartier : Médina · Site : https://www.riadkarmelaprincesse.com | Coord. complétée(s) depuis annuaire : tél [Ancien statut: Importé]</t>
  </si>
  <si>
    <t>H110</t>
  </si>
  <si>
    <t>NL018</t>
  </si>
  <si>
    <t>RES034</t>
  </si>
  <si>
    <t>Riad Danka</t>
  </si>
  <si>
    <t>Catanzaro</t>
  </si>
  <si>
    <t>Jazz Live</t>
  </si>
  <si>
    <t>Jazz &amp; Lounge</t>
  </si>
  <si>
    <t>141 Derb Arjane, Rahba Lakdima, Médina</t>
  </si>
  <si>
    <t>Yoga dans le désert</t>
  </si>
  <si>
    <t>Yoga Marrakech Retreats</t>
  </si>
  <si>
    <t>+212 5 24 43 37 31</t>
  </si>
  <si>
    <t>+212 524 440 404 / +212 660 417 313</t>
  </si>
  <si>
    <t>+212 660417313 (à confirmer)</t>
  </si>
  <si>
    <t>contact@riaddanka.com</t>
  </si>
  <si>
    <t>Azar</t>
  </si>
  <si>
    <t>riaddanka.com</t>
  </si>
  <si>
    <t>+212 661 234 567</t>
  </si>
  <si>
    <t>@riaddanka</t>
  </si>
  <si>
    <t>Rue de Yougoslavie</t>
  </si>
  <si>
    <t>Importé de HEBERGEMENT. Quartier : Médina · Site : riaddanka.com | Coord. complétée(s) depuis annuaire : tél [Ancien statut: Importé]</t>
  </si>
  <si>
    <t>+212 524 43 09 20</t>
  </si>
  <si>
    <t>Libanais festif avec musique live</t>
  </si>
  <si>
    <t>NL019</t>
  </si>
  <si>
    <t>Non prévu</t>
  </si>
  <si>
    <t>Non (offre adulte)</t>
  </si>
  <si>
    <t>Yoga en plein air — offre adulte.</t>
  </si>
  <si>
    <t>H118</t>
  </si>
  <si>
    <t>ACT035</t>
  </si>
  <si>
    <t>Buddha Bar Marrakech</t>
  </si>
  <si>
    <t>RES035</t>
  </si>
  <si>
    <t>80-160</t>
  </si>
  <si>
    <t>Chic international</t>
  </si>
  <si>
    <t>+212 6 66 77 39 32</t>
  </si>
  <si>
    <t>Spa Heritage</t>
  </si>
  <si>
    <t>IZZA Marrakech</t>
  </si>
  <si>
    <t>46, Driba Laarida, Sidi Ahmed Soussi, Médina</t>
  </si>
  <si>
    <t>NL020</t>
  </si>
  <si>
    <t>Le Foundouk</t>
  </si>
  <si>
    <t>+212 6 61 95 62 46</t>
  </si>
  <si>
    <t>+212 661956246 (à confirmer)</t>
  </si>
  <si>
    <t>reception@izza.com</t>
  </si>
  <si>
    <t>7 riads interconnectés</t>
  </si>
  <si>
    <t>izza.com</t>
  </si>
  <si>
    <t>55 Souk Hal Fassi</t>
  </si>
  <si>
    <t>+212 524 378 190</t>
  </si>
  <si>
    <t>Importé de HEBERGEMENT. Quartier : Médina · Site : izza.com | Coord. complétée(s) depuis annuaire : tél [Ancien statut: Importé]</t>
  </si>
  <si>
    <t>Ancien foundouk réhabilité</t>
  </si>
  <si>
    <t>Red House Marrakech</t>
  </si>
  <si>
    <t>ACT036</t>
  </si>
  <si>
    <t>H111</t>
  </si>
  <si>
    <t>+212 5 24 43 70 40</t>
  </si>
  <si>
    <t>RES036</t>
  </si>
  <si>
    <t>Riad Les Yeux Bleus</t>
  </si>
  <si>
    <t>7 Derb El Ferrane, Rue Fatima Zohra, Bab Doukkala</t>
  </si>
  <si>
    <t>NL021</t>
  </si>
  <si>
    <t>Massage à domicile</t>
  </si>
  <si>
    <t>Massage à Domicile Marrakech</t>
  </si>
  <si>
    <t>Marrakech (à domicile)</t>
  </si>
  <si>
    <t>+212 524 378 161</t>
  </si>
  <si>
    <t>https://marrakech-boutique-riad.com</t>
  </si>
  <si>
    <t>@riadlesyeuxbleus</t>
  </si>
  <si>
    <t>Importé de HEBERGEMENT. Quartier : Médina · Site : https://marrakech-boutique-riad.com | Coord. complétée(s) depuis annuaire : tél [Ancien statut: À compléter] | Fusion doublons : Riad Les Yeux Bleus (H111)</t>
  </si>
  <si>
    <t>Kechmara Rooftop</t>
  </si>
  <si>
    <t>Vue &amp; Cocktails</t>
  </si>
  <si>
    <t>+212 689 012 509</t>
  </si>
  <si>
    <t>H120</t>
  </si>
  <si>
    <t>+212 6 63 25 97 10</t>
  </si>
  <si>
    <t>Safran by Koya</t>
  </si>
  <si>
    <t>+212 610 50 99 02</t>
  </si>
  <si>
    <t>ACT037</t>
  </si>
  <si>
    <t>Marocain contemporain festif</t>
  </si>
  <si>
    <t>NL022</t>
  </si>
  <si>
    <t>À confirmer</t>
  </si>
  <si>
    <t>Tigmiza Boutique Hotel &amp; Spa</t>
  </si>
  <si>
    <t>RES037</t>
  </si>
  <si>
    <t>Shooting photo Marrakech</t>
  </si>
  <si>
    <t>Douar Laghribate, Bab Atlas</t>
  </si>
  <si>
    <t>Shooting Marrakech</t>
  </si>
  <si>
    <t>Rooftop Garden Secret</t>
  </si>
  <si>
    <t>+212 524 393 700</t>
  </si>
  <si>
    <t>+212 678 94 86 31</t>
  </si>
  <si>
    <t>https://www.hotel-tigmiza-marrakech.com</t>
  </si>
  <si>
    <t>Importé de HEBERGEMENT. Quartier : Palmeraie · Site : https://www.hotel-tigmiza-marrakech.com | Coord. complétée(s) depuis annuaire : tél [Ancien statut: À compléter]</t>
  </si>
  <si>
    <t>TemptingPlaces · Meilleur Hôtel Afrique</t>
  </si>
  <si>
    <t>Inclus (forfait)</t>
  </si>
  <si>
    <t>Oui (packages famille)</t>
  </si>
  <si>
    <t>Forfait par séance (pas /pers) : solo ~95 € · couple ~255 € · ~2h 200-300 €.</t>
  </si>
  <si>
    <t>H112</t>
  </si>
  <si>
    <t>ACT038</t>
  </si>
  <si>
    <t>NL023</t>
  </si>
  <si>
    <t>Le Petit Cornichon</t>
  </si>
  <si>
    <t>Rue Moulay Ali</t>
  </si>
  <si>
    <t>+212 5244 21251</t>
  </si>
  <si>
    <t>Bistrot français contemporain</t>
  </si>
  <si>
    <t>Nobu Bar Marrakech</t>
  </si>
  <si>
    <t>Riad Adore</t>
  </si>
  <si>
    <t>Bar Luxe</t>
  </si>
  <si>
    <t>Hôtel de Luxe</t>
  </si>
  <si>
    <t>97 Derb Tizougarine, Dar El Bacha</t>
  </si>
  <si>
    <t>+212 6 67 78 51 52</t>
  </si>
  <si>
    <t>+212 524 377737</t>
  </si>
  <si>
    <t>RES038</t>
  </si>
  <si>
    <t>contact@riadadore.com</t>
  </si>
  <si>
    <t>Shooting photo désert</t>
  </si>
  <si>
    <t>https://www.riadadore.com</t>
  </si>
  <si>
    <t>@riadadore</t>
  </si>
  <si>
    <t>Importé de HEBERGEMENT. Quartier : Médina · Site : https://www.riadadore.com | Coord. complétée(s) depuis annuaire : tél [Ancien statut: Importé] | Fusion doublons : Riad Adore (H112)</t>
  </si>
  <si>
    <t>NL024</t>
  </si>
  <si>
    <t>H113</t>
  </si>
  <si>
    <t>Buddha Lounge</t>
  </si>
  <si>
    <t>40-90</t>
  </si>
  <si>
    <t>Lounge</t>
  </si>
  <si>
    <t>Riad Abracadabra</t>
  </si>
  <si>
    <t>125 Derb Jamaa, Derb Dabachi, Médina</t>
  </si>
  <si>
    <t>Av. Prince Moulay Rachid</t>
  </si>
  <si>
    <t>ACT039</t>
  </si>
  <si>
    <t>+212 5 24 45 93 00</t>
  </si>
  <si>
    <t>Asiatique festif lounge</t>
  </si>
  <si>
    <t>+212 611 324 269 / +212 524 38 40 39</t>
  </si>
  <si>
    <t>+212 611324269 (à confirmer)</t>
  </si>
  <si>
    <t>info@riadabracadabra.com</t>
  </si>
  <si>
    <t>doublon Riad Abracadabra</t>
  </si>
  <si>
    <t>riadabracadabra.com</t>
  </si>
  <si>
    <t>@riadabracadabra</t>
  </si>
  <si>
    <t>Importé de HEBERGEMENT. Quartier : Médina · Site : riadabracadabra.com | Coord. complétée(s) depuis annuaire : tél [Ancien statut: Importé] | Fusion doublons : Riad Abracadabra (H113)</t>
  </si>
  <si>
    <t>H114</t>
  </si>
  <si>
    <t>NL025</t>
  </si>
  <si>
    <t>Tour en voiture ancienne</t>
  </si>
  <si>
    <t>Marrakech Side Car</t>
  </si>
  <si>
    <t>RES039</t>
  </si>
  <si>
    <t>Selman Bar</t>
  </si>
  <si>
    <t>Route Amizmiz</t>
  </si>
  <si>
    <t>Riad Botanica</t>
  </si>
  <si>
    <t>Palace Bar</t>
  </si>
  <si>
    <t>+212 525 81 40 40</t>
  </si>
  <si>
    <t>78 Derb Sidi Lahcen Ou Ali, Bab Doukkala, Médina</t>
  </si>
  <si>
    <t>5-6</t>
  </si>
  <si>
    <t>+212 7 01 19 19 51</t>
  </si>
  <si>
    <t>tél/email non trouvés (formulaire) — privatisation complète possible</t>
  </si>
  <si>
    <t>riadbotanica.com</t>
  </si>
  <si>
    <t>@riadbotanica</t>
  </si>
  <si>
    <t>Importé de HEBERGEMENT. Quartier : Médina · Site : riadbotanica.com [Ancien statut: À compléter] | Fusion doublons : Riad Botanica (H114)</t>
  </si>
  <si>
    <t>Oui (familial)</t>
  </si>
  <si>
    <t>Visite guidée / privée. Familial.</t>
  </si>
  <si>
    <t>ACT040</t>
  </si>
  <si>
    <t>Boucherie Restaurant</t>
  </si>
  <si>
    <t>NL026</t>
  </si>
  <si>
    <t>H115</t>
  </si>
  <si>
    <t>Steakhouse viandes maturées</t>
  </si>
  <si>
    <t>Royal Mansour Bar</t>
  </si>
  <si>
    <t>Dar Kandi</t>
  </si>
  <si>
    <t>80-180</t>
  </si>
  <si>
    <t>Luxe absolu</t>
  </si>
  <si>
    <t>215 Derb Arset Aouzal, Bab Doukkala, Médina</t>
  </si>
  <si>
    <t>Tour en moto vintage</t>
  </si>
  <si>
    <t>Médina — Bab Doukkala</t>
  </si>
  <si>
    <t>Informations à vérifier</t>
  </si>
  <si>
    <t>+212 5 24 38 17 53</t>
  </si>
  <si>
    <t>info@darkandi.com</t>
  </si>
  <si>
    <t>RES040</t>
  </si>
  <si>
    <t>darkandi.com</t>
  </si>
  <si>
    <t>Importé de HEBERGEMENT. Quartier : Médina — Bab Doukkala · Site : darkandi.com | Coord. complétée(s) depuis annuaire : email [Ancien statut: À compléter]</t>
  </si>
  <si>
    <t>NL027</t>
  </si>
  <si>
    <t>H116</t>
  </si>
  <si>
    <t>Non (alcool)</t>
  </si>
  <si>
    <t>Dégustation adulte.</t>
  </si>
  <si>
    <t>ACT041</t>
  </si>
  <si>
    <t>Riad Tzarra</t>
  </si>
  <si>
    <t>Bar Majorelle</t>
  </si>
  <si>
    <t>70-160</t>
  </si>
  <si>
    <t>Quartier Kaat Benahid, Médina (près Medersa Ben Youssef)</t>
  </si>
  <si>
    <t>Élégance</t>
  </si>
  <si>
    <t>Palais Jad Mahal</t>
  </si>
  <si>
    <t>Bab Jdid</t>
  </si>
  <si>
    <t>+212 524 43 69 84</t>
  </si>
  <si>
    <t>+212 5 24 37 74 74</t>
  </si>
  <si>
    <t>+212 663 839 292</t>
  </si>
  <si>
    <t>Visite guidée Médina VIP</t>
  </si>
  <si>
    <t>contact@riadtzarra.com</t>
  </si>
  <si>
    <t>Dîner spectacle oriental</t>
  </si>
  <si>
    <t>géré via agences (riads.fr) — souvent loué entier</t>
  </si>
  <si>
    <t>https://www.riadtzarra.com</t>
  </si>
  <si>
    <t>Importé de HEBERGEMENT. Quartier : Médina [Ancien statut: À compléter]</t>
  </si>
  <si>
    <t>NL028</t>
  </si>
  <si>
    <t>H126</t>
  </si>
  <si>
    <t>PUB-GRP · PUB-ADU</t>
  </si>
  <si>
    <t>RES041</t>
  </si>
  <si>
    <t>La Pergola Jazz Bar</t>
  </si>
  <si>
    <t>Jazz Bar</t>
  </si>
  <si>
    <t>The Capaldi Hotel, Restaurant &amp; Spa</t>
  </si>
  <si>
    <t>ACT042</t>
  </si>
  <si>
    <t>Route d'Amizmiz Km 39, Lalla Takerkoust</t>
  </si>
  <si>
    <t>Lalla Takerkoust</t>
  </si>
  <si>
    <t>+212 5 24 42 96 46</t>
  </si>
  <si>
    <t>+212 600 069 900</t>
  </si>
  <si>
    <t>+212 600069900 (à confirmer)</t>
  </si>
  <si>
    <t>info@thecapaldi.com</t>
  </si>
  <si>
    <t>https://www.thecapaldi.com</t>
  </si>
  <si>
    <t>Importé de HEBERGEMENT. Quartier : Lalla Takerkoust · Site : https://www.thecapaldi.com | Coord. complétée(s) depuis annuaire : tél [Ancien statut: Importé] | Fusion doublons : The Capaldi Hotel (H126)</t>
  </si>
  <si>
    <t>NL029</t>
  </si>
  <si>
    <t>Mariage, retraite</t>
  </si>
  <si>
    <t>Chasse au trésor Médina</t>
  </si>
  <si>
    <t>H127</t>
  </si>
  <si>
    <t>Al Fassia</t>
  </si>
  <si>
    <t>Riad Monceau Jazz</t>
  </si>
  <si>
    <t>55 Bd Zerktouni</t>
  </si>
  <si>
    <t>Jazz Club</t>
  </si>
  <si>
    <t>Jazz intimiste</t>
  </si>
  <si>
    <t>Hotel Les Cinq Djellabas</t>
  </si>
  <si>
    <t>+212 5 24 43 40 60</t>
  </si>
  <si>
    <t>Les Lodges de Jnanat, Douar Al Gribate</t>
  </si>
  <si>
    <t>Institution féminine de Fès</t>
  </si>
  <si>
    <t>+212 644 091 091</t>
  </si>
  <si>
    <t>+212 644091091 (à confirmer)</t>
  </si>
  <si>
    <t>https://www.hotel-les5djellabas.com</t>
  </si>
  <si>
    <t>Importé de HEBERGEMENT. Quartier : Palmeraie · Site : https://www.hotel-les5djellabas.com | Coord. complétée(s) depuis annuaire : tél [Ancien statut: À compléter]</t>
  </si>
  <si>
    <t>ACT043</t>
  </si>
  <si>
    <t>NL030</t>
  </si>
  <si>
    <t>Luxe, bien-être</t>
  </si>
  <si>
    <t>H117</t>
  </si>
  <si>
    <t>RES042</t>
  </si>
  <si>
    <t>L'Envers</t>
  </si>
  <si>
    <t>Riad Ksar Fawz &amp; Spa</t>
  </si>
  <si>
    <t>Derb Sbaia 2, Kasbah, Médina</t>
  </si>
  <si>
    <t>Atelier poterie</t>
  </si>
  <si>
    <t>Lamsaty Handmade</t>
  </si>
  <si>
    <t>+212 6 62 55 24 78</t>
  </si>
  <si>
    <t>+212 5 24 39 16 62</t>
  </si>
  <si>
    <t>contact@ksarfawz-spa.com</t>
  </si>
  <si>
    <t>≈ ex-Ksar Kasbah &amp; Spa (même établissement, renommé)</t>
  </si>
  <si>
    <t>ksarfawz-spa.com</t>
  </si>
  <si>
    <t>Importé de HEBERGEMENT. Quartier : Médina · Site : ksarfawz-spa.com | Coord. complétée(s) depuis annuaire : tél [Ancien statut: Importé] | Fusion doublons : Ksar Kasbah &amp; Spa (H137)</t>
  </si>
  <si>
    <t>La Cour des Lions</t>
  </si>
  <si>
    <t>+212 661 234 890</t>
  </si>
  <si>
    <t>Es Saadi Palace</t>
  </si>
  <si>
    <t>H119</t>
  </si>
  <si>
    <t>NL031</t>
  </si>
  <si>
    <t>La Brillante Marrakech</t>
  </si>
  <si>
    <t>6, rue Bahia, Riad Zitoune Jdid, Médina</t>
  </si>
  <si>
    <t>RES043</t>
  </si>
  <si>
    <t>Montecristo Marrakech</t>
  </si>
  <si>
    <t>ACT044</t>
  </si>
  <si>
    <t>50-120</t>
  </si>
  <si>
    <t>DJ &amp; Nightlife</t>
  </si>
  <si>
    <t>+212 6 96 03 59 51</t>
  </si>
  <si>
    <t>+212 696035951 (à confirmer)</t>
  </si>
  <si>
    <t>contact@h-labrillante.com</t>
  </si>
  <si>
    <t>h-labrillante.com</t>
  </si>
  <si>
    <t>+212 6 61 25 39 68</t>
  </si>
  <si>
    <t>Importé de HEBERGEMENT. Quartier : Médina · Site : h-labrillante.com | Coord. complétée(s) depuis annuaire : tél [Ancien statut: Importé]</t>
  </si>
  <si>
    <t>H132</t>
  </si>
  <si>
    <t>Atelier zellige</t>
  </si>
  <si>
    <t>Zellige Traditionnel</t>
  </si>
  <si>
    <t>NL032</t>
  </si>
  <si>
    <t>Mes'Lalla</t>
  </si>
  <si>
    <t>1 Derb Assehbé, Bab Doukkala</t>
  </si>
  <si>
    <t>Marocain contemporain</t>
  </si>
  <si>
    <t>+212 672 732 349</t>
  </si>
  <si>
    <t>Silver Marrakech</t>
  </si>
  <si>
    <t>40-100</t>
  </si>
  <si>
    <t>+212 524 387 010</t>
  </si>
  <si>
    <t>https://www.cenizaro.com/lamaisonarabe</t>
  </si>
  <si>
    <t>+212 6 91 38 18 50</t>
  </si>
  <si>
    <t>Importé de HEBERGEMENT. Quartier : Médina · Site : https://www.cenizaro.com/lamaisonarabe | Coord. complétée(s) depuis annuaire : tél [Ancien statut: À compléter]</t>
  </si>
  <si>
    <t>ACT045</t>
  </si>
  <si>
    <t>RES044</t>
  </si>
  <si>
    <t>Gastronomie, couple</t>
  </si>
  <si>
    <t>H134</t>
  </si>
  <si>
    <t>NL033</t>
  </si>
  <si>
    <t>Lodge K Boutique Hotel Piscine &amp; Spa Marrakech</t>
  </si>
  <si>
    <t>Atelier tissage berbère</t>
  </si>
  <si>
    <t>Cooperative Tissage Atlas</t>
  </si>
  <si>
    <t>O'Mulligan Irish Pub</t>
  </si>
  <si>
    <t>Route de Fès Km 5, Dar Tounsi, Commune Ennakhil</t>
  </si>
  <si>
    <t>Marrakech / Atlas</t>
  </si>
  <si>
    <t>Route de Fès</t>
  </si>
  <si>
    <t>Pub Live</t>
  </si>
  <si>
    <t>Concerts Live</t>
  </si>
  <si>
    <t>+212 6 68 19 30 49</t>
  </si>
  <si>
    <t>+212 6 60 15 39 24</t>
  </si>
  <si>
    <t>Quattro</t>
  </si>
  <si>
    <t>lodgek.com</t>
  </si>
  <si>
    <t>Importé de HEBERGEMENT. Quartier : Route de Fès · Site : lodgek.com [Ancien statut: À compléter]</t>
  </si>
  <si>
    <t>+212 524 359 200</t>
  </si>
  <si>
    <t>Italien chic</t>
  </si>
  <si>
    <t>+212 524 48 52 00</t>
  </si>
  <si>
    <t>Nature, détente</t>
  </si>
  <si>
    <t>H121</t>
  </si>
  <si>
    <t>NL034</t>
  </si>
  <si>
    <t>ACT046</t>
  </si>
  <si>
    <t>RES045</t>
  </si>
  <si>
    <t>Dar Sofil - Adults Only</t>
  </si>
  <si>
    <t>Pointbar Marrakech</t>
  </si>
  <si>
    <t>Km 10,5 Route de l'Ourika, Commune de Tassoultante</t>
  </si>
  <si>
    <t>+212 6 00 01 50 10</t>
  </si>
  <si>
    <t>+212 6 64 69 86 01</t>
  </si>
  <si>
    <t>tél/email non trouvés (formulaire) — adults only, location villa entière possible</t>
  </si>
  <si>
    <t>darsofilmarrakech.com</t>
  </si>
  <si>
    <t>Importé de HEBERGEMENT. Quartier : Route de l'Ourika · Site : darsofilmarrakech.com [Ancien statut: À compléter]</t>
  </si>
  <si>
    <t>Privatisation, mariage</t>
  </si>
  <si>
    <t>H122</t>
  </si>
  <si>
    <t>NL035</t>
  </si>
  <si>
    <t>La Table du Royal Mansour</t>
  </si>
  <si>
    <t>Atelier calligraphie</t>
  </si>
  <si>
    <t>Arcallima Marrakech</t>
  </si>
  <si>
    <t>Brasserie chic du Royal Mansour</t>
  </si>
  <si>
    <t>Riad &amp; Spa Azzouz</t>
  </si>
  <si>
    <t>4 derb Azzouz, Mouassine, Médina (accès Bab Laksour)</t>
  </si>
  <si>
    <t>DarDar Rooftop</t>
  </si>
  <si>
    <t>+212 5 24 38 90 40</t>
  </si>
  <si>
    <t>+212 524 44 18 93</t>
  </si>
  <si>
    <t>tél/email non trouvés (formulaire) — privatisation possible (16 pers.) ; ⚠️ homonyme Kasbah, à vérifier</t>
  </si>
  <si>
    <t>riadazzouz.com</t>
  </si>
  <si>
    <t>Importé de HEBERGEMENT. Quartier : Médina · Site : riadazzouz.com [Ancien statut: À compléter]</t>
  </si>
  <si>
    <t>RES046</t>
  </si>
  <si>
    <t>Couple, anniversaire</t>
  </si>
  <si>
    <t>H123</t>
  </si>
  <si>
    <t>ACT047</t>
  </si>
  <si>
    <t>Vue &amp; ambiance marocaine moderne</t>
  </si>
  <si>
    <t>+212 6 23 61 11 21</t>
  </si>
  <si>
    <t>Riad Palais Calipau</t>
  </si>
  <si>
    <t>14 Derb Ben Zina, Kasbah, Médina</t>
  </si>
  <si>
    <t>+212 524 375 583</t>
  </si>
  <si>
    <t>Chez Ali</t>
  </si>
  <si>
    <t>riadpalaiscalipau.com</t>
  </si>
  <si>
    <t>Route de Fès (Chez Ali)</t>
  </si>
  <si>
    <t>NL036</t>
  </si>
  <si>
    <t>Importé de HEBERGEMENT. Quartier : Médina · Site : riadpalaiscalipau.com | Coord. complétée(s) depuis annuaire : tél [Ancien statut: À compléter]</t>
  </si>
  <si>
    <t>Atelier pâtisserie marocaine</t>
  </si>
  <si>
    <t>H124</t>
  </si>
  <si>
    <t>+212 6 72 21 04 64</t>
  </si>
  <si>
    <t>Dîner-spectacle équestre (Fantasia) · Tél +212 6 72 21 04 64 · relocalisé depuis ACTIVITES</t>
  </si>
  <si>
    <t>Riad l'Oiseau du Paradis</t>
  </si>
  <si>
    <t>El Fenn Rooftop</t>
  </si>
  <si>
    <t>27, derb Cherrata, Arset El Houta, Médina</t>
  </si>
  <si>
    <t>Rooftop Luxe</t>
  </si>
  <si>
    <t>Vue &amp; cocktails</t>
  </si>
  <si>
    <t>ACT048</t>
  </si>
  <si>
    <t>+212 5 24 44 12 10</t>
  </si>
  <si>
    <t>+212 524 38 74 38 / +212 661 65 25 09</t>
  </si>
  <si>
    <t>+212 661652509 (à confirmer)</t>
  </si>
  <si>
    <t>contactoiseauduparadis@gmail.com</t>
  </si>
  <si>
    <t>riadoiseauduparadis.com</t>
  </si>
  <si>
    <t>RES047</t>
  </si>
  <si>
    <t>Importé de HEBERGEMENT. Quartier : Médina · Site : riadoiseauduparadis.com | Coord. complétée(s) depuis annuaire : tél [Ancien statut: Importé]</t>
  </si>
  <si>
    <t>Séjour loisirs</t>
  </si>
  <si>
    <t>H125</t>
  </si>
  <si>
    <t>NL037</t>
  </si>
  <si>
    <t>Dégustation vins marocains</t>
  </si>
  <si>
    <t>Domaine Val d'Argan</t>
  </si>
  <si>
    <t>Riad Le Pèlerin</t>
  </si>
  <si>
    <t>Marrakech / Domaine viticole</t>
  </si>
  <si>
    <t>Mouton Noir</t>
  </si>
  <si>
    <t>92 Derb Tizougarine, Dar El Bacha, Médina</t>
  </si>
  <si>
    <t>Cocktails &amp; musique</t>
  </si>
  <si>
    <t>+212 6 69 14 90 54</t>
  </si>
  <si>
    <t>+212 8 08 52 27 39</t>
  </si>
  <si>
    <t>lepelerinmarrakech.com</t>
  </si>
  <si>
    <t>Importé de HEBERGEMENT. Quartier : Médina · Site : lepelerinmarrakech.com [Ancien statut: À compléter]</t>
  </si>
  <si>
    <t>+212 524 78 32 45</t>
  </si>
  <si>
    <t>H128</t>
  </si>
  <si>
    <t>NL038</t>
  </si>
  <si>
    <t>Rivayat</t>
  </si>
  <si>
    <t>Route de Ouarzazate</t>
  </si>
  <si>
    <t>+212 5 25 08 15 15</t>
  </si>
  <si>
    <t>Gastronomie indienne du chef Rohit Ghai</t>
  </si>
  <si>
    <t>ACT049</t>
  </si>
  <si>
    <t>Riad Dar Al Dall</t>
  </si>
  <si>
    <t>Jad Mahal</t>
  </si>
  <si>
    <t>Kaat Benahid, Médina</t>
  </si>
  <si>
    <t>Dîner Spectacle</t>
  </si>
  <si>
    <t>Show oriental</t>
  </si>
  <si>
    <t>+212 5 24 43 69 84</t>
  </si>
  <si>
    <t>+212 8 09 89 01 73</t>
  </si>
  <si>
    <t>marrakech@thistimetomorrow.io</t>
  </si>
  <si>
    <t>≈ This Time Tomorrow (5 résidences)</t>
  </si>
  <si>
    <t>Importé de HEBERGEMENT. Quartier : Médina | Coord. complétée(s) depuis annuaire : email [Ancien statut: À compléter]</t>
  </si>
  <si>
    <t>RES048</t>
  </si>
  <si>
    <t>H131</t>
  </si>
  <si>
    <t>NL039</t>
  </si>
  <si>
    <t>Dégustation gastronomie marocaine</t>
  </si>
  <si>
    <t>Amal Center</t>
  </si>
  <si>
    <t>The Lotus Club</t>
  </si>
  <si>
    <t>Dar Kemgia</t>
  </si>
  <si>
    <t>Cabaret</t>
  </si>
  <si>
    <t>Cabaret moderne</t>
  </si>
  <si>
    <t>Mazel</t>
  </si>
  <si>
    <t>+212 6 10 10 13 20</t>
  </si>
  <si>
    <t>+212 524 44 68 96</t>
  </si>
  <si>
    <t>À sourcer (contact direct)</t>
  </si>
  <si>
    <t>via Le Collectionist</t>
  </si>
  <si>
    <t>+212 661 662 824</t>
  </si>
  <si>
    <t>Location privée (20 pers.) via Le Collectionist / Villanovo — staff complet</t>
  </si>
  <si>
    <t>Café-restaurant à qualifier</t>
  </si>
  <si>
    <t>https://www.lecollectionist.com/en/luxury-rental/dar-kemgia-marrakech-and-surroundings</t>
  </si>
  <si>
    <t>Importé de HEBERGEMENT. Quartier : Palmeraie [Ancien statut: À compléter]</t>
  </si>
  <si>
    <t>Villa privée</t>
  </si>
  <si>
    <t>ACT050</t>
  </si>
  <si>
    <t>H147</t>
  </si>
  <si>
    <t>NL040</t>
  </si>
  <si>
    <t>RES049</t>
  </si>
  <si>
    <t>Radisson Blu Hotel, Marrakech Carre Eden</t>
  </si>
  <si>
    <t>Dar Soukkar</t>
  </si>
  <si>
    <t>166-176 Avenue Mohamed V</t>
  </si>
  <si>
    <t>Show &amp; performances</t>
  </si>
  <si>
    <t>+212 607 911 911</t>
  </si>
  <si>
    <t>Soirée privée villa</t>
  </si>
  <si>
    <t>Event Marrakech</t>
  </si>
  <si>
    <t>+212 525 077 000</t>
  </si>
  <si>
    <t>Marrakech (villa)</t>
  </si>
  <si>
    <t>https://www.radissonhotels.com/fr-fr/hotels/radisson-blu-marrakech-carre-eden</t>
  </si>
  <si>
    <t>Importé de HEBERGEMENT. Quartier : Guéliz · Site : https://www.radissonhotels.com/fr-fr/hotels/radisson-blu-marrakech-carre-eden | Coord. complétée(s) depuis annuaire : tél [Ancien statut: À compléter] | Fusion doublons : Radisson Blu Carré Eden (H147)</t>
  </si>
  <si>
    <t>Corporate</t>
  </si>
  <si>
    <t>H148</t>
  </si>
  <si>
    <t>+212 661 30 47 48</t>
  </si>
  <si>
    <t>NL041</t>
  </si>
  <si>
    <t>Koya</t>
  </si>
  <si>
    <t>Le Naoura</t>
  </si>
  <si>
    <t>+212 662 622 452</t>
  </si>
  <si>
    <t>Asiatique festif et musique</t>
  </si>
  <si>
    <t>Non (18+)</t>
  </si>
  <si>
    <t>Entrée / min. conso soirée. 18+.</t>
  </si>
  <si>
    <t>Le Bab Hôtel</t>
  </si>
  <si>
    <t>Chez Ali Fantasia</t>
  </si>
  <si>
    <t>ACT051</t>
  </si>
  <si>
    <t>Fantasia</t>
  </si>
  <si>
    <t>Angle Bd Mansour Eddahbi / Rue Mohamed El Beqqal, Guéliz</t>
  </si>
  <si>
    <t>Tradition marocaine</t>
  </si>
  <si>
    <t>43-45</t>
  </si>
  <si>
    <t>+212 524 435 250</t>
  </si>
  <si>
    <t>doublon Le Bab Hôtel</t>
  </si>
  <si>
    <t>babhotelmarrakech.ma</t>
  </si>
  <si>
    <t>Importé de HEBERGEMENT. Quartier : Guéliz · Site : babhotelmarrakech.ma | Coord. complétée(s) depuis annuaire : tél [Ancien statut: À compléter] | Fusion doublons : Bab Hotel Marrakech (H148)</t>
  </si>
  <si>
    <t>RES050</t>
  </si>
  <si>
    <t>Lifestyle</t>
  </si>
  <si>
    <t>H150</t>
  </si>
  <si>
    <t>NL042</t>
  </si>
  <si>
    <t>DJ privé villa</t>
  </si>
  <si>
    <t>DJ Soulchic</t>
  </si>
  <si>
    <t>Palais Leonia</t>
  </si>
  <si>
    <t>Oulad Hassoun, ~30 min de l'aéroport</t>
  </si>
  <si>
    <t>Oulad Hassoune</t>
  </si>
  <si>
    <t>+212 674 177 335</t>
  </si>
  <si>
    <t>via agence</t>
  </si>
  <si>
    <t>20 couchages, 1 280 m², piscine 36×22 m chauffée, héliport — location événementielle via Vrbo / villas-riads-marrakech.com</t>
  </si>
  <si>
    <t>Terrasse des Épices</t>
  </si>
  <si>
    <t>https://villas-riads-marrakech.com/evenements/lieux-de-reception/palais-leonia/</t>
  </si>
  <si>
    <t>+212 524 45 98 00</t>
  </si>
  <si>
    <t>Importé de HEBERGEMENT. Quartier : Oulad Hassoune [Ancien statut: À compléter] | Villa(s) privatisable(s) déplacée(s) → HB-COL</t>
  </si>
  <si>
    <t>Souk Cherifia</t>
  </si>
  <si>
    <t>+212 5 24 37 59 04</t>
  </si>
  <si>
    <t>ACT052</t>
  </si>
  <si>
    <t>Rooftop emblématique de la Médina</t>
  </si>
  <si>
    <t>Mariage, privatisation</t>
  </si>
  <si>
    <t>H135</t>
  </si>
  <si>
    <t>Terrasse très demandée</t>
  </si>
  <si>
    <t>NL043</t>
  </si>
  <si>
    <t>Riad Ana Yela</t>
  </si>
  <si>
    <t>28 Derb Zarwal, Route Kaa el Machraa, Bab Khemis, Médina</t>
  </si>
  <si>
    <t>RES051</t>
  </si>
  <si>
    <t>Pool party privée</t>
  </si>
  <si>
    <t>+212 524 386 969 ; booking +49 174 9208641</t>
  </si>
  <si>
    <t>email protégé sur le site (formulaire)</t>
  </si>
  <si>
    <t>anayela.com</t>
  </si>
  <si>
    <t>Importé de HEBERGEMENT. Quartier : Médina · Site : anayela.com | Coord. complétée(s) depuis annuaire : tél [Ancien statut: À compléter] | Fusion doublons : Le Riad AnaYela (H152) + AnaYela (H152)</t>
  </si>
  <si>
    <t>+212 663 05 57 04</t>
  </si>
  <si>
    <t>Luxe expérientiel</t>
  </si>
  <si>
    <t>H153</t>
  </si>
  <si>
    <t>NL044</t>
  </si>
  <si>
    <t>Variable</t>
  </si>
  <si>
    <t>Variable (hôtels oui, clubs festifs non)</t>
  </si>
  <si>
    <t>Day pass 45-115 € (Fairmont ~82 · Namaskar ~80). Clubs festifs : min. conso 270-450 €.</t>
  </si>
  <si>
    <t>L'Hôtel Marrakech</t>
  </si>
  <si>
    <t>Palais Narwama</t>
  </si>
  <si>
    <t>Rue Koutoubia</t>
  </si>
  <si>
    <t>ACT053</t>
  </si>
  <si>
    <t>Dinner Show</t>
  </si>
  <si>
    <t>41 Derb Sidi Lahcen ou Ali, Bab Doukkala, Médina</t>
  </si>
  <si>
    <t>Site officiel</t>
  </si>
  <si>
    <t>Dar Moha</t>
  </si>
  <si>
    <t>+212 707 077 076</t>
  </si>
  <si>
    <t>Rue Dar El Bacha</t>
  </si>
  <si>
    <t>+212 524 386 400</t>
  </si>
  <si>
    <t>Cuisine du chef Moha</t>
  </si>
  <si>
    <t>+212 524 38 78 80</t>
  </si>
  <si>
    <t>≈ L'Hôtel Marrakech by Jasper Conran (doublon)</t>
  </si>
  <si>
    <t>l-hotelmarrakech.com</t>
  </si>
  <si>
    <t>facebook.com/lhotelmarrakech</t>
  </si>
  <si>
    <t>Importé de HEBERGEMENT. Quartier : Médina — Bab Doukkala · Site : l-hotelmarrakech.com | Coord. complétée(s) depuis annuaire : tél [Ancien statut: À compléter] | Fusion doublons : Riad L'Hôtel Marrakech (H129)</t>
  </si>
  <si>
    <t>NL045</t>
  </si>
  <si>
    <t>Journée Fairmont Cabana</t>
  </si>
  <si>
    <t>Fairmont Royal Palm</t>
  </si>
  <si>
    <t>Route d'Amizmiz (Fairmont)</t>
  </si>
  <si>
    <t>Mazazik Cabaret Marrakech</t>
  </si>
  <si>
    <t>Hôtel Semiramis, Bd Abdelkrim Al Khattabi</t>
  </si>
  <si>
    <t>RES052</t>
  </si>
  <si>
    <t>Cabaret oriental</t>
  </si>
  <si>
    <t>H136</t>
  </si>
  <si>
    <t>+212 620 309 696</t>
  </si>
  <si>
    <t>NL046</t>
  </si>
  <si>
    <t>ACT054</t>
  </si>
  <si>
    <t>BABOUCHKA</t>
  </si>
  <si>
    <t>10 Rue Haroun Errachid</t>
  </si>
  <si>
    <t>Night Club</t>
  </si>
  <si>
    <t>Riad La Maison Marrakech</t>
  </si>
  <si>
    <t>Bab Ksour</t>
  </si>
  <si>
    <t>+212 524 44 15 23</t>
  </si>
  <si>
    <t>Menu unique aux chandelles</t>
  </si>
  <si>
    <t>+212 616 609 470</t>
  </si>
  <si>
    <t>Bab Aylan, Médina</t>
  </si>
  <si>
    <t>Journée Palais Namaskar Pool Day</t>
  </si>
  <si>
    <t>via Airbnb</t>
  </si>
  <si>
    <t>Palmeraie (Namaskar)</t>
  </si>
  <si>
    <t>1 ch + 2 suites — location privée (designer Nicole Manfron) via staysomedays.com</t>
  </si>
  <si>
    <t>https://www.airbnb.com/rooms/411375</t>
  </si>
  <si>
    <t>@la.maison.marrakech</t>
  </si>
  <si>
    <t>NL047</t>
  </si>
  <si>
    <t>H155</t>
  </si>
  <si>
    <t>RES053</t>
  </si>
  <si>
    <t>Safran by Kôya</t>
  </si>
  <si>
    <t>Rue Jbel Lakhdar</t>
  </si>
  <si>
    <t>Restaurant Show</t>
  </si>
  <si>
    <t>+212 610 509 902</t>
  </si>
  <si>
    <t>ACT055</t>
  </si>
  <si>
    <t>Olinto, sur les contreforts de l'Atlas</t>
  </si>
  <si>
    <t>Ouirgane (vallée de l'Atlas, ~60 km de Marrakech)</t>
  </si>
  <si>
    <t>Ouirgane (Atlas)</t>
  </si>
  <si>
    <t>NL048</t>
  </si>
  <si>
    <t>Pepe Nero</t>
  </si>
  <si>
    <t>Malak Emeraude</t>
  </si>
  <si>
    <t>+212 6 61 82 70 93</t>
  </si>
  <si>
    <t>Avenue Mohammed VI</t>
  </si>
  <si>
    <t>Derb Cherkaoui</t>
  </si>
  <si>
    <t>+212 524 389 067</t>
  </si>
  <si>
    <t>tél/email non trouvés (formulaire) — boutique retreat, suites avec piscines privées</t>
  </si>
  <si>
    <t>olinto.com</t>
  </si>
  <si>
    <t>Italo-marocain gastronomique</t>
  </si>
  <si>
    <t>Importé de HEBERGEMENT. Quartier : Ouirgane (Atlas) · Site : olinto.com [Ancien statut: À compléter]</t>
  </si>
  <si>
    <t>+212 700 720 700</t>
  </si>
  <si>
    <t>H156</t>
  </si>
  <si>
    <t>Golf Samanah</t>
  </si>
  <si>
    <t>Samanah Golf Club</t>
  </si>
  <si>
    <t>Samanah</t>
  </si>
  <si>
    <t>NL049</t>
  </si>
  <si>
    <t>RES054</t>
  </si>
  <si>
    <t>Sofitel Marrakech Palais Impérial &amp; Spa</t>
  </si>
  <si>
    <t>So Lounge Marrakech</t>
  </si>
  <si>
    <t>Rue Haroun Errachid, Hivernage</t>
  </si>
  <si>
    <t>Rue Harroun Errachid</t>
  </si>
  <si>
    <t>Horaires 19h30–04h30</t>
  </si>
  <si>
    <t>+212 6 61 30 47 48</t>
  </si>
  <si>
    <t>+212 656 515 009</t>
  </si>
  <si>
    <t>+212 5 24 42 56 00</t>
  </si>
  <si>
    <t>https://sofitel.accor.com/fr/hotels/3569.html</t>
  </si>
  <si>
    <t>Importé de HEBERGEMENT. Quartier : Hivernage · Site : https://sofitel.accor.com/fr/hotels/3569.html [Ancien statut: À compléter] | Fusion doublons : Sofitel Marrakech Palais Impérial (H156)</t>
  </si>
  <si>
    <t>ACT056</t>
  </si>
  <si>
    <t>NL050</t>
  </si>
  <si>
    <t>MICE, groupes</t>
  </si>
  <si>
    <t>À attribuer</t>
  </si>
  <si>
    <t>Naranj</t>
  </si>
  <si>
    <t>Cantobar</t>
  </si>
  <si>
    <t>38/39 Av. Moulay El Hassan Ier, Hivernage</t>
  </si>
  <si>
    <t>Live Bar</t>
  </si>
  <si>
    <t>Horaires 20h00–05h00</t>
  </si>
  <si>
    <t>Rue Riad Zitoun Jdid</t>
  </si>
  <si>
    <t>+212 524 386 805</t>
  </si>
  <si>
    <t>+212 650 509 451</t>
  </si>
  <si>
    <t>Libanais raffiné de la Médina</t>
  </si>
  <si>
    <t>Inara Camp</t>
  </si>
  <si>
    <t>Désert d'Agafay (bureaux : Bloc 8 n°317 Sidi Ghanem)</t>
  </si>
  <si>
    <t>Golf Al Maaden</t>
  </si>
  <si>
    <t>Al Maaden Golf</t>
  </si>
  <si>
    <t>NL051</t>
  </si>
  <si>
    <t>+212 524 205 070</t>
  </si>
  <si>
    <t>contact@inaracamp.com</t>
  </si>
  <si>
    <t>La Casa Restaurant Lounge Bar Marrakech</t>
  </si>
  <si>
    <t>https://inaracamp.com</t>
  </si>
  <si>
    <t>Avenue du Président Kennedy</t>
  </si>
  <si>
    <t>facebook.com/inaracamp</t>
  </si>
  <si>
    <t>Horaires 19h00–02h00</t>
  </si>
  <si>
    <t>+212 5 24 40 40 01</t>
  </si>
  <si>
    <t>RES055</t>
  </si>
  <si>
    <t>+212 661 598 853</t>
  </si>
  <si>
    <t>H027</t>
  </si>
  <si>
    <t>ACT057</t>
  </si>
  <si>
    <t>NL052</t>
  </si>
  <si>
    <t>Hotel Nobu Marrakech</t>
  </si>
  <si>
    <t>Le 68 Bar à Vin Marrakech</t>
  </si>
  <si>
    <t>68 Rue de la Liberté, Guéliz</t>
  </si>
  <si>
    <t>Av. Echouhada et Rue du Temple</t>
  </si>
  <si>
    <t>Bar à vin</t>
  </si>
  <si>
    <t>Horaires 18h00–02h00</t>
  </si>
  <si>
    <t>+212 524 449 742</t>
  </si>
  <si>
    <t>Dar Essalam</t>
  </si>
  <si>
    <t>+212 524 42 42 00 / +212 524 424 242</t>
  </si>
  <si>
    <t>170 Riad Zitoun Kedim</t>
  </si>
  <si>
    <t>+212 5 24 44 35 20</t>
  </si>
  <si>
    <t>inquiries-marrakech@nobuhotels.com</t>
  </si>
  <si>
    <t>Mme Wissam / Mr Abdallaoui</t>
  </si>
  <si>
    <t>Marocain historique dans un palais du XVIIe siècle</t>
  </si>
  <si>
    <t>https://www.nobuhotels.com/marrakech</t>
  </si>
  <si>
    <t>@nobumarrakech</t>
  </si>
  <si>
    <t>Coord. complétée(s) depuis annuaire : tél | Fusion doublons : Nobu Hotel Marrakech (H027)</t>
  </si>
  <si>
    <t>Trek Atlas</t>
  </si>
  <si>
    <t>Atlas</t>
  </si>
  <si>
    <t>NL053</t>
  </si>
  <si>
    <t>Luxe lifestyle</t>
  </si>
  <si>
    <t>H138</t>
  </si>
  <si>
    <t>Cocktail Bar Caravan</t>
  </si>
  <si>
    <t>4 Derb Lahbab, Médina</t>
  </si>
  <si>
    <t>Horaires 17h30–00h00</t>
  </si>
  <si>
    <t>RES056</t>
  </si>
  <si>
    <t>+212 524 429 646</t>
  </si>
  <si>
    <t>Riad 42</t>
  </si>
  <si>
    <t>NL054</t>
  </si>
  <si>
    <t>+212 6 53 05 38 57</t>
  </si>
  <si>
    <t>theriad42@gmail.com</t>
  </si>
  <si>
    <t>ACT058</t>
  </si>
  <si>
    <t>Réservation uniquement par email — riad entier dès ~630 $/nuit</t>
  </si>
  <si>
    <t>Montecristo – Sinatra's Bar</t>
  </si>
  <si>
    <t>20 Rue Ibn Aïcha, Guéliz</t>
  </si>
  <si>
    <t>Horaires 22h00–02h00</t>
  </si>
  <si>
    <t>+212 661 253 968</t>
  </si>
  <si>
    <t>H139</t>
  </si>
  <si>
    <t>L'Ô à la Bouche</t>
  </si>
  <si>
    <t>4 Rue Badr</t>
  </si>
  <si>
    <t>+212 6 66 38 31 33</t>
  </si>
  <si>
    <t>Cuisine française du marché</t>
  </si>
  <si>
    <t>NL055</t>
  </si>
  <si>
    <t>Havana Lounge</t>
  </si>
  <si>
    <t>RIAD SAFIR</t>
  </si>
  <si>
    <t>Lounge &amp; Cocktails</t>
  </si>
  <si>
    <t>Ascension Toubkal</t>
  </si>
  <si>
    <t>141 Derb Aghrab, Bab Aylan, Médina</t>
  </si>
  <si>
    <t>Agafay Luxury Camp</t>
  </si>
  <si>
    <t>Atlas (Toubkal)</t>
  </si>
  <si>
    <t>+212 6 71 77 13 00</t>
  </si>
  <si>
    <t>RES057</t>
  </si>
  <si>
    <t>riadsafir.com</t>
  </si>
  <si>
    <t>Importé de HEBERGEMENT. Quartier : Médina · Site : riadsafir.com [Ancien statut: À compléter]</t>
  </si>
  <si>
    <t>+212 684 112 112</t>
  </si>
  <si>
    <t>NL056</t>
  </si>
  <si>
    <t>H143</t>
  </si>
  <si>
    <t>Royal Mansour – Main Bar</t>
  </si>
  <si>
    <t>Horaires 11h00–01h00</t>
  </si>
  <si>
    <t>+212 529 808 282</t>
  </si>
  <si>
    <t>ACT059</t>
  </si>
  <si>
    <t>Dar Moucha</t>
  </si>
  <si>
    <t>Douar Caïd Layadi, Bab Atlas, Palmeraie</t>
  </si>
  <si>
    <t>+212 6 73 72 87 00</t>
  </si>
  <si>
    <t>Instagram @dar.moucha — piscine chauffée en option (100 €/j + 300 €)</t>
  </si>
  <si>
    <t>marrakech-resort.com</t>
  </si>
  <si>
    <t>Importé de HEBERGEMENT. Quartier : Palmeraie · Site : marrakech-resort.com [Ancien statut: À compléter] | Villa(s) privatisable(s) déplacée(s) → HB-COL</t>
  </si>
  <si>
    <t>Beef &amp; Reef</t>
  </si>
  <si>
    <t>NL057</t>
  </si>
  <si>
    <t>Villa évènementielle</t>
  </si>
  <si>
    <t>Steakhouse &amp; fruits de mer</t>
  </si>
  <si>
    <t>H151</t>
  </si>
  <si>
    <t>Zarzour Café Lounge</t>
  </si>
  <si>
    <t>Boulevard Moulay Rachid, Guéliz</t>
  </si>
  <si>
    <t>Nuit de glamping désert</t>
  </si>
  <si>
    <t>Horaires 10h00–04h00</t>
  </si>
  <si>
    <t>Terres d'Amanar</t>
  </si>
  <si>
    <t>Maison Stella Cadente</t>
  </si>
  <si>
    <t>non trouvée</t>
  </si>
  <si>
    <t>RES058</t>
  </si>
  <si>
    <t>+212 662 300 549</t>
  </si>
  <si>
    <t>+212 6 18 93 78 87</t>
  </si>
  <si>
    <t>NL058</t>
  </si>
  <si>
    <t>hello@marrakech.maison-stella-cadente.com</t>
  </si>
  <si>
    <t>marrakech.maison-stella-cadente.com</t>
  </si>
  <si>
    <t>Importé de HEBERGEMENT. Site : marrakech.maison-stella-cadente.com | Coord. complétée(s) depuis annuaire : email [Ancien statut: À compléter]</t>
  </si>
  <si>
    <t>ACT060</t>
  </si>
  <si>
    <t>H154</t>
  </si>
  <si>
    <t>Montecristo Club</t>
  </si>
  <si>
    <t>Restaurant + Bar + Club + Sky Lounge</t>
  </si>
  <si>
    <t>Le Grand Café de la Poste</t>
  </si>
  <si>
    <t>Ryad Dyor, boutique-hôtel à Marrakech</t>
  </si>
  <si>
    <t>Av. Imam Malik</t>
  </si>
  <si>
    <t>1, Driba Jdida, Sidi Ben Slimane, Médina</t>
  </si>
  <si>
    <t>+212 524 43 30 38</t>
  </si>
  <si>
    <t>Brasserie coloniale historique</t>
  </si>
  <si>
    <t>NL059</t>
  </si>
  <si>
    <t>Balade vélo électrique</t>
  </si>
  <si>
    <t>Bureau Guides Imlil</t>
  </si>
  <si>
    <t>+212 524 375 980 / +212 661 223 134</t>
  </si>
  <si>
    <t>+212 661223134 (à confirmer)</t>
  </si>
  <si>
    <t>info@ryaddyor.com</t>
  </si>
  <si>
    <t>ryaddyor.com</t>
  </si>
  <si>
    <t>Importé de HEBERGEMENT. Quartier : Médina · Site : ryaddyor.com | Coord. complétée(s) depuis annuaire : tél [Ancien statut: Importé]</t>
  </si>
  <si>
    <t>Clientèle premium</t>
  </si>
  <si>
    <t>Forte demande déjeuner</t>
  </si>
  <si>
    <t>+212 661 37 41 16</t>
  </si>
  <si>
    <t>H157</t>
  </si>
  <si>
    <t>RES059</t>
  </si>
  <si>
    <t>NL060</t>
  </si>
  <si>
    <t>Riad Samsara</t>
  </si>
  <si>
    <t>N°6, Derb El Aarsa, Tarzout, Médina (près Bab El Khemis)</t>
  </si>
  <si>
    <t>Activité plein air — familles.</t>
  </si>
  <si>
    <t>555 Famous Club</t>
  </si>
  <si>
    <t>Boulevard Mohammed VI</t>
  </si>
  <si>
    <t>ACT061</t>
  </si>
  <si>
    <t>Grande capacité</t>
  </si>
  <si>
    <t>+212 6 36 04 85 59</t>
  </si>
  <si>
    <t>+212 661 320 320</t>
  </si>
  <si>
    <t>tél/email non trouvés (formulaire) — même propriétaire que Douar Samra (Imlil)</t>
  </si>
  <si>
    <t>fr.riad-samsara.net</t>
  </si>
  <si>
    <t>Importé de HEBERGEMENT. Quartier : Médina · Site : fr.riad-samsara.net [Ancien statut: À compléter]</t>
  </si>
  <si>
    <t>H028</t>
  </si>
  <si>
    <t>NL061</t>
  </si>
  <si>
    <t>184 Rue Mouassine</t>
  </si>
  <si>
    <t>Buggy Palmeraie</t>
  </si>
  <si>
    <t>Italo-marocain avec patio et rooftop</t>
  </si>
  <si>
    <t>Lotus Club Marrakech</t>
  </si>
  <si>
    <t>Dinner Club</t>
  </si>
  <si>
    <t>Route de Bab Atlas 88/69, Province Syba</t>
  </si>
  <si>
    <t>+212 661 330 330</t>
  </si>
  <si>
    <t>+212 524 29 98 00</t>
  </si>
  <si>
    <t>Mme Oumaima Cherkaoui</t>
  </si>
  <si>
    <t>https://www.palaisnamaskar.com</t>
  </si>
  <si>
    <t>@palaisnamaskar</t>
  </si>
  <si>
    <t>https://facebook.com/PalaisNamaskar</t>
  </si>
  <si>
    <t>RES060</t>
  </si>
  <si>
    <t>NL062</t>
  </si>
  <si>
    <t>ACT062</t>
  </si>
  <si>
    <t>H054</t>
  </si>
  <si>
    <t>Live Club</t>
  </si>
  <si>
    <t>Concerts live</t>
  </si>
  <si>
    <t>+212 663 055 704</t>
  </si>
  <si>
    <t>Kenzi Menara Palace</t>
  </si>
  <si>
    <t>Zone de l'Agdal, Avenue Mohamed VI</t>
  </si>
  <si>
    <t>Quad Palmeraie</t>
  </si>
  <si>
    <t>NL063</t>
  </si>
  <si>
    <t>+212 524 459 900 / +212 524 459 999</t>
  </si>
  <si>
    <t>menarapalace@kenzi-hotels.com</t>
  </si>
  <si>
    <t>Dar Rhizlane</t>
  </si>
  <si>
    <t>Mme Touria</t>
  </si>
  <si>
    <t>https://www.kenzi-hotels.com</t>
  </si>
  <si>
    <t>La Casa Club</t>
  </si>
  <si>
    <t>@kenzihotels</t>
  </si>
  <si>
    <t>Ambiance chic</t>
  </si>
  <si>
    <t>Av. Jnane El Harti</t>
  </si>
  <si>
    <t>+212 524 421 303</t>
  </si>
  <si>
    <t>Table gastronomique de maison d'hôtes de prestige</t>
  </si>
  <si>
    <t>H163</t>
  </si>
  <si>
    <t>NL064</t>
  </si>
  <si>
    <t>ACT063</t>
  </si>
  <si>
    <t>Savoy Le Grand Hotel</t>
  </si>
  <si>
    <t>Avenue Prince My Rachid</t>
  </si>
  <si>
    <t>Skyy Club Montecristo</t>
  </si>
  <si>
    <t>Montecristo, Guéliz</t>
  </si>
  <si>
    <t>Ouvert jusqu'à 5h</t>
  </si>
  <si>
    <t>+212 524 351 000</t>
  </si>
  <si>
    <t>contact@savoylegrandhotelmarrakech.com</t>
  </si>
  <si>
    <t>RES061</t>
  </si>
  <si>
    <t>https://www.savoylegrandhotelmarrakech.com</t>
  </si>
  <si>
    <t>Importé de HEBERGEMENT. Quartier : Hivernage · Site : https://www.savoylegrandhotelmarrakech.com | Coord. complétée(s) depuis annuaire : tél [Ancien statut: Importé]</t>
  </si>
  <si>
    <t>Glamping Agafay</t>
  </si>
  <si>
    <t>H042</t>
  </si>
  <si>
    <t>NL065</t>
  </si>
  <si>
    <t>Nouba Marrakech</t>
  </si>
  <si>
    <t>Dîner + DJ</t>
  </si>
  <si>
    <t>Mövenpick Mansour Eddahbi</t>
  </si>
  <si>
    <t>+212 642 555 353</t>
  </si>
  <si>
    <t>Bd Mohamed VI</t>
  </si>
  <si>
    <t>+212 524 33 91 00</t>
  </si>
  <si>
    <t>hotel.marrakech.reservations@movenpick.com</t>
  </si>
  <si>
    <t>Mme Oumaima</t>
  </si>
  <si>
    <t>ACT064</t>
  </si>
  <si>
    <t>NL066</t>
  </si>
  <si>
    <t>https://movenpick.accor.com</t>
  </si>
  <si>
    <t>@movenpickmarrakech</t>
  </si>
  <si>
    <t>Dinner-show</t>
  </si>
  <si>
    <t>H164</t>
  </si>
  <si>
    <t>STATUT-SRC · SOURCÉ — À VÉRIFIER</t>
  </si>
  <si>
    <t>Palais Ronsard Restaurant</t>
  </si>
  <si>
    <t>À vérifier</t>
  </si>
  <si>
    <t>+212 524 298 600</t>
  </si>
  <si>
    <t>Franco-marocain Relais &amp; Châteaux</t>
  </si>
  <si>
    <t>Pestana CR7 Marrakech</t>
  </si>
  <si>
    <t>Cours de danse orientale</t>
  </si>
  <si>
    <t>M Avenue, Av. de la Ménara</t>
  </si>
  <si>
    <t>NL067</t>
  </si>
  <si>
    <t>Gueliz</t>
  </si>
  <si>
    <t>Cabaret-restaurant</t>
  </si>
  <si>
    <t>+212 5 24 33 36 00</t>
  </si>
  <si>
    <t>https://www.pestana.com/fr/hotel/pestana-cr7-marrakech</t>
  </si>
  <si>
    <t>Importé de HEBERGEMENT. Quartier : Hivernage · Site : https://www.pestana.com/fr/hotel/pestana-cr7-marrakech [Ancien statut: À compléter]</t>
  </si>
  <si>
    <t>RES062</t>
  </si>
  <si>
    <t>20-40 €/pers (sur devis). Contexte souvent féminin.</t>
  </si>
  <si>
    <t>H165</t>
  </si>
  <si>
    <t>NL068</t>
  </si>
  <si>
    <t>ACT065</t>
  </si>
  <si>
    <t>Hivernage (Av. Echouhada)</t>
  </si>
  <si>
    <t>+212 524 43 77 02</t>
  </si>
  <si>
    <t>White Camel Agafay</t>
  </si>
  <si>
    <t>Désert d'Agafay (30-45 min de Marrakech)</t>
  </si>
  <si>
    <t>NL069</t>
  </si>
  <si>
    <t>Lotus Privilège</t>
  </si>
  <si>
    <t>Médina (Dar El Bacha)</t>
  </si>
  <si>
    <t>+212 660 389 756 / +212 661 776 766</t>
  </si>
  <si>
    <t>+212 660389756 (à confirmer)</t>
  </si>
  <si>
    <t>contact@thewhitecamel.ma</t>
  </si>
  <si>
    <t>51 lodges, tentes et suites — piscine, spa, restaurants</t>
  </si>
  <si>
    <t>thewhitecamel.com</t>
  </si>
  <si>
    <t>Atelier maroquinerie</t>
  </si>
  <si>
    <t>Importé de HEBERGEMENT. Quartier : Agafay · Site : thewhitecamel.com | Coord. complétée(s) depuis annuaire : tél [Ancien statut: Importé] | Fusion doublons : Canyon Lodge Agafay (H187)</t>
  </si>
  <si>
    <t>Artisanat Marrakech</t>
  </si>
  <si>
    <t>Sidi Ghanem / Médina</t>
  </si>
  <si>
    <t>Dîner désert, team building</t>
  </si>
  <si>
    <t>H070</t>
  </si>
  <si>
    <t>+212 524 44 52 30</t>
  </si>
  <si>
    <t>Désert d'Agafay</t>
  </si>
  <si>
    <t>Avenue Ahmed Chawki</t>
  </si>
  <si>
    <t>+212 5243 87318</t>
  </si>
  <si>
    <t>Restaurant cabaret haut de gamme</t>
  </si>
  <si>
    <t>+212 524 43 36 88 / +212 524 43 36 88 (bureau) ; GSM terrain +212 662 800 823</t>
  </si>
  <si>
    <t>+212 662800823 (à confirmer)</t>
  </si>
  <si>
    <t>reservation@scarabeo-camp.com</t>
  </si>
  <si>
    <t>ACT066</t>
  </si>
  <si>
    <t>Mme Manal</t>
  </si>
  <si>
    <t>https://www.scarabeocamp.com</t>
  </si>
  <si>
    <t>@scarabeocamp</t>
  </si>
  <si>
    <t>Coord. complétée(s) depuis annuaire : tél | Fusion doublons : Stone Desert Camp (H216)</t>
  </si>
  <si>
    <t>H049</t>
  </si>
  <si>
    <t>Dress code</t>
  </si>
  <si>
    <t>RES063</t>
  </si>
  <si>
    <t>Balade en calèche</t>
  </si>
  <si>
    <t>Chef Privé Marrakech</t>
  </si>
  <si>
    <t>Agafay Desert Camp</t>
  </si>
  <si>
    <t>+212 661 23 45 67</t>
  </si>
  <si>
    <t>+212 661234567 (à confirmer)</t>
  </si>
  <si>
    <t>@agafaydesertluxury</t>
  </si>
  <si>
    <t>+212 661 07 22 33</t>
  </si>
  <si>
    <t>H166</t>
  </si>
  <si>
    <t>~30 € la balade (par calèche). Familial.</t>
  </si>
  <si>
    <t>ACT067</t>
  </si>
  <si>
    <t>Caravan Agafay</t>
  </si>
  <si>
    <t>KM 23 Route d'Agafay, Commune Rurale Agafay</t>
  </si>
  <si>
    <t>Km 4 Route de l'Ourika</t>
  </si>
  <si>
    <t>+212 6 61 59 11 50</t>
  </si>
  <si>
    <t>+212 524 375 535</t>
  </si>
  <si>
    <t>guestexperience@caravanagafay.com</t>
  </si>
  <si>
    <t>tél non trouvé — 20 lodges-tentes + Explorer Tents, 2 piscines, spa, restaurant Olivar</t>
  </si>
  <si>
    <t>ourhabitas.com/caravan-agafay</t>
  </si>
  <si>
    <t>Restaurant spectacle avec piscine</t>
  </si>
  <si>
    <t>Importé de HEBERGEMENT. Quartier : Agafay · Site : ourhabitas.com/caravan-agafay | Coord. complétée(s) depuis annuaire : email [Ancien statut: À compléter]</t>
  </si>
  <si>
    <t>H167</t>
  </si>
  <si>
    <t>Observation des étoiles</t>
  </si>
  <si>
    <t>Forte demande été</t>
  </si>
  <si>
    <t>Terre des Etoiles</t>
  </si>
  <si>
    <t>Km 25, Commune d'Agafay, Kaïda d'Aït Imour</t>
  </si>
  <si>
    <t>RES064</t>
  </si>
  <si>
    <t>+212 661 591 150</t>
  </si>
  <si>
    <t>+212 661591150 (à confirmer)</t>
  </si>
  <si>
    <t>contact@terredesetoiles.net</t>
  </si>
  <si>
    <t>ACT068</t>
  </si>
  <si>
    <t>https://www.terredesetoiles.net</t>
  </si>
  <si>
    <t>Importé de HEBERGEMENT. Quartier : Agafay · Site : https://www.terredesetoiles.net | Coord. complétée(s) depuis annuaire : tél [Ancien statut: Importé]</t>
  </si>
  <si>
    <t>H158</t>
  </si>
  <si>
    <t>Riad Massiba</t>
  </si>
  <si>
    <t>Le Ciel en Or</t>
  </si>
  <si>
    <t>38 rue Douar Graoua, Médina</t>
  </si>
  <si>
    <t>+212 6 65 47 55 06</t>
  </si>
  <si>
    <t>+212 665 475 506</t>
  </si>
  <si>
    <t>booking@riadmassiba-marrakech.net</t>
  </si>
  <si>
    <t>tél/email non trouvés — tarif indicatif dynamique</t>
  </si>
  <si>
    <t>https://www.riadmassiba-marrakech.net</t>
  </si>
  <si>
    <t>https://www.facebook.com/riadmassiba/</t>
  </si>
  <si>
    <t>Nommos</t>
  </si>
  <si>
    <t>H159</t>
  </si>
  <si>
    <t>+212 618 972 154</t>
  </si>
  <si>
    <t>Restaurant lifestyle avec piscine</t>
  </si>
  <si>
    <t>+212 524 43 26 21</t>
  </si>
  <si>
    <t>Site officiel Ciel d'Afrique</t>
  </si>
  <si>
    <t>Riad Dar One</t>
  </si>
  <si>
    <t>Vol Classique</t>
  </si>
  <si>
    <t>19 Derb Jemma el Kebir, Mellah (près Palais Bahia), Médina</t>
  </si>
  <si>
    <t>+212 600 021 381</t>
  </si>
  <si>
    <t>+212 600021381 (à confirmer)</t>
  </si>
  <si>
    <t>riaddarone@gmail.com</t>
  </si>
  <si>
    <t>riad-dar-one.com</t>
  </si>
  <si>
    <t>Importé de HEBERGEMENT. Quartier : Médina · Site : riad-dar-one.com | Coord. complétée(s) depuis annuaire : tél [Ancien statut: Importé]</t>
  </si>
  <si>
    <t>RES065</t>
  </si>
  <si>
    <t>ACT069</t>
  </si>
  <si>
    <t>H160</t>
  </si>
  <si>
    <t>Riad Palais Sebban</t>
  </si>
  <si>
    <t>43 Derb Moulay Abdellah Ben Hsseine, Laksour, Médina</t>
  </si>
  <si>
    <t>Hammam Signature</t>
  </si>
  <si>
    <t>+212 5 24 44 02 25 / 26</t>
  </si>
  <si>
    <t>Royal Mansour Spa</t>
  </si>
  <si>
    <t>palaissebban.com</t>
  </si>
  <si>
    <t>Importé de HEBERGEMENT. Quartier : Médina · Site : palaissebban.com | Coord. complétée(s) depuis annuaire : tél [Ancien statut: À compléter]</t>
  </si>
  <si>
    <t>H171</t>
  </si>
  <si>
    <t>+212 529 80 80 80</t>
  </si>
  <si>
    <t>Nouba</t>
  </si>
  <si>
    <t>Hammam Marocain</t>
  </si>
  <si>
    <t>ACT070</t>
  </si>
  <si>
    <t>Restaurant spectacle et performances</t>
  </si>
  <si>
    <t>Riad Hikaya</t>
  </si>
  <si>
    <t>252 Rue Sidi Mansour, Kasbah, Médina</t>
  </si>
  <si>
    <t>+212 664 484 069</t>
  </si>
  <si>
    <t>+212 664484069 (à confirmer)</t>
  </si>
  <si>
    <t>riadhikaya@outlook.com</t>
  </si>
  <si>
    <t>riadhikaya.com</t>
  </si>
  <si>
    <t>Importé de HEBERGEMENT. Quartier : Médina · Site : riadhikaya.com | Coord. complétée(s) depuis annuaire : tél [Ancien statut: Importé]</t>
  </si>
  <si>
    <t>La Mamounia Rituel</t>
  </si>
  <si>
    <t>La Mamounia Spa</t>
  </si>
  <si>
    <t>H172</t>
  </si>
  <si>
    <t>RES066</t>
  </si>
  <si>
    <t>Riad Jardin Secret</t>
  </si>
  <si>
    <t>Hammam</t>
  </si>
  <si>
    <t>43-46 Arset Aouzal, Bab Doukkala, Médina</t>
  </si>
  <si>
    <t>ACT071</t>
  </si>
  <si>
    <t>+212 6 67 34 97 64</t>
  </si>
  <si>
    <t>+212 667349764 (à confirmer)</t>
  </si>
  <si>
    <t>email non trouvé</t>
  </si>
  <si>
    <t>riadjardinsecret.com</t>
  </si>
  <si>
    <t>https://facebook.com/riadjardinsecret</t>
  </si>
  <si>
    <t>Importé de HEBERGEMENT. Quartier : Médina · Site : riadjardinsecret.com | Coord. complétée(s) depuis annuaire : tél [Ancien statut: À compléter]</t>
  </si>
  <si>
    <t>H173</t>
  </si>
  <si>
    <t>Mandarin Silence Total</t>
  </si>
  <si>
    <t>Mandarin Oriental Spa</t>
  </si>
  <si>
    <t>Riad Joya</t>
  </si>
  <si>
    <t>Hay Mouassine, Derb El Hammam 26/27, Médina</t>
  </si>
  <si>
    <t>Soirée Fantasia</t>
  </si>
  <si>
    <t>Région (Agafay)</t>
  </si>
  <si>
    <t>Mandarin Oriental</t>
  </si>
  <si>
    <t>+212 672 210 464</t>
  </si>
  <si>
    <t>+212 524 391 624</t>
  </si>
  <si>
    <t>Dîner-spectacle folklorique · relocalisé depuis ACTIVITES</t>
  </si>
  <si>
    <t>joya@riadjoya.com</t>
  </si>
  <si>
    <t>riadjoya.com</t>
  </si>
  <si>
    <t>Importé de HEBERGEMENT. Quartier : Médina · Site : riadjoya.com | Coord. complétée(s) depuis annuaire : tél [Ancien statut: Importé]</t>
  </si>
  <si>
    <t>ACT072</t>
  </si>
  <si>
    <t>PUB-GRP · PUB-CPL</t>
  </si>
  <si>
    <t>H174</t>
  </si>
  <si>
    <t>RES067</t>
  </si>
  <si>
    <t>Riad Goloboy</t>
  </si>
  <si>
    <t>Quartier Kasbah, Médina</t>
  </si>
  <si>
    <t>Les Chevaux &amp; l'Eau</t>
  </si>
  <si>
    <t>+212 608 893 353 (annuaire — à vérifier)</t>
  </si>
  <si>
    <t>+212 608893353 (à confirmer)</t>
  </si>
  <si>
    <t>inforiadgoloboy@gmail.com (annuaire — à vérifier)</t>
  </si>
  <si>
    <t>riadgoloboy.com</t>
  </si>
  <si>
    <t>Importé de HEBERGEMENT. Quartier : Médina · Site : riadgoloboy.com | Coord. complétée(s) depuis annuaire : tél [Ancien statut: Importé]</t>
  </si>
  <si>
    <t>El Fenn</t>
  </si>
  <si>
    <t>+212 524 44 12 20</t>
  </si>
  <si>
    <t>Visite écuries</t>
  </si>
  <si>
    <t>H175</t>
  </si>
  <si>
    <t>Rooftop lounge · boutique hôtel</t>
  </si>
  <si>
    <t>Activité sportive.</t>
  </si>
  <si>
    <t>ACT073</t>
  </si>
  <si>
    <t>Riad Tamarrakecht</t>
  </si>
  <si>
    <t>RES068</t>
  </si>
  <si>
    <t>132 Derb Aghrab, Bab Aylen, Médina</t>
  </si>
  <si>
    <t>+212 635 109 504</t>
  </si>
  <si>
    <t>+212 635109504 (à confirmer)</t>
  </si>
  <si>
    <t>riadtamarrakecht.com</t>
  </si>
  <si>
    <t>La Nuit des Nomades</t>
  </si>
  <si>
    <t>Importé de HEBERGEMENT. Quartier : Médina · Site : riadtamarrakecht.com | Coord. complétée(s) depuis annuaire : tél [Ancien statut: À compléter]</t>
  </si>
  <si>
    <t>H176</t>
  </si>
  <si>
    <t>+212 661 89 43 56</t>
  </si>
  <si>
    <t>Déjeuner désert</t>
  </si>
  <si>
    <t>ACT074</t>
  </si>
  <si>
    <t>Café des Épices</t>
  </si>
  <si>
    <t>+212 524 39 17 70</t>
  </si>
  <si>
    <t>Riad Safa</t>
  </si>
  <si>
    <t>Rooftop · authentique</t>
  </si>
  <si>
    <t>64-65 Derb Lalla Azzouna, Médina</t>
  </si>
  <si>
    <t>RES069</t>
  </si>
  <si>
    <t>+212 524 377 123</t>
  </si>
  <si>
    <t>riad-safa.com</t>
  </si>
  <si>
    <t>Importé de HEBERGEMENT. Quartier : Médina · Site : riad-safa.com | Coord. complétée(s) depuis annuaire : tél [Ancien statut: À compléter]</t>
  </si>
  <si>
    <t>L'Oasis Secrète</t>
  </si>
  <si>
    <t>White Camel Lodge</t>
  </si>
  <si>
    <t>H179</t>
  </si>
  <si>
    <t>+212 661 21 43 87</t>
  </si>
  <si>
    <t>White Camel</t>
  </si>
  <si>
    <t>Day Pass</t>
  </si>
  <si>
    <t>Prestation signature — sur devis.</t>
  </si>
  <si>
    <t>+212 524 38 03 24</t>
  </si>
  <si>
    <t>Rooftop · sunset</t>
  </si>
  <si>
    <t>ACT075</t>
  </si>
  <si>
    <t>Av. Echouhada et Rue du Temple, Hivernage</t>
  </si>
  <si>
    <t>RES070</t>
  </si>
  <si>
    <t>71 ch. dont 22 suites — tél/email non trouvés de source fiable, prix sur demande</t>
  </si>
  <si>
    <t>thepearlmarrakech.com</t>
  </si>
  <si>
    <t>Importé de HEBERGEMENT. Quartier : Hivernage · Site : thepearlmarrakech.com [Ancien statut: À compléter]</t>
  </si>
  <si>
    <t>Le Silence de l'Atlas</t>
  </si>
  <si>
    <t>H180</t>
  </si>
  <si>
    <t>Kasbah Bab Ourika</t>
  </si>
  <si>
    <t>+212 524 36 84 74</t>
  </si>
  <si>
    <t>Sirayane Boutique Hotel</t>
  </si>
  <si>
    <t>Atay Café</t>
  </si>
  <si>
    <t>Km 8, Route d'Amizmiz</t>
  </si>
  <si>
    <t>40-41</t>
  </si>
  <si>
    <t>+212 714 16 90 67</t>
  </si>
  <si>
    <t>Rooftop · vue panoramique</t>
  </si>
  <si>
    <t>ACT076</t>
  </si>
  <si>
    <t>+212 5 25 11 88 80</t>
  </si>
  <si>
    <t>RES071</t>
  </si>
  <si>
    <t>sirayane.com</t>
  </si>
  <si>
    <t>Importé de HEBERGEMENT. Quartier : Route d'Amizmiz · Site : sirayane.com [Ancien statut: À compléter]</t>
  </si>
  <si>
    <t>H181</t>
  </si>
  <si>
    <t>Retraite Toubkal</t>
  </si>
  <si>
    <t>Kasbah du Toubkal</t>
  </si>
  <si>
    <t>Be Live Collection Marrakech</t>
  </si>
  <si>
    <t>Palmeraie / Annakhil</t>
  </si>
  <si>
    <t>Rooftop Garden (2Ciels)</t>
  </si>
  <si>
    <t>+212 524 35 95 50</t>
  </si>
  <si>
    <t>Rooftop lounge</t>
  </si>
  <si>
    <t>+212 524 48 56 11</t>
  </si>
  <si>
    <t>+212 524 327 700</t>
  </si>
  <si>
    <t>Adults only, all inclusive — résa centralisée</t>
  </si>
  <si>
    <t>belivehotels.com</t>
  </si>
  <si>
    <t>Déjeuner refuge</t>
  </si>
  <si>
    <t>Importé de HEBERGEMENT. Quartier : Palmeraie · Site : belivehotels.com | Coord. complétée(s) depuis annuaire : tél [Ancien statut: À compléter]</t>
  </si>
  <si>
    <t>RES072</t>
  </si>
  <si>
    <t>H182</t>
  </si>
  <si>
    <t>ACT077</t>
  </si>
  <si>
    <t>Palm Plaza Hotel &amp; Spa</t>
  </si>
  <si>
    <t>Avenue du 7ème Art, Agdal</t>
  </si>
  <si>
    <t>Nobu Marrakech</t>
  </si>
  <si>
    <t>+212 524 42 42 42</t>
  </si>
  <si>
    <t>Rooftop · luxe</t>
  </si>
  <si>
    <t>+212 524 38 87 00</t>
  </si>
  <si>
    <t>reservation@hotelpalmplaza.com</t>
  </si>
  <si>
    <t>hotelpalmplaza.com</t>
  </si>
  <si>
    <t>Mon Chef à Moi</t>
  </si>
  <si>
    <t>Henna Art Café</t>
  </si>
  <si>
    <t>Importé de HEBERGEMENT. Quartier : Agdal · Site : hotelpalmplaza.com | Coord. complétée(s) depuis annuaire : tél [Ancien statut: Importé]</t>
  </si>
  <si>
    <t>RES073</t>
  </si>
  <si>
    <t>H183</t>
  </si>
  <si>
    <t>+212 524 38 14 10</t>
  </si>
  <si>
    <t>Dîner Signature 2 pers.</t>
  </si>
  <si>
    <t>950 €+</t>
  </si>
  <si>
    <t>Adam Park Marrakech</t>
  </si>
  <si>
    <t>ACT078</t>
  </si>
  <si>
    <t>Av. du 7ème Art, Zone Touristique Agdal</t>
  </si>
  <si>
    <t>Dîner festif · live music</t>
  </si>
  <si>
    <t>+212 524 351 100</t>
  </si>
  <si>
    <t>adamparkmarrakech.com</t>
  </si>
  <si>
    <t>Importé de HEBERGEMENT. Quartier : Agdal · Site : adamparkmarrakech.com | Coord. complétée(s) depuis annuaire : tél [Ancien statut: À compléter]</t>
  </si>
  <si>
    <t>RES074</t>
  </si>
  <si>
    <t>Mon Parfum Signature</t>
  </si>
  <si>
    <t>H184</t>
  </si>
  <si>
    <t>Scenti Atelier Parfum</t>
  </si>
  <si>
    <t>Opera Plaza Hotel</t>
  </si>
  <si>
    <t>Av. Mohamed VI, Hivernage (face à la gare)</t>
  </si>
  <si>
    <t>114-115</t>
  </si>
  <si>
    <t>+212 524 42 56 00</t>
  </si>
  <si>
    <t>Dîner festif · DJ</t>
  </si>
  <si>
    <t>+212 524 35 15 15</t>
  </si>
  <si>
    <t>Atelier Découverte</t>
  </si>
  <si>
    <t>reservation@operaplazahotel.com</t>
  </si>
  <si>
    <t>https://operaplazahotelmarrakech.morocco-ma.website</t>
  </si>
  <si>
    <t>@operaplaza.hotelmarrakech</t>
  </si>
  <si>
    <t>https://www.facebook.com/operaplaza.hotelmarrakech/</t>
  </si>
  <si>
    <t>Importé de HEBERGEMENT. Quartier : Hivernage | Coord. complétée(s) depuis annuaire : tél [Ancien statut: À compléter]</t>
  </si>
  <si>
    <t>RES075</t>
  </si>
  <si>
    <t>ACT079</t>
  </si>
  <si>
    <t>H185</t>
  </si>
  <si>
    <t>Atlas Asni</t>
  </si>
  <si>
    <t>Avenue Mohamed VI, Hivernage</t>
  </si>
  <si>
    <t>304-334</t>
  </si>
  <si>
    <t>Sillage Précieux</t>
  </si>
  <si>
    <t>Les Jardins du Lotus</t>
  </si>
  <si>
    <t>Dîner romantique · terrasse</t>
  </si>
  <si>
    <t>+212 524 33 99 00</t>
  </si>
  <si>
    <t>info@atlasasni.com</t>
  </si>
  <si>
    <t>email non trouvé — pas de site officiel actif</t>
  </si>
  <si>
    <t>https://atlasasni.com-hotel.com</t>
  </si>
  <si>
    <t>RES076</t>
  </si>
  <si>
    <t>H186</t>
  </si>
  <si>
    <t>Atelier</t>
  </si>
  <si>
    <t>ACT080</t>
  </si>
  <si>
    <t>Hotel Jadali</t>
  </si>
  <si>
    <t>Angle Av. Echouhada et Rue de Paris, Hivernage</t>
  </si>
  <si>
    <t>+212 524 33 33 33</t>
  </si>
  <si>
    <t>Signature</t>
  </si>
  <si>
    <t>info@hoteljadali.com</t>
  </si>
  <si>
    <t>Route du Golf Royal, Marrakech</t>
  </si>
  <si>
    <t>hoteljadali.com</t>
  </si>
  <si>
    <t>Brunch &amp; art de vivre · hôtel 5⭐</t>
  </si>
  <si>
    <t>Importé de HEBERGEMENT. Quartier : Hivernage · Site : hoteljadali.com | Coord. complétée(s) depuis annuaire : tél [Ancien statut: Importé]</t>
  </si>
  <si>
    <t>H051</t>
  </si>
  <si>
    <t>Marrakech en Mode Vogue</t>
  </si>
  <si>
    <t>Arabesque Dance</t>
  </si>
  <si>
    <t>RES077</t>
  </si>
  <si>
    <t>Yes We Camp Agafay</t>
  </si>
  <si>
    <t>+212 680 89 11 13</t>
  </si>
  <si>
    <t>+212 524 375 409</t>
  </si>
  <si>
    <t>Shooting 1h</t>
  </si>
  <si>
    <t>650 €</t>
  </si>
  <si>
    <t>@yeswecampagafay</t>
  </si>
  <si>
    <t>ACT081</t>
  </si>
  <si>
    <t>H188</t>
  </si>
  <si>
    <t>La Bohème Agafay</t>
  </si>
  <si>
    <t>Désert d'Agafay, 25 km de Marrakech</t>
  </si>
  <si>
    <t>Souvenirs Éternels</t>
  </si>
  <si>
    <t>+212 6 75 21 55 32</t>
  </si>
  <si>
    <t>RES078</t>
  </si>
  <si>
    <t>Suites + lodges ; événementiel (mariages, team building) — tél/email non trouvés (formulaire)</t>
  </si>
  <si>
    <t>boheme-marrakech.com</t>
  </si>
  <si>
    <t>Importé de HEBERGEMENT. Quartier : Agafay · Site : boheme-marrakech.com [Ancien statut: À compléter]</t>
  </si>
  <si>
    <t>Tour Photo</t>
  </si>
  <si>
    <t>H189</t>
  </si>
  <si>
    <t>ACT082</t>
  </si>
  <si>
    <t>79 Derb Sidi Ahmed Soussi, Bab Doukkala, Marrakech</t>
  </si>
  <si>
    <t>Tél: +212 524 38 29 29 · Email: reservation@daryacout.com</t>
  </si>
  <si>
    <t>Restaurant marocain · Site: Dar Yacout</t>
  </si>
  <si>
    <t>Sunrise Desert Camp</t>
  </si>
  <si>
    <t>Comme une Cheffe Marocaine</t>
  </si>
  <si>
    <t>Cooking Class Marrakech</t>
  </si>
  <si>
    <t>RES079</t>
  </si>
  <si>
    <t>Coordonnées non trouvées — réservation via OTA, à vérifier</t>
  </si>
  <si>
    <t>Le Foundouk Restaurant &amp; Rooftop</t>
  </si>
  <si>
    <t>Importé de HEBERGEMENT. Quartier : Agafay [Ancien statut: À compléter]</t>
  </si>
  <si>
    <t>Atelier Cuisine</t>
  </si>
  <si>
    <t>55 Souk El Fassi, Kat Bennahïd, Médina</t>
  </si>
  <si>
    <t>Tél: +212 670 12 95 15 · Email: contact@foundouk.com</t>
  </si>
  <si>
    <t>Restaurant · Site: Le Foundouk</t>
  </si>
  <si>
    <t>H190</t>
  </si>
  <si>
    <t>ACT083</t>
  </si>
  <si>
    <t>RES080</t>
  </si>
  <si>
    <t>Oxygen Lodge Agafay</t>
  </si>
  <si>
    <t>Désert d'Agafay, 44000 Marrakesh-Safi (~35 min de Marrakech)</t>
  </si>
  <si>
    <t>Bab Ksour (Médina)</t>
  </si>
  <si>
    <t>Derb Abdellah Ben Hessein, R'Mila Bab Ksour, Médina</t>
  </si>
  <si>
    <t>La Cérémonie du Henné</t>
  </si>
  <si>
    <t>Tél: +212 524 44 40 52</t>
  </si>
  <si>
    <t>Restaurant gastronomique</t>
  </si>
  <si>
    <t>+212 6 11 31 11 89</t>
  </si>
  <si>
    <t>Eoxygenlodgeagafay@gmail.com</t>
  </si>
  <si>
    <t>Éco-lodge — piscine à débordement chauffée, restaurant « La Table Perdue dans le Désert »</t>
  </si>
  <si>
    <t>oxygenlodgeagafay.com</t>
  </si>
  <si>
    <t>Importé de HEBERGEMENT. Quartier : Agafay · Site : oxygenlodgeagafay.com | Coord. complétée(s) depuis annuaire : email [Ancien statut: À compléter]</t>
  </si>
  <si>
    <t>H066</t>
  </si>
  <si>
    <t>RES081</t>
  </si>
  <si>
    <t>Henné Traditionnel</t>
  </si>
  <si>
    <t>Le Marocain – La Mamounia</t>
  </si>
  <si>
    <t>Villa Ezzahra</t>
  </si>
  <si>
    <t>Avenue Bab Jdid, La Mamounia, Marrakech</t>
  </si>
  <si>
    <t>ACT084</t>
  </si>
  <si>
    <t>Tél: +212 524 38 86 00 · Email: restaurants@mamounia.com</t>
  </si>
  <si>
    <t>Restaurant · Site: La Mamounia</t>
  </si>
  <si>
    <t>+212 661 28 41 56</t>
  </si>
  <si>
    <t>+212 661284156 (à confirmer)</t>
  </si>
  <si>
    <t>villaezzahra.com</t>
  </si>
  <si>
    <t>@villaezzahra</t>
  </si>
  <si>
    <t>H177</t>
  </si>
  <si>
    <t>RES082</t>
  </si>
  <si>
    <t>Golf Signature Atlas</t>
  </si>
  <si>
    <t>Riad Le Clos des Arts</t>
  </si>
  <si>
    <t>50, Riad Zitoune Jdid, Derb Tbib, Médina</t>
  </si>
  <si>
    <t>La Grande Table Marocaine – Royal Mansour</t>
  </si>
  <si>
    <t>8-10</t>
  </si>
  <si>
    <t>Rue Abou Abbas El Sebti, Royal Mansour</t>
  </si>
  <si>
    <t>Tél: +212 529 80 80 80</t>
  </si>
  <si>
    <t>Restaurant · Site: Royal Mansour Marrakech</t>
  </si>
  <si>
    <t>+212 524 37 51 59</t>
  </si>
  <si>
    <t>contact@leclosdesarts.com</t>
  </si>
  <si>
    <t>leclosdesarts.com</t>
  </si>
  <si>
    <t>Importé de HEBERGEMENT. Quartier : Médina · Site : leclosdesarts.com | Coord. complétée(s) depuis annuaire : tél [Ancien statut: Importé]</t>
  </si>
  <si>
    <t>Green Fee</t>
  </si>
  <si>
    <t>H195</t>
  </si>
  <si>
    <t>ACT085</t>
  </si>
  <si>
    <t>RES083</t>
  </si>
  <si>
    <t>Riad La Vie En Rose</t>
  </si>
  <si>
    <t>Km 14 Route de l'Ourika, Aghouatime</t>
  </si>
  <si>
    <t>+212 6 93 08 17 36</t>
  </si>
  <si>
    <t>+212 693081736 (à confirmer)</t>
  </si>
  <si>
    <t>Mes'Lalla – Mandarin Oriental</t>
  </si>
  <si>
    <t>lavieenrosemarrakech@gmail.com</t>
  </si>
  <si>
    <t>Maison familiale (domaine 5 ha) — ⚠️ à confirmer s'il s'agit bien de l'établissement visé (pas un riad médina)</t>
  </si>
  <si>
    <t>Tél: +212 524 29 88 88</t>
  </si>
  <si>
    <t>Restaurant · Site: Mandarin Oriental Marrakech</t>
  </si>
  <si>
    <t>H196</t>
  </si>
  <si>
    <t>Golf Historique</t>
  </si>
  <si>
    <t>Royal Golf Marrakech</t>
  </si>
  <si>
    <t>Riad Marrakech House</t>
  </si>
  <si>
    <t>Guéliz, ~800 m de la gare</t>
  </si>
  <si>
    <t>20-39</t>
  </si>
  <si>
    <t>RES084</t>
  </si>
  <si>
    <t>+212 524 40 47 05</t>
  </si>
  <si>
    <t>+212 5 24 44 77 76</t>
  </si>
  <si>
    <t>riadmarrakechhouse@gmail.com</t>
  </si>
  <si>
    <t>tél/email non trouvés ; 20 ou 39 ch. selon sources — à vérifier</t>
  </si>
  <si>
    <t>https://www.riadmarrakechhouse.com</t>
  </si>
  <si>
    <t>Visiter page FB</t>
  </si>
  <si>
    <t>H197</t>
  </si>
  <si>
    <t>Shirvan Café Métisse</t>
  </si>
  <si>
    <t>ACT086</t>
  </si>
  <si>
    <t>Guéliz, Marrakech</t>
  </si>
  <si>
    <t>Tél: +212 524 42 42 65</t>
  </si>
  <si>
    <t>Restaurant · Site: Shirvan Café Métisse</t>
  </si>
  <si>
    <t>Riad El Grably</t>
  </si>
  <si>
    <t>8 Derb El Arsa, Riad Zitoun Jdid, Médina</t>
  </si>
  <si>
    <t>RES085</t>
  </si>
  <si>
    <t>+212 524 376 197 / +212 661 922 801</t>
  </si>
  <si>
    <t>+212 661922801 (à confirmer)</t>
  </si>
  <si>
    <t>contact@riadelgrablymarrakech.com</t>
  </si>
  <si>
    <t>riadelgrablymarrakech.com</t>
  </si>
  <si>
    <t>Importé de HEBERGEMENT. Quartier : Médina · Site : riadelgrablymarrakech.com | Coord. complétée(s) depuis annuaire : tél [Ancien statut: Importé]</t>
  </si>
  <si>
    <t>Balade Équestre</t>
  </si>
  <si>
    <t>Club Equestre Palmeraie</t>
  </si>
  <si>
    <t>Ling Ling by Hakkasan</t>
  </si>
  <si>
    <t>Hôtel</t>
  </si>
  <si>
    <t>One&amp;Only / Marrakech (hôtel)</t>
  </si>
  <si>
    <t>Restaurant · Site: Ling Ling by Hakkasan</t>
  </si>
  <si>
    <t>H198</t>
  </si>
  <si>
    <t>+212 7 01 31 33 03</t>
  </si>
  <si>
    <t>1h</t>
  </si>
  <si>
    <t>RES086</t>
  </si>
  <si>
    <t>Riad Kaiss</t>
  </si>
  <si>
    <t>65 Derb Jdid, Riad Zitoun Kedim, Médina</t>
  </si>
  <si>
    <t>ACT087</t>
  </si>
  <si>
    <t>La Sultana Marrakech, Kasbah</t>
  </si>
  <si>
    <t>Tél: +212 529 38 80 08</t>
  </si>
  <si>
    <t>+212 524 440 141</t>
  </si>
  <si>
    <t>Restaurant · Site: La Sultana Marrakech</t>
  </si>
  <si>
    <t>contact@riadkaiss.com</t>
  </si>
  <si>
    <t>Riad Kaiss by Anika</t>
  </si>
  <si>
    <t>riadkaiss.com</t>
  </si>
  <si>
    <t>Importé de HEBERGEMENT. Quartier : Médina · Site : riadkaiss.com | Coord. complétée(s) depuis annuaire : tél [Ancien statut: Importé]</t>
  </si>
  <si>
    <t>H199</t>
  </si>
  <si>
    <t>RES087</t>
  </si>
  <si>
    <t>Explorateurs en Herbe</t>
  </si>
  <si>
    <t>Riad Zhor</t>
  </si>
  <si>
    <t>121 Derb Sidi Ahmed Soussi, Médina</t>
  </si>
  <si>
    <t>Av. Echouhada, Hivernage, Marrakech 40000</t>
  </si>
  <si>
    <t>Tél: +212 524 43 77 02 · Email: contact@comptoirdarna.com</t>
  </si>
  <si>
    <t>Restaurant &amp; Show · Site: Comptoir Darna</t>
  </si>
  <si>
    <t>+212 524 429 140</t>
  </si>
  <si>
    <t>riadzhor@gmail.com</t>
  </si>
  <si>
    <t>Location maison entière possible</t>
  </si>
  <si>
    <t>Accrobranche</t>
  </si>
  <si>
    <t>RES088</t>
  </si>
  <si>
    <t>H200</t>
  </si>
  <si>
    <t>ACT088</t>
  </si>
  <si>
    <t>Riad Al Jazira</t>
  </si>
  <si>
    <t>Rue Koutoubia, Médina, Marrakech 40000</t>
  </si>
  <si>
    <t>Tél: +212 707 077 076 · Email: contact@palaisnarwama.com</t>
  </si>
  <si>
    <t>7 Derb Mayara, Médina</t>
  </si>
  <si>
    <t>Restaurant &amp; Show · Site: Palais Narwama</t>
  </si>
  <si>
    <t>+212 5 24 42 64 63</t>
  </si>
  <si>
    <t>reservation@marrakech-riads.com</t>
  </si>
  <si>
    <t>3 riads réunis (15-18 ch. selon sources)</t>
  </si>
  <si>
    <t>Nature &amp; Découverte</t>
  </si>
  <si>
    <t>RES089</t>
  </si>
  <si>
    <t>Theatro Marrakech</t>
  </si>
  <si>
    <t>H201</t>
  </si>
  <si>
    <t>Avenue Mohammed VI (W Club), Hivernage</t>
  </si>
  <si>
    <t>+212 664 86 03 39</t>
  </si>
  <si>
    <t>Tél: +212 700 720 700 · Email: contact@malakemeraude.com</t>
  </si>
  <si>
    <t>Restaurant &amp; Spectacle · Site: Malak Emeraude</t>
  </si>
  <si>
    <t>Ferme Pédagogique</t>
  </si>
  <si>
    <t>Riad Nerja</t>
  </si>
  <si>
    <t>152 Derb Caid Rassou, Bab Aylane, Médina</t>
  </si>
  <si>
    <t>ACT089</t>
  </si>
  <si>
    <t>+212 524 391 811</t>
  </si>
  <si>
    <t>RES090</t>
  </si>
  <si>
    <t>info@riadnerja.com</t>
  </si>
  <si>
    <t>https://riad-nerja.site/</t>
  </si>
  <si>
    <t>Importé de HEBERGEMENT. Quartier : Médina | Coord. complétée(s) depuis annuaire : tél [Ancien statut: À compléter]</t>
  </si>
  <si>
    <t>H202</t>
  </si>
  <si>
    <t>Es Saadi Resort, Hivernage</t>
  </si>
  <si>
    <t>Tél: +212 663 05 57 04</t>
  </si>
  <si>
    <t>Restaurant &amp; Live Music</t>
  </si>
  <si>
    <t>Water Escape</t>
  </si>
  <si>
    <t>Riad Tizwa</t>
  </si>
  <si>
    <t>26 Derb Gueraba, Dar el Bacha, Médina</t>
  </si>
  <si>
    <t>RES091</t>
  </si>
  <si>
    <t>+212 668 190 872</t>
  </si>
  <si>
    <t>Entrée Parc</t>
  </si>
  <si>
    <t>+212 668190872 (à confirmer)</t>
  </si>
  <si>
    <t>riadtizwa@gmail.com</t>
  </si>
  <si>
    <t>Boulevard Mohammed VI, Agdal</t>
  </si>
  <si>
    <t>Tél: +212 642 555 353 · Email: reservation@sham-outlets.com</t>
  </si>
  <si>
    <t>Restaurant &amp; Show · Site: Nouba Marrakech</t>
  </si>
  <si>
    <t>ACT090</t>
  </si>
  <si>
    <t>H203</t>
  </si>
  <si>
    <t>RES092</t>
  </si>
  <si>
    <t>2Ciels Boutique Hotel</t>
  </si>
  <si>
    <t>Rue Oued El Makhazine, Angle Rue Imam Chafai, Guéliz</t>
  </si>
  <si>
    <t>Rue Jbel Lakhdar, Marrakech</t>
  </si>
  <si>
    <t>Hammam Privatisé</t>
  </si>
  <si>
    <t>Tél: +212 610 509 902</t>
  </si>
  <si>
    <t>+212 524 359 550</t>
  </si>
  <si>
    <t>Restaurant &amp; Show</t>
  </si>
  <si>
    <t>2ciels.com</t>
  </si>
  <si>
    <t>Importé de HEBERGEMENT. Quartier : Guéliz · Site : 2ciels.com | Coord. complétée(s) depuis annuaire : tél [Ancien statut: À compléter]</t>
  </si>
  <si>
    <t>H204</t>
  </si>
  <si>
    <t>RES093</t>
  </si>
  <si>
    <t>Longue Vie Hotels</t>
  </si>
  <si>
    <t>Rue de Yougoslavie, Guéliz</t>
  </si>
  <si>
    <t>450 €</t>
  </si>
  <si>
    <t>Tél: +212 524 43 09 20</t>
  </si>
  <si>
    <t>Restaurant oriental &amp; Spectacle</t>
  </si>
  <si>
    <t>ACT091</t>
  </si>
  <si>
    <t>+212 524 339 494</t>
  </si>
  <si>
    <t>reservation@longueviehotels.com</t>
  </si>
  <si>
    <t>longueviehotels.com</t>
  </si>
  <si>
    <t>Importé de HEBERGEMENT. Site : longueviehotels.com | Coord. complétée(s) depuis annuaire : tél [Ancien statut: Importé]</t>
  </si>
  <si>
    <t>RES094</t>
  </si>
  <si>
    <t>H205</t>
  </si>
  <si>
    <t>Ibrahim Pacha</t>
  </si>
  <si>
    <t>Avenue Prince Moulay Rachid</t>
  </si>
  <si>
    <t>Tél: +212 618 181 819</t>
  </si>
  <si>
    <t>Restaurant &amp; Live Show</t>
  </si>
  <si>
    <t>Parenthèse Bien-être</t>
  </si>
  <si>
    <t>Hivernage Hotel &amp; Spa</t>
  </si>
  <si>
    <t>4 Angle Av. Echouhada et Rue des Temples, Hivernage</t>
  </si>
  <si>
    <t>RES095</t>
  </si>
  <si>
    <t>+212 5 24 42 41 00</t>
  </si>
  <si>
    <t>reservation@hivernage-hotel.com</t>
  </si>
  <si>
    <t>hivernage-hotel.com</t>
  </si>
  <si>
    <t>Importé de HEBERGEMENT. Quartier : Hivernage · Site : hivernage-hotel.com | Coord. complétée(s) depuis annuaire : tél [Ancien statut: Importé]</t>
  </si>
  <si>
    <t>Restaurant Leopard Marrakech</t>
  </si>
  <si>
    <t>Tél: +212 625 566 566</t>
  </si>
  <si>
    <t>Massage</t>
  </si>
  <si>
    <t>Restaurant festif</t>
  </si>
  <si>
    <t>400 €</t>
  </si>
  <si>
    <t>H207</t>
  </si>
  <si>
    <t>ACT092</t>
  </si>
  <si>
    <t>RES096</t>
  </si>
  <si>
    <t>Valeria Madina Club</t>
  </si>
  <si>
    <t>Route de Fès, 40000 Marrakech</t>
  </si>
  <si>
    <t>Restaurant MB Marrakech</t>
  </si>
  <si>
    <t>149 Rue Khalid Ben El Oualid, Guéliz</t>
  </si>
  <si>
    <t>+212 529 800 500</t>
  </si>
  <si>
    <t>Tél: +212 663 401 949</t>
  </si>
  <si>
    <t>Nuit Vibrante</t>
  </si>
  <si>
    <t>Gastronomique · table contemporaine</t>
  </si>
  <si>
    <t>Booking1@valeriahotels.com</t>
  </si>
  <si>
    <t>So Lounge Sofitel</t>
  </si>
  <si>
    <t>All inclusive — aussi guestexperience@clubmadina.com</t>
  </si>
  <si>
    <t>clubmadina.com</t>
  </si>
  <si>
    <t>Importé de HEBERGEMENT. Quartier : Route de Fès · Site : clubmadina.com | Coord. complétée(s) depuis annuaire : tél [Ancien statut: Importé]</t>
  </si>
  <si>
    <t>H208</t>
  </si>
  <si>
    <t>+212 524 425 600</t>
  </si>
  <si>
    <t>RES097</t>
  </si>
  <si>
    <t>Entrée</t>
  </si>
  <si>
    <t>Le Marocain - La Mamounia</t>
  </si>
  <si>
    <t>Pickalbatros Aqua Fun Club</t>
  </si>
  <si>
    <t>Avenue Bab Jdid</t>
  </si>
  <si>
    <t>Tél: +212 524 388 600</t>
  </si>
  <si>
    <t>ACT093</t>
  </si>
  <si>
    <t>Palace · institution gastronomique marocaine</t>
  </si>
  <si>
    <t>Km 18, Route de l'Ourika</t>
  </si>
  <si>
    <t>+212 5 24 48 77 00</t>
  </si>
  <si>
    <t>All inclusive — tél/email non trouvés (résa via pickalbatros.com)</t>
  </si>
  <si>
    <t>pickalbatros.com</t>
  </si>
  <si>
    <t>Importé de HEBERGEMENT. Quartier : Route de l'Ourika · Site : pickalbatros.com [Ancien statut: À compléter]</t>
  </si>
  <si>
    <t>RES098</t>
  </si>
  <si>
    <t>H209</t>
  </si>
  <si>
    <t>Parenthèse Nocturne</t>
  </si>
  <si>
    <t>Tél: +212 524 298 888</t>
  </si>
  <si>
    <t>Oasiria</t>
  </si>
  <si>
    <t>Gastronomique · marocaine contemporaine</t>
  </si>
  <si>
    <t>Kech Boutique Hotel &amp; Spa</t>
  </si>
  <si>
    <t>Zone Agdal, près Av. Mohamed VI</t>
  </si>
  <si>
    <t>+212 524 38 04 38</t>
  </si>
  <si>
    <t>RES099</t>
  </si>
  <si>
    <t>+212 524 388 787</t>
  </si>
  <si>
    <t>kechhotel.com</t>
  </si>
  <si>
    <t>Importé de HEBERGEMENT. Quartier : Agdal · Site : kechhotel.com | Coord. complétée(s) depuis annuaire : tél [Ancien statut: À compléter]</t>
  </si>
  <si>
    <t>Um Mami</t>
  </si>
  <si>
    <t>Sidi Ghanem</t>
  </si>
  <si>
    <t>H210</t>
  </si>
  <si>
    <t>Tél: +212 661 533 830</t>
  </si>
  <si>
    <t>Gastronomique · cofondateur de Noma</t>
  </si>
  <si>
    <t>ACT094</t>
  </si>
  <si>
    <t>Zalagh Kasbah Hotel</t>
  </si>
  <si>
    <t>Zone Touristique Agdal, Avenue Mohammed VI</t>
  </si>
  <si>
    <t>RES100</t>
  </si>
  <si>
    <t>+212 5 24 36 94 00</t>
  </si>
  <si>
    <t>contact@zalagh-hotelkasbah.com</t>
  </si>
  <si>
    <t>pas de site officiel actif (Facebook officiel)</t>
  </si>
  <si>
    <t>Importé de HEBERGEMENT. Quartier : Agdal | Coord. complétée(s) depuis annuaire : tél [Ancien statut: Importé]</t>
  </si>
  <si>
    <t>Maramia</t>
  </si>
  <si>
    <t>Jemaa el-Fna</t>
  </si>
  <si>
    <t>H211</t>
  </si>
  <si>
    <t>Mille et Une Nuits</t>
  </si>
  <si>
    <t>Ranch de Shemsy</t>
  </si>
  <si>
    <t>Tél: +212 663 704 823</t>
  </si>
  <si>
    <t>Gastronomique · maroco-levantine</t>
  </si>
  <si>
    <t>Wazo Hotel</t>
  </si>
  <si>
    <t>+212 714 410 455</t>
  </si>
  <si>
    <t>Boulevard Abdelkarim El Khattabi (route de Casablanca)</t>
  </si>
  <si>
    <t>Route de Casablanca</t>
  </si>
  <si>
    <t>Dîner Oriental</t>
  </si>
  <si>
    <t>RES101</t>
  </si>
  <si>
    <t>ACT095</t>
  </si>
  <si>
    <t>+212 5 24 29 84 00 / 01</t>
  </si>
  <si>
    <t>Ritzi Restaurant</t>
  </si>
  <si>
    <t>contact@hotelswazo.com</t>
  </si>
  <si>
    <t>Rue Zoubeir, Guéliz</t>
  </si>
  <si>
    <t>wazohotel.com</t>
  </si>
  <si>
    <t>Tél: +212 663 230 484</t>
  </si>
  <si>
    <t>Importé de HEBERGEMENT. Quartier : Route de Casablanca · Site : wazohotel.com | Coord. complétée(s) depuis annuaire : tél [Ancien statut: Importé]</t>
  </si>
  <si>
    <t>Gastronomique · cuisine moderne</t>
  </si>
  <si>
    <t>H212</t>
  </si>
  <si>
    <t>Soirée Légendaire</t>
  </si>
  <si>
    <t>RES102</t>
  </si>
  <si>
    <t>+212 524 24 43 69</t>
  </si>
  <si>
    <t>The White Dome Agafay</t>
  </si>
  <si>
    <t>Restaurant Le Grand Bazar Marrakech</t>
  </si>
  <si>
    <t>Tél: +212 682 542 513</t>
  </si>
  <si>
    <t>Restaurant</t>
  </si>
  <si>
    <t>ACT096</t>
  </si>
  <si>
    <t>Coordonnées non trouvées — à vérifier</t>
  </si>
  <si>
    <t>RES103</t>
  </si>
  <si>
    <t>H024</t>
  </si>
  <si>
    <t>Restaurant Chez Fatima</t>
  </si>
  <si>
    <t>Tél: +212 659 646 079</t>
  </si>
  <si>
    <t>Énergie Nocturne</t>
  </si>
  <si>
    <t>Azar Marrakech</t>
  </si>
  <si>
    <t>Dour Laarisa, désert d'El Mouktar, Agafay (~30 min de Marrakech)</t>
  </si>
  <si>
    <t>+212 684 112 112 / +212 684 113 113 ; réception +212 706 868 136</t>
  </si>
  <si>
    <t>RES104</t>
  </si>
  <si>
    <t>+212 684112112 (à confirmer)</t>
  </si>
  <si>
    <t>contact@agafayluxurycamp.com</t>
  </si>
  <si>
    <t>Tentes (jusqu'à 3 pers.) + villas/suites le long du canyon — piscine infinity, spa, day pass</t>
  </si>
  <si>
    <t>agafaydesertluxurycamp.com</t>
  </si>
  <si>
    <t>À construire</t>
  </si>
  <si>
    <t>Partenariat à formaliser [Ancien statut: À construire] | Fusion doublons : Agafay Luxury Camp (H213)</t>
  </si>
  <si>
    <t>ACT097</t>
  </si>
  <si>
    <t>H214</t>
  </si>
  <si>
    <t>Tél: +212 524 381 609</t>
  </si>
  <si>
    <t>Terra Nomad Camp</t>
  </si>
  <si>
    <t>RES105</t>
  </si>
  <si>
    <t>EVENEMENTIEL · structure SOLÝVENTS harmonisée · ✅ V1 vérifié (aligné 🔖 CODES DE RÉFÉRENCE)</t>
  </si>
  <si>
    <t>BABYSITTING / GARDE D'ENFANTS</t>
  </si>
  <si>
    <t>Marrakech KidCare</t>
  </si>
  <si>
    <t>Au lieu de séjour (hôtel / villa · sur demande)</t>
  </si>
  <si>
    <t>AK-SER · SÉRÉNITÉ PARENTS</t>
  </si>
  <si>
    <t>Probablement = Agafay Nomad Camp (agafaynomadcamp.com, privatisation possible) — à vérifier</t>
  </si>
  <si>
    <t>Mouassine</t>
  </si>
  <si>
    <t>Tél: +212 524 378 295</t>
  </si>
  <si>
    <t>H215</t>
  </si>
  <si>
    <t>RES106</t>
  </si>
  <si>
    <t>N/A (par prestation)</t>
  </si>
  <si>
    <t>Tous âges</t>
  </si>
  <si>
    <t>Nom prestataire</t>
  </si>
  <si>
    <t>Agences locales ~7,5 €/h (jour) · ~9,3 €/h (soirée) · ~60 €/8h. 20-25 €/h = conciergerie premium (surévalué ~2,5-3×).</t>
  </si>
  <si>
    <t>Email contact</t>
  </si>
  <si>
    <t>ACT098</t>
  </si>
  <si>
    <t>Téléphone direct</t>
  </si>
  <si>
    <t>Site internet / Portfolio</t>
  </si>
  <si>
    <t>Bivouac Lotus d'Or</t>
  </si>
  <si>
    <t>Instagram</t>
  </si>
  <si>
    <t>Zone intervention principale</t>
  </si>
  <si>
    <t>Le Bistro Arabe</t>
  </si>
  <si>
    <t>Riad Zitoun</t>
  </si>
  <si>
    <t>Tél: +212 524 429 646</t>
  </si>
  <si>
    <t>Intervention hors Marrakech</t>
  </si>
  <si>
    <t>Déplacement inclus dans tarif</t>
  </si>
  <si>
    <t>Rayon intervention (km)</t>
  </si>
  <si>
    <t>Tarif prestation type (€)</t>
  </si>
  <si>
    <t>Tarif jour entier (€)</t>
  </si>
  <si>
    <t>Équipe (nb personnes)</t>
  </si>
  <si>
    <t>Importé de HEBERGEMENT. [Ancien statut: À compléter]</t>
  </si>
  <si>
    <t>Matériel propre fourni</t>
  </si>
  <si>
    <t>STATUT CONTACT</t>
  </si>
  <si>
    <t>ÉVÉNEMENTS (EV)</t>
  </si>
  <si>
    <t>RES107</t>
  </si>
  <si>
    <t>H078</t>
  </si>
  <si>
    <t>EVENEMENTIEL</t>
  </si>
  <si>
    <t>EVT001</t>
  </si>
  <si>
    <t>+212 664 292 945</t>
  </si>
  <si>
    <t>Otto</t>
  </si>
  <si>
    <t>229 Rue Riad Zitoun el Jdid</t>
  </si>
  <si>
    <t>Tél: +212 707 734 136</t>
  </si>
  <si>
    <t>Al Maaden Villa Hotel &amp; Spa</t>
  </si>
  <si>
    <t>Rooftop · 12h00–02h00</t>
  </si>
  <si>
    <t>À confirmer (cf. standing ST)</t>
  </si>
  <si>
    <t>D. El Maâden, Marrakech 40000</t>
  </si>
  <si>
    <t>À préciser</t>
  </si>
  <si>
    <t>ACT099</t>
  </si>
  <si>
    <t>+212 5 24 40 68 54</t>
  </si>
  <si>
    <t>reservation@alhif.com</t>
  </si>
  <si>
    <t>https://almaadenvillahotel.com</t>
  </si>
  <si>
    <t>@almaadenvillahotel</t>
  </si>
  <si>
    <t>RES108</t>
  </si>
  <si>
    <t>https://www.facebook.com/almaadenvillahotel</t>
  </si>
  <si>
    <t>Catégorie d'origine : COLLECTION PRIVEE</t>
  </si>
  <si>
    <t>PUB-GRP · PUB-FAM · PUB-CPL</t>
  </si>
  <si>
    <t>Privatisation · mariage · séminaire · anniversaire</t>
  </si>
  <si>
    <t>H032</t>
  </si>
  <si>
    <t>Yes My Event</t>
  </si>
  <si>
    <t>Atelier Lamsaty</t>
  </si>
  <si>
    <t>Restaurant Dardar Rooftop Marrakech</t>
  </si>
  <si>
    <t>yesmyevent@gmail.com</t>
  </si>
  <si>
    <t>Sidi Ghanem (zone artisanale)</t>
  </si>
  <si>
    <t>+212 700 646 838</t>
  </si>
  <si>
    <t>AK-CRE · CRÉATIF &amp; LUDIQUE</t>
  </si>
  <si>
    <t>yesmyevent.com</t>
  </si>
  <si>
    <t>4 Riad Zitoun Lakdim</t>
  </si>
  <si>
    <t>@yesmyevent</t>
  </si>
  <si>
    <t>Tél: +212 623 611 121</t>
  </si>
  <si>
    <t>Marrakech · Maroc · International</t>
  </si>
  <si>
    <t>Rooftop · 18h00–02h00</t>
  </si>
  <si>
    <t>À qualifier (contact direct)</t>
  </si>
  <si>
    <t>Ksar Char-Bagh Small Luxury Hotels</t>
  </si>
  <si>
    <t>NC — selon prestation</t>
  </si>
  <si>
    <t>La Palmeraie, Route de Fez, Marrakech</t>
  </si>
  <si>
    <t>Identifié (web)</t>
  </si>
  <si>
    <t>Dès 3 ans</t>
  </si>
  <si>
    <t>8 ans d'expérience · FR/EN · 7j/7 sur RDV · FB facebook.com/yesmyevent · adresse 197 rue Mohamed El Beqal, Rés. Firdaous, Guéliz · mariages = 80% activité</t>
  </si>
  <si>
    <t>28-48 €/enfant (Lamsaty ~28 · LMA 33-68). Adulte accompagnant NON gratuit (facturé/participant).</t>
  </si>
  <si>
    <t>EV-MAR · EV-AFE · EV-EVJF · EV-EVG</t>
  </si>
  <si>
    <t>ACT100</t>
  </si>
  <si>
    <t>RES109</t>
  </si>
  <si>
    <t>PUB-GRP · PUB-CPL · PUB-PRO</t>
  </si>
  <si>
    <t>+212 5 24 32 92 44</t>
  </si>
  <si>
    <t>Mariage · anniversaire · EVJF/EVG · corporate</t>
  </si>
  <si>
    <t>+212 661 917 233</t>
  </si>
  <si>
    <t>resa@ksarcharbagh.fr</t>
  </si>
  <si>
    <t>https://www.hotelksarcharbagh.com</t>
  </si>
  <si>
    <t>@ksarcharbagh</t>
  </si>
  <si>
    <t>EVT002</t>
  </si>
  <si>
    <t>https://www.facebook.com/ksarcharbagh</t>
  </si>
  <si>
    <t>LAB-SLH · SMALL LUXURY HOTELS</t>
  </si>
  <si>
    <t>Le Slimana Restaurant &amp; Rooftop</t>
  </si>
  <si>
    <t>Ateliers d'Ailleurs</t>
  </si>
  <si>
    <t>Kaat Benahid</t>
  </si>
  <si>
    <t>Médina / Guéliz (sur RDV)</t>
  </si>
  <si>
    <t>H098</t>
  </si>
  <si>
    <t>53 Kaat Benahid</t>
  </si>
  <si>
    <t>Tél: +212 524 429 169</t>
  </si>
  <si>
    <t>Rooftop · Selon saison</t>
  </si>
  <si>
    <t>Wedding Planner Marrakech (David &amp; Marianne)</t>
  </si>
  <si>
    <t>marianne@villatajmarrakech.com</t>
  </si>
  <si>
    <t>À compléter (contact direct)</t>
  </si>
  <si>
    <t>ACT101</t>
  </si>
  <si>
    <t>wedding-planner-marrakech.com</t>
  </si>
  <si>
    <t>La Villa Nomade</t>
  </si>
  <si>
    <t>Marrakech · Maroc</t>
  </si>
  <si>
    <t>7 Derb El Martstane, Bab Taghzout, Médina</t>
  </si>
  <si>
    <t>RES110</t>
  </si>
  <si>
    <t>+212 5 24 38 50 10</t>
  </si>
  <si>
    <t>À compléter (email)</t>
  </si>
  <si>
    <t>La Pergola</t>
  </si>
  <si>
    <t>4 Derb Lahbab, Riad Zitoun Lakdim</t>
  </si>
  <si>
    <t>10+ ans · bureaux Paris &amp; Marrakech · opère la Villa Taj · villa/riad/désert</t>
  </si>
  <si>
    <t>Pottery Class Marrakech – Zellij Classes</t>
  </si>
  <si>
    <t>Jazz Rooftop · 12h00–23h00</t>
  </si>
  <si>
    <t>EV-MAR · EV-ANV · EV-SEM</t>
  </si>
  <si>
    <t>Zellij Classes</t>
  </si>
  <si>
    <t>Marrakech (transport inclus)</t>
  </si>
  <si>
    <t>PUB-CPL · PUB-GRP · PUB-PRO</t>
  </si>
  <si>
    <t>Mariage · séminaire · anniversaire</t>
  </si>
  <si>
    <t>H140</t>
  </si>
  <si>
    <t>EVT003</t>
  </si>
  <si>
    <t>ACT102</t>
  </si>
  <si>
    <t>Palais Beit Al Noor</t>
  </si>
  <si>
    <t>RES111</t>
  </si>
  <si>
    <t>près Mosquée Sidi Abd El Aziz, Médina</t>
  </si>
  <si>
    <t>Myrvette Consulting</t>
  </si>
  <si>
    <t>+212 661 40 80 76</t>
  </si>
  <si>
    <t>myrvetteconsulting.com</t>
  </si>
  <si>
    <t>Coopérative de poterie Naciri Mzouda</t>
  </si>
  <si>
    <t>Coopérative Naciri Mzouda</t>
  </si>
  <si>
    <t>Nessma Rooftop</t>
  </si>
  <si>
    <t>+212 6 00 61 16 04</t>
  </si>
  <si>
    <t>25 Rue El Gza</t>
  </si>
  <si>
    <t>Tél: +212 751 547 607</t>
  </si>
  <si>
    <t>Formulaire web / contact direct</t>
  </si>
  <si>
    <t>Rooftop · 10h00–23h00</t>
  </si>
  <si>
    <t>À compléter (IG)</t>
  </si>
  <si>
    <t>Événementiel corporate &amp; privé · décoration · location matériel · production clé en main</t>
  </si>
  <si>
    <t>EV-SEM · EV-MAR · EV-NET · EV-GALA</t>
  </si>
  <si>
    <t>ACT103</t>
  </si>
  <si>
    <t>H089</t>
  </si>
  <si>
    <t>PUB-PRO · PUB-GRP</t>
  </si>
  <si>
    <t>Séminaire · mariage · networking · gala</t>
  </si>
  <si>
    <t>EVT004</t>
  </si>
  <si>
    <t>RES112</t>
  </si>
  <si>
    <t>Jardin Anima – André Heller</t>
  </si>
  <si>
    <t>Jardin Anima</t>
  </si>
  <si>
    <t>Route d'Ourika (~30 min)</t>
  </si>
  <si>
    <t>+212 666 56 17 76</t>
  </si>
  <si>
    <t>Rooftop Restaurant El Kennaria</t>
  </si>
  <si>
    <t>Derb Dabachi</t>
  </si>
  <si>
    <t>Luxurious Villa with private pool - Kasbah Conti</t>
  </si>
  <si>
    <t>10 Rue El Kennaria, Derb Dabachi</t>
  </si>
  <si>
    <t>À compléter (cf. quartier)</t>
  </si>
  <si>
    <t>Tél: +212 713 510 620</t>
  </si>
  <si>
    <t>Maev Maroc</t>
  </si>
  <si>
    <t>Rooftop · 08h00–23h30</t>
  </si>
  <si>
    <t>info@maevmaroc.com</t>
  </si>
  <si>
    <t>+212 662 42 68 30</t>
  </si>
  <si>
    <t>ACT104</t>
  </si>
  <si>
    <t>maevmaroc.com</t>
  </si>
  <si>
    <t>Tél secondaire +212 659 91 57 85 · prestataires triés · accompagnement à distance</t>
  </si>
  <si>
    <t>Kidzo Marrakech</t>
  </si>
  <si>
    <t>EV-MAR · EV-FIA</t>
  </si>
  <si>
    <t>Kidzo</t>
  </si>
  <si>
    <t>Menara Mall</t>
  </si>
  <si>
    <t>AK-CRE · CRÉATIF &amp; LUDIQUE · AK-SER · SÉRÉNITÉ PARENTS</t>
  </si>
  <si>
    <t>RES113</t>
  </si>
  <si>
    <t>Mariage · fiançailles</t>
  </si>
  <si>
    <t>EVT005</t>
  </si>
  <si>
    <t>H083</t>
  </si>
  <si>
    <t>ACT105</t>
  </si>
  <si>
    <t>MK ROOFTOP Marrakech</t>
  </si>
  <si>
    <t>Souk Laksour</t>
  </si>
  <si>
    <t>14 Derb Sebaai, Souk Laksour</t>
  </si>
  <si>
    <t>Tél: +212 702 084 555</t>
  </si>
  <si>
    <t>Rooftop &amp; Cocktails · 14h00–02h00</t>
  </si>
  <si>
    <t>Kidz Ville</t>
  </si>
  <si>
    <t>La Perle Events</t>
  </si>
  <si>
    <t>Centre commercial Al Mazar</t>
  </si>
  <si>
    <t>contact@la-perle-events.com</t>
  </si>
  <si>
    <t>NOMMOS Beach RESORT &amp; POOL CLUB</t>
  </si>
  <si>
    <t>la-perle-events.com</t>
  </si>
  <si>
    <t>Bd Mohammed VI, Marrakech 40050</t>
  </si>
  <si>
    <t>Marrakech · International</t>
  </si>
  <si>
    <t>RES114</t>
  </si>
  <si>
    <t>ACT106</t>
  </si>
  <si>
    <t>+212 7 67 34 39 31</t>
  </si>
  <si>
    <t>Fondatrice Siham (FR/FI/MA) · destination weddings · 4 forfaits · nb limité de mariages/an · FB laperlemarrakech · Guéliz (Rés. la Perle, angle Rue Mauritanie &amp; Bd Mansour Eddehbi)</t>
  </si>
  <si>
    <t>EV-MAR · EV-FIA · EV-SEM</t>
  </si>
  <si>
    <t>COCO ROOFTOP RESTAURANT</t>
  </si>
  <si>
    <t>Palooza Land</t>
  </si>
  <si>
    <t>Route Dar Daou</t>
  </si>
  <si>
    <t>Tél: +212 688 463 591</t>
  </si>
  <si>
    <t>Rooftop · 11h30–00h30</t>
  </si>
  <si>
    <t>H031</t>
  </si>
  <si>
    <t>Mariage · retraite · corporate · shooting</t>
  </si>
  <si>
    <t>+212 661 63 50 95</t>
  </si>
  <si>
    <t>EVT006</t>
  </si>
  <si>
    <t>ACT107</t>
  </si>
  <si>
    <t>Palais Ronsard Relais &amp; Chateaux</t>
  </si>
  <si>
    <t>RES115</t>
  </si>
  <si>
    <t>Propriété Salah 7 Abyad, Palmeraie, Marrakech</t>
  </si>
  <si>
    <t>+212 5 24 29 86 00</t>
  </si>
  <si>
    <t>NAMA ROOFTOP MARRAKECH</t>
  </si>
  <si>
    <t>Bowling Almazar</t>
  </si>
  <si>
    <t>Party Maroc</t>
  </si>
  <si>
    <t>LAB-RC · RELAIS &amp; CHÂTEAUX</t>
  </si>
  <si>
    <t>+212 651 297 145</t>
  </si>
  <si>
    <t>partymarocmarrakech.com</t>
  </si>
  <si>
    <t>H191</t>
  </si>
  <si>
    <t>ACT108</t>
  </si>
  <si>
    <t>RES116</t>
  </si>
  <si>
    <t>Formulaire web (tél OK)</t>
  </si>
  <si>
    <t>Carnet d'adresses prestataires (violonistes, pâtissiers, tailleurs, mixologues…)</t>
  </si>
  <si>
    <t>Tahnaout · Atlas (~30 km)</t>
  </si>
  <si>
    <t>EV-EVJF · EV-EVG · EV-MAR</t>
  </si>
  <si>
    <t>Villa Akhdar 5</t>
  </si>
  <si>
    <t>+212 662 30 05 49</t>
  </si>
  <si>
    <t>Lily Billy</t>
  </si>
  <si>
    <t>Domaine Akhdar, 17 Route de Ouarzazate</t>
  </si>
  <si>
    <t>Centre d'Affaires Opéra, angle Rue Loubnane &amp; Rue Hassania, Guéliz</t>
  </si>
  <si>
    <t>EVJF · EVG · mariage</t>
  </si>
  <si>
    <t>Tél: +212 808 529 976</t>
  </si>
  <si>
    <t>Brunch · tendance, expatriés/premium</t>
  </si>
  <si>
    <t>ACT109</t>
  </si>
  <si>
    <t>EVT007</t>
  </si>
  <si>
    <t>+33 6 64 69 60 24</t>
  </si>
  <si>
    <t>RES117</t>
  </si>
  <si>
    <t>H060</t>
  </si>
  <si>
    <t>Lili &amp; Oli</t>
  </si>
  <si>
    <t>Route de Targa</t>
  </si>
  <si>
    <t>Kickoff Academy, Route de Targa</t>
  </si>
  <si>
    <t>Mariage Marrakech Maroc</t>
  </si>
  <si>
    <t>Tél: +212 667 979 185</t>
  </si>
  <si>
    <t>Brunch · grand choix, cadre familial</t>
  </si>
  <si>
    <t>+212 661 94 92 54</t>
  </si>
  <si>
    <t>mariage-marrakech-maroc.com</t>
  </si>
  <si>
    <t>Yoga lever du soleil</t>
  </si>
  <si>
    <t>Om Yoga Marrakech</t>
  </si>
  <si>
    <t>Villa Al Assala Palmeraie</t>
  </si>
  <si>
    <t>Km4 Route de Fès, Palmeraie, Marrakech</t>
  </si>
  <si>
    <t>Équipe senior · scénographes · artistes floraux · réseau traiteurs/DJ/transferts 15+ ans</t>
  </si>
  <si>
    <t>RES118</t>
  </si>
  <si>
    <t>+212 5 24 32 82 88</t>
  </si>
  <si>
    <t>Studio 14-25 € · offre touristique/hôtel 27-55 €.</t>
  </si>
  <si>
    <t>EVT008</t>
  </si>
  <si>
    <t>ACT110</t>
  </si>
  <si>
    <t>Mandala Society</t>
  </si>
  <si>
    <t>20 bis Rue de la Koutoubia</t>
  </si>
  <si>
    <t>Tél: +212 665 665 446</t>
  </si>
  <si>
    <t>Healthy Brunch · haut de gamme</t>
  </si>
  <si>
    <t>H145</t>
  </si>
  <si>
    <t>Mille Events</t>
  </si>
  <si>
    <t>@mille.events</t>
  </si>
  <si>
    <t>RES119</t>
  </si>
  <si>
    <t>Villa Aman</t>
  </si>
  <si>
    <t>À confirmer (tarif)</t>
  </si>
  <si>
    <t>Marrakech Yoga Studio</t>
  </si>
  <si>
    <t>Production événementielle · décoration/lumières/sonorisation · partenaires DJ/orchestre/traiteur</t>
  </si>
  <si>
    <t>Mozaik</t>
  </si>
  <si>
    <t>EV-MAR · EV-SEM · EV-GALA</t>
  </si>
  <si>
    <t>91 Avenue Hommane El Fetouaki, Guéliz</t>
  </si>
  <si>
    <t>Tél: +212 665 915 278</t>
  </si>
  <si>
    <t>Mariage · séminaire · production scénique</t>
  </si>
  <si>
    <t>Brunch · bon rapport qualité/prix</t>
  </si>
  <si>
    <t>+212 525 08 15 15</t>
  </si>
  <si>
    <t>EVT009</t>
  </si>
  <si>
    <t>ACT111</t>
  </si>
  <si>
    <t>H193</t>
  </si>
  <si>
    <t>RES120</t>
  </si>
  <si>
    <t>Service Marrakech</t>
  </si>
  <si>
    <t>SB Café</t>
  </si>
  <si>
    <t>15 bis Rue Mohamed El Beqal, Guéliz</t>
  </si>
  <si>
    <t>Tél: +212 525 307 709</t>
  </si>
  <si>
    <t>Café Brunch · café de spécialité</t>
  </si>
  <si>
    <t>Amanjena Wellness</t>
  </si>
  <si>
    <t>Traiteur mariage 20 à 350 couverts · note 5,0 sur mariages.net</t>
  </si>
  <si>
    <t>Villa Amira</t>
  </si>
  <si>
    <t>EV-MAR · EV-GALA</t>
  </si>
  <si>
    <t>Mariage · gala · réception</t>
  </si>
  <si>
    <t>EVT010</t>
  </si>
  <si>
    <t>RES121</t>
  </si>
  <si>
    <t>ACT112</t>
  </si>
  <si>
    <t>Americana Brunch &amp; Cake M Avenue</t>
  </si>
  <si>
    <t>M Avenue, Marrakech</t>
  </si>
  <si>
    <t>Tél: +212 808 670 652</t>
  </si>
  <si>
    <t>Brunch · adresse premium tendance</t>
  </si>
  <si>
    <t>Morevent</t>
  </si>
  <si>
    <t>H219</t>
  </si>
  <si>
    <t>mor-event.com</t>
  </si>
  <si>
    <t>Traiteur + animation · menus marocain/international sur-mesure · clé en main</t>
  </si>
  <si>
    <t>EV-MAR · EV-GALA · EV-DIN</t>
  </si>
  <si>
    <t>Villa Grace Marrakech</t>
  </si>
  <si>
    <t>37 Amelkis, Marrakech 40000</t>
  </si>
  <si>
    <t>Amelkis</t>
  </si>
  <si>
    <t>Mariage · gala · dîner privé</t>
  </si>
  <si>
    <t>RES122</t>
  </si>
  <si>
    <t>EVT011</t>
  </si>
  <si>
    <t>+212 7 01 09 41 06</t>
  </si>
  <si>
    <t>ACT113</t>
  </si>
  <si>
    <t>Brunch Terrasses</t>
  </si>
  <si>
    <t>Rue Camille Cabana, Guéliz</t>
  </si>
  <si>
    <t>Tél: +212 524 439 627</t>
  </si>
  <si>
    <t>Traiteur Ksar Char-Bagh</t>
  </si>
  <si>
    <t>H220</t>
  </si>
  <si>
    <t>Rooftop Brunch · clientèle internationale</t>
  </si>
  <si>
    <t>+212 524 32 92 44</t>
  </si>
  <si>
    <t>marrakech-traiteur.com</t>
  </si>
  <si>
    <t>Marrakech · Palmeraie</t>
  </si>
  <si>
    <t>Traiteur de prestige · Djnan Abiad, La Palmeraie · cuisine d'auteur · cake design</t>
  </si>
  <si>
    <t>Villa Imperiale</t>
  </si>
  <si>
    <t>RES123</t>
  </si>
  <si>
    <t>Mandarin Oriental Wellness</t>
  </si>
  <si>
    <t>EVT012</t>
  </si>
  <si>
    <t>BELDI BRUNCH</t>
  </si>
  <si>
    <t>Rue Moulay Abdellah</t>
  </si>
  <si>
    <t>Tél: +212 660 801 873</t>
  </si>
  <si>
    <t>Brunch marocain traditionnel</t>
  </si>
  <si>
    <t>ACT114</t>
  </si>
  <si>
    <t>H141</t>
  </si>
  <si>
    <t>Kech Prestige</t>
  </si>
  <si>
    <t>+212 622 86 12 28</t>
  </si>
  <si>
    <t>conciergerie-kechprestige.com</t>
  </si>
  <si>
    <t>RES124</t>
  </si>
  <si>
    <t>Villa Jardin Nomad</t>
  </si>
  <si>
    <t>Conciergerie de luxe 7j/7 · sélection prestataires (traiteur, salle, mobilier, DJ, animation) · hébergement/transport</t>
  </si>
  <si>
    <t>Fine Mama Restaurant &amp; Rooftop</t>
  </si>
  <si>
    <t>EV-AUT · EV-MAR · EV-SEM</t>
  </si>
  <si>
    <t>89 Passage Prince Moulay Rachid</t>
  </si>
  <si>
    <t>Park Hyatt Wellness</t>
  </si>
  <si>
    <t>PUB-PRO · PUB-CPL · PUB-GRP</t>
  </si>
  <si>
    <t>Tél: +212 525 610 600</t>
  </si>
  <si>
    <t>Conciergerie · mariage · séminaire · sur-mesure</t>
  </si>
  <si>
    <t>Rooftop · brunchs/déjeuners</t>
  </si>
  <si>
    <t>EVT013</t>
  </si>
  <si>
    <t>+212 613 41 08 08</t>
  </si>
  <si>
    <t>ACT115</t>
  </si>
  <si>
    <t>RES125</t>
  </si>
  <si>
    <t>M8TE</t>
  </si>
  <si>
    <t>H194</t>
  </si>
  <si>
    <t>+33 6 95 31 01 78</t>
  </si>
  <si>
    <t>djmarrakech.com</t>
  </si>
  <si>
    <t>Marrakech &amp; région</t>
  </si>
  <si>
    <t>Oberoi Spa</t>
  </si>
  <si>
    <t>Agence DJ &amp; artistes : DJ, musiciens (violon/guitare/sax), live bands, performers, magiciens, danseurs · sonorisation &amp; éclairage · alias m8te.fr</t>
  </si>
  <si>
    <t>Villa Jasmin Marrakech</t>
  </si>
  <si>
    <t>EV-MAR · EV-AFE · EV-SEM</t>
  </si>
  <si>
    <t>Domaine Royal Palm</t>
  </si>
  <si>
    <t>+212 693 95 37 78</t>
  </si>
  <si>
    <t>PUB-GRP · PUB-PRO</t>
  </si>
  <si>
    <t>Mariage · anniversaire · corporate · soirée</t>
  </si>
  <si>
    <t>ACT116</t>
  </si>
  <si>
    <t>EVT014</t>
  </si>
  <si>
    <t>RES126</t>
  </si>
  <si>
    <t>H087</t>
  </si>
  <si>
    <t>contact.soulchic@gmail.com</t>
  </si>
  <si>
    <t>+212 674 17 73 35</t>
  </si>
  <si>
    <t>djsoulchic.com</t>
  </si>
  <si>
    <t>@urban_cultur.ma</t>
  </si>
  <si>
    <t>Selman Spa</t>
  </si>
  <si>
    <t>Villa K by Studio KO</t>
  </si>
  <si>
    <t>DJ producer national · afro house / club / hip-hop · fondateur @dwipa_records</t>
  </si>
  <si>
    <t>Route d'Amizmiz (Tagadert)</t>
  </si>
  <si>
    <t>EV-MAR · EV-EVJF · EV-AFE</t>
  </si>
  <si>
    <t>Mariage · soirée privée · EVJF</t>
  </si>
  <si>
    <t>EVT015</t>
  </si>
  <si>
    <t>ACT117</t>
  </si>
  <si>
    <t>RES127</t>
  </si>
  <si>
    <t>H085</t>
  </si>
  <si>
    <t>DJ Jérem Animation</t>
  </si>
  <si>
    <t>Bacha Coffee (Dar el Bacha)</t>
  </si>
  <si>
    <t>+212 6 88 42 89 18</t>
  </si>
  <si>
    <t>Villa Makassar</t>
  </si>
  <si>
    <t>20 Derb Chtouka, Kasbah, Médina</t>
  </si>
  <si>
    <t>Fairmont Royal Palm Wellness</t>
  </si>
  <si>
    <t>DJ professionnel français implanté à Marrakech · matériel pro · répertoire large (réf. mariage-marocain.com)</t>
  </si>
  <si>
    <t>EV-MAR · EV-AFE</t>
  </si>
  <si>
    <t>+212 5 24 39 19 26</t>
  </si>
  <si>
    <t>RES128</t>
  </si>
  <si>
    <t>Mariage · anniversaire · soirée</t>
  </si>
  <si>
    <t>EVT016</t>
  </si>
  <si>
    <t>H130</t>
  </si>
  <si>
    <t>ACT118</t>
  </si>
  <si>
    <t>Lypictures Wedding</t>
  </si>
  <si>
    <t>lypictures.fr</t>
  </si>
  <si>
    <t>VILLA NORIA</t>
  </si>
  <si>
    <t>Photographe + vidéaste 15 ans (FR puis Marrakech) · style cinématographique</t>
  </si>
  <si>
    <t>RES129</t>
  </si>
  <si>
    <t>Four Seasons Spa</t>
  </si>
  <si>
    <t>Mariage · film</t>
  </si>
  <si>
    <t>EVT017</t>
  </si>
  <si>
    <t>H144</t>
  </si>
  <si>
    <t>+212 529 80 82 00</t>
  </si>
  <si>
    <t>La Grande Table Marocaine (Royal Mansour)</t>
  </si>
  <si>
    <t>ACT119</t>
  </si>
  <si>
    <t>Sylvain Bouzat</t>
  </si>
  <si>
    <t>Villa Tazegzout</t>
  </si>
  <si>
    <t>sylvain-bouzat-photographe-mariage.com</t>
  </si>
  <si>
    <t>RES130</t>
  </si>
  <si>
    <t>Photographe pro de mariage depuis 2009 (Maroc/France/étranger) · reportage créatif &amp; éditorial</t>
  </si>
  <si>
    <t>Pilates</t>
  </si>
  <si>
    <t>Mariage · reportage · séance couple</t>
  </si>
  <si>
    <t>H088</t>
  </si>
  <si>
    <t>EVT018</t>
  </si>
  <si>
    <t>29-37 €/séance (Reformer). Souvent en forfaits.</t>
  </si>
  <si>
    <t>ACT120</t>
  </si>
  <si>
    <t>Villa Tiffany NORIA GOLF</t>
  </si>
  <si>
    <t>Menara Image</t>
  </si>
  <si>
    <t>Noria Golf</t>
  </si>
  <si>
    <t>+212 667 30 95 19</t>
  </si>
  <si>
    <t>menara-image.com</t>
  </si>
  <si>
    <t>RES131</t>
  </si>
  <si>
    <t>Équipe photo + vidéo (caméraman) spécialisée mariage Marrakech</t>
  </si>
  <si>
    <t>Mariage · vidéo · photo</t>
  </si>
  <si>
    <t>Pilates Marrakech Studio</t>
  </si>
  <si>
    <t>H074</t>
  </si>
  <si>
    <t>EVT019</t>
  </si>
  <si>
    <t>+212 524 44 12 34</t>
  </si>
  <si>
    <t>YIN HOTEL &amp; SPA</t>
  </si>
  <si>
    <t>ACT121</t>
  </si>
  <si>
    <t>Photographer Marrakech (Mohamed)</t>
  </si>
  <si>
    <t>photographer-marrakech.com</t>
  </si>
  <si>
    <t>+212 612 73 74 73</t>
  </si>
  <si>
    <t>RES132</t>
  </si>
  <si>
    <t>Photographe + vidéaste + pilote drone pro · studio · immobilier/tourisme/événement</t>
  </si>
  <si>
    <t>EV-MAR · EV-SEM</t>
  </si>
  <si>
    <t>Royal Mansour Wellness</t>
  </si>
  <si>
    <t>Mariage · corporate · vues aériennes</t>
  </si>
  <si>
    <t>EVT020</t>
  </si>
  <si>
    <t>H063</t>
  </si>
  <si>
    <t>So Lounge (Sofitel)</t>
  </si>
  <si>
    <t>ACT122</t>
  </si>
  <si>
    <t>Adil Youri Photography</t>
  </si>
  <si>
    <t>+212 679 04 25 28</t>
  </si>
  <si>
    <t>Douar Abiad, Circuit De La Palmeraie, Bp 513</t>
  </si>
  <si>
    <t>maroc-photographe.com</t>
  </si>
  <si>
    <t>RES133</t>
  </si>
  <si>
    <t>Photographe mariage Marrakech &amp; tout le Maroc · équipe · alias marrakech-photographe.com</t>
  </si>
  <si>
    <t>contact@les-deux-tours.com</t>
  </si>
  <si>
    <t>Direction Marketing &amp; Réservation</t>
  </si>
  <si>
    <t>https://www.les-deux-tours.com</t>
  </si>
  <si>
    <t>@lesdeuxtours</t>
  </si>
  <si>
    <t>Mariage · reportage</t>
  </si>
  <si>
    <t>Bo-Zin</t>
  </si>
  <si>
    <t>EVT021</t>
  </si>
  <si>
    <t>H076</t>
  </si>
  <si>
    <t>ACT123</t>
  </si>
  <si>
    <t>Cécile Creiche</t>
  </si>
  <si>
    <t>cecilecreiche.com</t>
  </si>
  <si>
    <t>Domaine Des Remparts Hotel &amp; Spa</t>
  </si>
  <si>
    <t>Km 4 Route De Fes - BP 2708,</t>
  </si>
  <si>
    <t>Femme photographe de mariage · nommée par Vogue parmi 4 meilleurs · recommandée hôtels de prestige</t>
  </si>
  <si>
    <t>Mariage · henné · préparatifs</t>
  </si>
  <si>
    <t>+212 524 327060</t>
  </si>
  <si>
    <t>EVT022</t>
  </si>
  <si>
    <t>reservation@domainesdesremparts.com</t>
  </si>
  <si>
    <t>Importé de HEBERGEMENT. Quartier : Palmeraie | Coord. complétée(s) depuis annuaire : tél [Ancien statut: Importé]</t>
  </si>
  <si>
    <t>H086</t>
  </si>
  <si>
    <t>ACT124</t>
  </si>
  <si>
    <t>La Signature Florale</t>
  </si>
  <si>
    <t>+212 7 67 23 56 04</t>
  </si>
  <si>
    <t>lasignatureflorale.com</t>
  </si>
  <si>
    <t>Riad Dar-K</t>
  </si>
  <si>
    <t>Décoration florale mariage/événements · bouquets · box florale · location matériel · création de jardins</t>
  </si>
  <si>
    <t>Oberoi Wellness</t>
  </si>
  <si>
    <t>+212 808 54 44 09</t>
  </si>
  <si>
    <t>Mariage · événement · décoration florale</t>
  </si>
  <si>
    <t>EVT023</t>
  </si>
  <si>
    <t>H092</t>
  </si>
  <si>
    <t>ACT125</t>
  </si>
  <si>
    <t>Fleuriste Marrakech</t>
  </si>
  <si>
    <t>contact@fleuriste-marrakech.com</t>
  </si>
  <si>
    <t>+212 646 808 770</t>
  </si>
  <si>
    <t>fleuriste-marrakech.com</t>
  </si>
  <si>
    <t>Villa Dinari</t>
  </si>
  <si>
    <t>Alpha 41, Lotissement Bouazaoui, Route de Ouarzazate</t>
  </si>
  <si>
    <t>Décoration florale mariage : arches, lustres floraux, arrangements · devis sur mesure</t>
  </si>
  <si>
    <t>Mariage · arches &amp; lustres floraux</t>
  </si>
  <si>
    <t>+212 524 328922</t>
  </si>
  <si>
    <t>EVT024</t>
  </si>
  <si>
    <t>https://www.villadinari.com</t>
  </si>
  <si>
    <t>Importé de HEBERGEMENT. Quartier : Route de Ouarzazate · Site : https://www.villadinari.com | Coord. complétée(s) depuis annuaire : tél [Ancien statut: Importé]</t>
  </si>
  <si>
    <t>H033</t>
  </si>
  <si>
    <t>Ereka Fleuriste</t>
  </si>
  <si>
    <t>+212 660 78 88 04</t>
  </si>
  <si>
    <t>erekafleuriste.com</t>
  </si>
  <si>
    <t>La villa des orangers</t>
  </si>
  <si>
    <t>6, rue Mimoun, Place Ben Tachfine</t>
  </si>
  <si>
    <t>ACT126</t>
  </si>
  <si>
    <t>Bouquets de mariée · décoration florale &amp; centres de table · arche florale · mise en scène</t>
  </si>
  <si>
    <t>Mariage · décoration salle · centres de table</t>
  </si>
  <si>
    <t>Service Réservation Commerciale</t>
  </si>
  <si>
    <t>https://www.villadesorangers.com</t>
  </si>
  <si>
    <t>@villadesorangers</t>
  </si>
  <si>
    <t>EVT025</t>
  </si>
  <si>
    <t>H133</t>
  </si>
  <si>
    <t>Kechflora</t>
  </si>
  <si>
    <t>+212 661 84 91 47</t>
  </si>
  <si>
    <t>VILLA ZIN</t>
  </si>
  <si>
    <t>kechflora.com</t>
  </si>
  <si>
    <t>Route de l'Ourika, ~30 min de Jemaa El Fna</t>
  </si>
  <si>
    <t>+212 524 34 20 85</t>
  </si>
  <si>
    <t>Fleuriste / design floral Marrakech · créations événementielles · fleurs de saison locales</t>
  </si>
  <si>
    <t>Privatisation exclusive 2-16 pers., 800 m² / parc 12 000 m² — frais événements en sus</t>
  </si>
  <si>
    <t>villazin.com</t>
  </si>
  <si>
    <t>+212 660 75 66 99</t>
  </si>
  <si>
    <t>Importé de HEBERGEMENT. Quartier : Route de l'Ourika · Site : villazin.com [Ancien statut: À compléter]</t>
  </si>
  <si>
    <t>EVT026</t>
  </si>
  <si>
    <t>ACT127</t>
  </si>
  <si>
    <t>H142</t>
  </si>
  <si>
    <t>Agence événementielle &amp; wedding planner</t>
  </si>
  <si>
    <t>À qualifier</t>
  </si>
  <si>
    <t>Villa A&amp;N</t>
  </si>
  <si>
    <t>Tous publics</t>
  </si>
  <si>
    <t>EVT027</t>
  </si>
  <si>
    <t>Trésors de Claire</t>
  </si>
  <si>
    <t>+212 677 51 87 67</t>
  </si>
  <si>
    <t>tresorsdeclaire.com</t>
  </si>
  <si>
    <t>Introuvable sous ce nom — à vérifier</t>
  </si>
  <si>
    <t>EVT028</t>
  </si>
  <si>
    <t>H146</t>
  </si>
  <si>
    <t>Flytographer Marrakech</t>
  </si>
  <si>
    <t>Agence mariage haut de gamme (15+ ans)</t>
  </si>
  <si>
    <t>EVT029</t>
  </si>
  <si>
    <t>Villa Ania</t>
  </si>
  <si>
    <t>ZinEvent Marrakech</t>
  </si>
  <si>
    <t>zineventt@gmail.com</t>
  </si>
  <si>
    <t>+212 665 914 756</t>
  </si>
  <si>
    <t>zineventmarrakech.com</t>
  </si>
  <si>
    <t>ACT128</t>
  </si>
  <si>
    <t>Contact obtenu (web)</t>
  </si>
  <si>
    <t>Event planning · mariages/galas</t>
  </si>
  <si>
    <t>EVT030</t>
  </si>
  <si>
    <t>Maroc Sensations</t>
  </si>
  <si>
    <t>marocsensationsevents@gmail.com</t>
  </si>
  <si>
    <t>+212 636 047 320</t>
  </si>
  <si>
    <t>marocsensations-weddingplanner.com</t>
  </si>
  <si>
    <t>H058</t>
  </si>
  <si>
    <t>Wedding planner de luxe</t>
  </si>
  <si>
    <t>EVT031</t>
  </si>
  <si>
    <t>Localgrapher Marrakech</t>
  </si>
  <si>
    <t>One &amp; Only Events</t>
  </si>
  <si>
    <t>contact@onenonly-events.com</t>
  </si>
  <si>
    <t>+212 700 070 731</t>
  </si>
  <si>
    <t>onenonly-events.com</t>
  </si>
  <si>
    <t>Event planner luxe (20+ ans)</t>
  </si>
  <si>
    <t>EVT032</t>
  </si>
  <si>
    <t>Villa Taj Marrakech</t>
  </si>
  <si>
    <t>Entre désert d'Agafay et Atlas, ~20 min du centre</t>
  </si>
  <si>
    <t>ACT129</t>
  </si>
  <si>
    <t>+212 700 64 68 38</t>
  </si>
  <si>
    <t>Agence événementielle &amp; wedding</t>
  </si>
  <si>
    <t>EVT033</t>
  </si>
  <si>
    <t>+212 661 14 53 76</t>
  </si>
  <si>
    <t>+212 661145376 (à confirmer)</t>
  </si>
  <si>
    <t>villatajmarrakech.com</t>
  </si>
  <si>
    <t>@villataj</t>
  </si>
  <si>
    <t>Événements corporate &amp; séminaires</t>
  </si>
  <si>
    <t>EVT034</t>
  </si>
  <si>
    <t>H168</t>
  </si>
  <si>
    <t>Marrakech Photographer</t>
  </si>
  <si>
    <t>Séminaires/lancements produits</t>
  </si>
  <si>
    <t>EVT035</t>
  </si>
  <si>
    <t>Villa Omnia</t>
  </si>
  <si>
    <t>ACT130</t>
  </si>
  <si>
    <t>Séminaires 20-300 pers</t>
  </si>
  <si>
    <t>EVT036</t>
  </si>
  <si>
    <t>Introuvable à Marrakech (homonymes Ibiza / Grèce) — à vérifier</t>
  </si>
  <si>
    <t>Marrakech Photo Experience</t>
  </si>
  <si>
    <t>Conférences &amp; galas</t>
  </si>
  <si>
    <t>H169</t>
  </si>
  <si>
    <t>EVT037</t>
  </si>
  <si>
    <t>Événements d'entreprise &amp; team building</t>
  </si>
  <si>
    <t>ACT131</t>
  </si>
  <si>
    <t>EVT038</t>
  </si>
  <si>
    <t>Villa Victoria</t>
  </si>
  <si>
    <t>~10 min du centre (domaine de 1 ha)</t>
  </si>
  <si>
    <t>EVJF / EVG Marrakech</t>
  </si>
  <si>
    <t>EVT039</t>
  </si>
  <si>
    <t>6 suites, 900 m², piscine 20 m — location via agence</t>
  </si>
  <si>
    <t>villapremium.fr</t>
  </si>
  <si>
    <t>Importé de HEBERGEMENT. Site : villapremium.fr [Ancien statut: À compléter]</t>
  </si>
  <si>
    <t>H170</t>
  </si>
  <si>
    <t>Célébrations privées &amp; EVJF/EVG</t>
  </si>
  <si>
    <t>Arabesque Dance Photography</t>
  </si>
  <si>
    <t>EVT040</t>
  </si>
  <si>
    <t>Villa Nora</t>
  </si>
  <si>
    <t>Célébrations privées sur mesure</t>
  </si>
  <si>
    <t>Domaine Amelkis</t>
  </si>
  <si>
    <t>ACT132</t>
  </si>
  <si>
    <t>EVT041</t>
  </si>
  <si>
    <t>+212 698 164 331 (agence Marrakech Best Of)</t>
  </si>
  <si>
    <t>+212 698164331 (à confirmer)</t>
  </si>
  <si>
    <t>Location via agence ; caution 1 000 € — ⚠️ ne pas confondre avec le Riad Nora (29a rue de la Bahia, médina)</t>
  </si>
  <si>
    <t>marrakechbestof.com</t>
  </si>
  <si>
    <t>Conciergerie événementielle (restos, day pass, activités)</t>
  </si>
  <si>
    <t>Importé de HEBERGEMENT. Quartier : Amelkis · Site : marrakechbestof.com | Coord. complétée(s) depuis annuaire : tél [Ancien statut: À compléter]</t>
  </si>
  <si>
    <t>EVT042</t>
  </si>
  <si>
    <t>H192</t>
  </si>
  <si>
    <t>Réseau partenaires · coordination clés en main</t>
  </si>
  <si>
    <t>EVT043</t>
  </si>
  <si>
    <t>Villa Dar Moira</t>
  </si>
  <si>
    <t>Route Sidi Ghaal / Oulad Hassoune, ~20 min du centre (domaine 2 ha)</t>
  </si>
  <si>
    <t>+212 524 38 14 28</t>
  </si>
  <si>
    <t>lesbainsdemarrakech.com</t>
  </si>
  <si>
    <t>Hidden Marrakech Photography</t>
  </si>
  <si>
    <t>Riad-spa · hammam privatif</t>
  </si>
  <si>
    <t>EVT044</t>
  </si>
  <si>
    <t>950 m², piscine 20×8 m — location exclusive</t>
  </si>
  <si>
    <t>villa-dar-moira.com</t>
  </si>
  <si>
    <t>Importé de HEBERGEMENT. Quartier : Oulad Hassoune · Site : villa-dar-moira.com [Ancien statut: À compléter]</t>
  </si>
  <si>
    <t>Les Bains du Lotus</t>
  </si>
  <si>
    <t>+212 664 19 49 50</t>
  </si>
  <si>
    <t>lesbainsdulotus.com</t>
  </si>
  <si>
    <t>Riad Art Déco · hammams/rituels</t>
  </si>
  <si>
    <t>H217</t>
  </si>
  <si>
    <t>ACT133</t>
  </si>
  <si>
    <t>EVT045</t>
  </si>
  <si>
    <t>Spa Royal Mansour</t>
  </si>
  <si>
    <t>royalmansour.com</t>
  </si>
  <si>
    <t>Hammam signature · 2 hammams</t>
  </si>
  <si>
    <t>Villa Dar Challa</t>
  </si>
  <si>
    <t>Douar Abiad, Palmeraie (près du Ksar Char-Bagh)</t>
  </si>
  <si>
    <t>EVT046</t>
  </si>
  <si>
    <t>Mamounia Spa</t>
  </si>
  <si>
    <t>mamounia.com</t>
  </si>
  <si>
    <t>+212 524 329 999</t>
  </si>
  <si>
    <t>Piscine à débordement, hammam, staff — location exclusive, tarif sur demande</t>
  </si>
  <si>
    <t>2 hammams + 1 privé · rituels</t>
  </si>
  <si>
    <t>dar-challa.com</t>
  </si>
  <si>
    <t>Importé de HEBERGEMENT. Quartier : Palmeraie · Site : dar-challa.com | Coord. complétée(s) depuis annuaire : tél [Ancien statut: À compléter]</t>
  </si>
  <si>
    <t>EVT047</t>
  </si>
  <si>
    <t>Palm Photo Marrakech</t>
  </si>
  <si>
    <t>La Sultana Spa</t>
  </si>
  <si>
    <t>H218</t>
  </si>
  <si>
    <t>+212 524 37 54 64</t>
  </si>
  <si>
    <t>Hammam · rituels marocains</t>
  </si>
  <si>
    <t>Flytographer</t>
  </si>
  <si>
    <t>@flytographer</t>
  </si>
  <si>
    <t>EVT048</t>
  </si>
  <si>
    <t>60 min</t>
  </si>
  <si>
    <t>Wa Spa</t>
  </si>
  <si>
    <t>ACT134</t>
  </si>
  <si>
    <t>+212 673 59 72 70</t>
  </si>
  <si>
    <t>Spa hammam · rituels</t>
  </si>
  <si>
    <t>EVT049</t>
  </si>
  <si>
    <t>Villa Hacienda</t>
  </si>
  <si>
    <t>Sidi Abdallah Ghiat, route de l'Ourika</t>
  </si>
  <si>
    <t>Taoussi Vision</t>
  </si>
  <si>
    <t>0620502700</t>
  </si>
  <si>
    <t>@taoussivision</t>
  </si>
  <si>
    <t>Photographe mariage/événement · ~19k abonnés</t>
  </si>
  <si>
    <t>Complexe 30 ch + villa 6 ch — événementiel jusqu'à 116 pers.</t>
  </si>
  <si>
    <t>marrakechseminairesmaisondhotes.com</t>
  </si>
  <si>
    <t>EVT050</t>
  </si>
  <si>
    <t>Memories Marrakech</t>
  </si>
  <si>
    <t>Importé de HEBERGEMENT. Quartier : Route de l'Ourika · Site : marrakechseminairesmaisondhotes.com [Ancien statut: À compléter]</t>
  </si>
  <si>
    <t>Alami Photography</t>
  </si>
  <si>
    <t>alamiphotography.contact@gmail.com</t>
  </si>
  <si>
    <t>@alami_photography</t>
  </si>
  <si>
    <t>H221</t>
  </si>
  <si>
    <t>Photographe &amp; vidéaste mariage fine art</t>
  </si>
  <si>
    <t>Localgrapher</t>
  </si>
  <si>
    <t>@localgrapher</t>
  </si>
  <si>
    <t>EVT051</t>
  </si>
  <si>
    <t>ACT135</t>
  </si>
  <si>
    <t>Marrakech Wedding Photography (Anass Walidi)</t>
  </si>
  <si>
    <t>+212668274677</t>
  </si>
  <si>
    <t>@marrakech_wedding_photography</t>
  </si>
  <si>
    <t>Villa des Oliviers</t>
  </si>
  <si>
    <t>Photographe &amp; vidéaste mariage</t>
  </si>
  <si>
    <t>Sud-ouest de Marrakech, pied de l'Atlas (près golfs Royal Palm / Samanah)</t>
  </si>
  <si>
    <t>EVT052</t>
  </si>
  <si>
    <t>L'As de Coeur (Céline Cartallas)</t>
  </si>
  <si>
    <t>lasdecoeur.com</t>
  </si>
  <si>
    <t>Location via Villanovo / Scott Williams — staff inclus</t>
  </si>
  <si>
    <t>Photo/vidéo mariage · publié Harper's Bazaar</t>
  </si>
  <si>
    <t>Importé de HEBERGEMENT. Quartier : Domaine Royal Palm [Ancien statut: À compléter]</t>
  </si>
  <si>
    <t>EVT053</t>
  </si>
  <si>
    <t>Pool Party privée</t>
  </si>
  <si>
    <t>Soulchic Events</t>
  </si>
  <si>
    <t>Ma Photographe Studio</t>
  </si>
  <si>
    <t>H030</t>
  </si>
  <si>
    <t>be-maphotographe.com</t>
  </si>
  <si>
    <t>Photographe mariage &amp; événements Maroc</t>
  </si>
  <si>
    <t>+212 681 31 81 81</t>
  </si>
  <si>
    <t>EVT054</t>
  </si>
  <si>
    <t>Rekon Photographe</t>
  </si>
  <si>
    <t>Bab Al Hamra</t>
  </si>
  <si>
    <t>ACT136</t>
  </si>
  <si>
    <t>rekon.fr</t>
  </si>
  <si>
    <t>Marrakech (à préciser)</t>
  </si>
  <si>
    <t>Photographe mariage Marrakech</t>
  </si>
  <si>
    <t>EVT055</t>
  </si>
  <si>
    <t>+212 524 38 41 28 / +212 524 38 52 31</t>
  </si>
  <si>
    <t>CaptureLife</t>
  </si>
  <si>
    <t>capturelife.fr</t>
  </si>
  <si>
    <t>@babalhamra</t>
  </si>
  <si>
    <t>| Ligne contact (sans fiche hébergement dédiée) [Ancien statut: Contact seul]</t>
  </si>
  <si>
    <t>Vidéaste mariage destination</t>
  </si>
  <si>
    <t>H035</t>
  </si>
  <si>
    <t>EVT056</t>
  </si>
  <si>
    <t>Alexandre Djanbaz</t>
  </si>
  <si>
    <t>alexandre-djanbaz.fr</t>
  </si>
  <si>
    <t>Luxury Event Marrakech</t>
  </si>
  <si>
    <t>Vidéaste mariage Maroc primé</t>
  </si>
  <si>
    <t>Dar El Sadaka</t>
  </si>
  <si>
    <t>EVT057</t>
  </si>
  <si>
    <t>Live Celebrate Share</t>
  </si>
  <si>
    <t>livecelebrateshare.fr</t>
  </si>
  <si>
    <t>+212 524 32 91 10</t>
  </si>
  <si>
    <t>Photo+vidéo lifestyle Paris/Marrakech</t>
  </si>
  <si>
    <t>Direction Hôtel</t>
  </si>
  <si>
    <t>@darelsadaka</t>
  </si>
  <si>
    <t>ACT137</t>
  </si>
  <si>
    <t>Mention fichier : « important à joindre » | Ligne contact (sans fiche hébergement dédiée) [Ancien statut: Contact seul]</t>
  </si>
  <si>
    <t>EVT058</t>
  </si>
  <si>
    <t>Photographe Marrakech (Mohamed)</t>
  </si>
  <si>
    <t>H036</t>
  </si>
  <si>
    <t>Photo/vidéo/drone pro basé Marrakech</t>
  </si>
  <si>
    <t>EVT059</t>
  </si>
  <si>
    <t>Palais Azrak</t>
  </si>
  <si>
    <t>Pilote de drone pro · vues aériennes</t>
  </si>
  <si>
    <t>EVT060</t>
  </si>
  <si>
    <t>Eloomm</t>
  </si>
  <si>
    <t>eloomm.ma</t>
  </si>
  <si>
    <t>Marrakech Events Agency</t>
  </si>
  <si>
    <t>Traiteur à domicile · menus sur-mesure</t>
  </si>
  <si>
    <t>+212 524 39 04 60</t>
  </si>
  <si>
    <t>EVT061</t>
  </si>
  <si>
    <t>À renseigner</t>
  </si>
  <si>
    <t>SELECT by EMC</t>
  </si>
  <si>
    <t>Aucune source officielle fiable trouvée (homonymie 'Riad Azrak') | Ligne contact (sans fiche hébergement dédiée) [Ancien statut: À vérifier ⚠]</t>
  </si>
  <si>
    <t>+212 660 29 15 84</t>
  </si>
  <si>
    <t>selectbyemc.com</t>
  </si>
  <si>
    <t>ACT138</t>
  </si>
  <si>
    <t>Traiteur événementiel &amp; mariage</t>
  </si>
  <si>
    <t>H037</t>
  </si>
  <si>
    <t>EVT062</t>
  </si>
  <si>
    <t>Traiteur Olivier Bearzatto</t>
  </si>
  <si>
    <t>+212 660 10 97 83</t>
  </si>
  <si>
    <t>traiteur-marrakech.com</t>
  </si>
  <si>
    <t>Chef traiteur · privé &amp; pro</t>
  </si>
  <si>
    <t>EVT063</t>
  </si>
  <si>
    <t>Palais Chahar Mahal</t>
  </si>
  <si>
    <t>Traiteur de prestige · La Palmeraie</t>
  </si>
  <si>
    <t>+212 6 72 12 41 44</t>
  </si>
  <si>
    <t>+212 672124144 (à confirmer)</t>
  </si>
  <si>
    <t>Mr Gil</t>
  </si>
  <si>
    <t>EVT064</t>
  </si>
  <si>
    <t>palais chahar mahal</t>
  </si>
  <si>
    <t>Email corrigé ; tél. officiel +212 524 484 808 ; site chaharmahal.com | Ligne contact (sans fiche hébergement dédiée) [Ancien statut: Complété ✦]</t>
  </si>
  <si>
    <t>Mon Traiteur Maroc</t>
  </si>
  <si>
    <t>montraiteurmaroc.com</t>
  </si>
  <si>
    <t>ACT139</t>
  </si>
  <si>
    <t>H059</t>
  </si>
  <si>
    <t>Traiteur + location matériel + chef</t>
  </si>
  <si>
    <t>EVT065</t>
  </si>
  <si>
    <t>The Private Chef Marrakech (Rachid Ahram)</t>
  </si>
  <si>
    <t>theprivatechefmarrakech.com</t>
  </si>
  <si>
    <t>Palais Namaskar — Privatisation Festive</t>
  </si>
  <si>
    <t>Chef privé · 15 ans d'expérience</t>
  </si>
  <si>
    <t>EVT066</t>
  </si>
  <si>
    <t>Luxury Lifeline</t>
  </si>
  <si>
    <t>luxurylifeline.org</t>
  </si>
  <si>
    <t>Chefs privés en villa · gastronomie</t>
  </si>
  <si>
    <t>EVT067</t>
  </si>
  <si>
    <t>Villa Dar Zina</t>
  </si>
  <si>
    <t>MiumMium</t>
  </si>
  <si>
    <t>miummium.com</t>
  </si>
  <si>
    <t>H061</t>
  </si>
  <si>
    <t>Plateforme chefs à domicile Marrakech</t>
  </si>
  <si>
    <t>EVT068</t>
  </si>
  <si>
    <t>ACT140</t>
  </si>
  <si>
    <t>Maison Scene</t>
  </si>
  <si>
    <t>+212 708 02 59 94</t>
  </si>
  <si>
    <t>Jnane Tamsna</t>
  </si>
  <si>
    <t>maisonscene.ma</t>
  </si>
  <si>
    <t>Réseau de DJs pro · mariage &amp; corporate</t>
  </si>
  <si>
    <t>EVT069</t>
  </si>
  <si>
    <t>+212 524 32 84 84</t>
  </si>
  <si>
    <t>DJ C4 Brahim</t>
  </si>
  <si>
    <t>@djc4brahim</t>
  </si>
  <si>
    <t>@jnanetamsna</t>
  </si>
  <si>
    <t>DJ mariage &amp; événements luxe Marrakech</t>
  </si>
  <si>
    <t>EVT070</t>
  </si>
  <si>
    <t>H062</t>
  </si>
  <si>
    <t>Villa K Luxe</t>
  </si>
  <si>
    <t>Anas Ait Grich (Limeuri Event)</t>
  </si>
  <si>
    <t>+212 666 75 35 15</t>
  </si>
  <si>
    <t>@dj_limeuri_anas</t>
  </si>
  <si>
    <t>Wedding DJ Marrakech</t>
  </si>
  <si>
    <t>EVT071</t>
  </si>
  <si>
    <t>Dar El Sadaka — Retraite Zen</t>
  </si>
  <si>
    <t>M8TE Agency</t>
  </si>
  <si>
    <t>ACT141</t>
  </si>
  <si>
    <t>m8te.fr</t>
  </si>
  <si>
    <t>DJ + 150 profils artistiques</t>
  </si>
  <si>
    <t>EVT072</t>
  </si>
  <si>
    <t>+212 524 33 85 85</t>
  </si>
  <si>
    <t>Violonistes, saxophonistes, live bands</t>
  </si>
  <si>
    <t>HC001</t>
  </si>
  <si>
    <t>EVT073</t>
  </si>
  <si>
    <t>Villa Al Assala</t>
  </si>
  <si>
    <t>Villa Dar Louma</t>
  </si>
  <si>
    <t>Musiciens live &amp; orchestres</t>
  </si>
  <si>
    <t>EVT074</t>
  </si>
  <si>
    <t>+212662426830</t>
  </si>
  <si>
    <t>ACT142</t>
  </si>
  <si>
    <t>Groupe live, trio, saxophoniste, animations</t>
  </si>
  <si>
    <t>EVT075</t>
  </si>
  <si>
    <t>HC002</t>
  </si>
  <si>
    <t>Orchestre traditionnel gnaoua</t>
  </si>
  <si>
    <t>EVT076</t>
  </si>
  <si>
    <t>Kasbah Marhaba</t>
  </si>
  <si>
    <t>Balade dromadaire</t>
  </si>
  <si>
    <t>Désert Agafay</t>
  </si>
  <si>
    <t>Animations folklore &amp; gnaoua</t>
  </si>
  <si>
    <t>EVT077</t>
  </si>
  <si>
    <t>Location mobilier &amp; décoration événementielle</t>
  </si>
  <si>
    <t>ACT143</t>
  </si>
  <si>
    <t>HC003</t>
  </si>
  <si>
    <t>EVT078</t>
  </si>
  <si>
    <t>Intégral Solution</t>
  </si>
  <si>
    <t>integral-location.ma</t>
  </si>
  <si>
    <t>Décoration &amp; mobilier événementiel</t>
  </si>
  <si>
    <t>EVT079</t>
  </si>
  <si>
    <t>Riad Hel'lo</t>
  </si>
  <si>
    <t>Newcom Maroc</t>
  </si>
  <si>
    <t>+212 522 78 04 70</t>
  </si>
  <si>
    <t>newcom-maroc.com</t>
  </si>
  <si>
    <t>Terre des Étoiles</t>
  </si>
  <si>
    <t>Décoration événementielle &amp; éclairage</t>
  </si>
  <si>
    <t>EVT080</t>
  </si>
  <si>
    <t>+33 1 55 20 07 67</t>
  </si>
  <si>
    <t>Location mobilier événementiel</t>
  </si>
  <si>
    <t>ACT144</t>
  </si>
  <si>
    <t>HC004</t>
  </si>
  <si>
    <t>EVT081</t>
  </si>
  <si>
    <t>Location mobilier &amp; matériel dès 40 pers</t>
  </si>
  <si>
    <t>EVT082</t>
  </si>
  <si>
    <t>Wonder Agency</t>
  </si>
  <si>
    <t>+212 679 79 79 67</t>
  </si>
  <si>
    <t>wonderagency.ma</t>
  </si>
  <si>
    <t>Dar Anyssates</t>
  </si>
  <si>
    <t>Mobilier, scènes, chapiteaux</t>
  </si>
  <si>
    <t>EVT083</t>
  </si>
  <si>
    <t>+212 610 06 88 63</t>
  </si>
  <si>
    <t>Mirhiz Events</t>
  </si>
  <si>
    <t>mirhizevents.com</t>
  </si>
  <si>
    <t>+212 524 38 17 38</t>
  </si>
  <si>
    <t>Éclairage scénique, LED, lasers, DMX</t>
  </si>
  <si>
    <t>ACT145</t>
  </si>
  <si>
    <t>EVT084</t>
  </si>
  <si>
    <t>SoundLight Maroc</t>
  </si>
  <si>
    <t>+212 701 21 23 24</t>
  </si>
  <si>
    <t>HC005</t>
  </si>
  <si>
    <t>soundlightmaroc.com</t>
  </si>
  <si>
    <t>Son &amp; lumière événementiel</t>
  </si>
  <si>
    <t>EVT085</t>
  </si>
  <si>
    <t>Maison N</t>
  </si>
  <si>
    <t>Éclairage professionnel événements</t>
  </si>
  <si>
    <t>EVT086</t>
  </si>
  <si>
    <t>Events Collection</t>
  </si>
  <si>
    <t>+212 661 61 81 59</t>
  </si>
  <si>
    <t>eventscollection.ma</t>
  </si>
  <si>
    <t>Sonorisation &amp; éclairage Marrakech</t>
  </si>
  <si>
    <t>+212 524 34 66 45</t>
  </si>
  <si>
    <t>EVT087</t>
  </si>
  <si>
    <t>ACT146</t>
  </si>
  <si>
    <t>HC006</t>
  </si>
  <si>
    <t>Location son &amp; lumière sur mesure</t>
  </si>
  <si>
    <t>EVT088</t>
  </si>
  <si>
    <t>Riad Samaa</t>
  </si>
  <si>
    <t>Entreprise de sonorisation Marrakech</t>
  </si>
  <si>
    <t>EVT089</t>
  </si>
  <si>
    <t>Sonorisation, écrans LED, podiums</t>
  </si>
  <si>
    <t>HC007</t>
  </si>
  <si>
    <t>EVT090</t>
  </si>
  <si>
    <t>ACT147</t>
  </si>
  <si>
    <t>Camille Petrouvi</t>
  </si>
  <si>
    <t>0661469739</t>
  </si>
  <si>
    <t>@camillepetrouvi</t>
  </si>
  <si>
    <t>Team maquilleurs · mariage/bridal · ~168k abonnés</t>
  </si>
  <si>
    <t>Dar Housnia</t>
  </si>
  <si>
    <t>EVT091</t>
  </si>
  <si>
    <t>Lola Bellezza</t>
  </si>
  <si>
    <t>lolabellezza.collab@gmail.com</t>
  </si>
  <si>
    <t>+212632856657</t>
  </si>
  <si>
    <t>@lolabellezza</t>
  </si>
  <si>
    <t>Makeup · 17 ans · ~285k abonnés</t>
  </si>
  <si>
    <t>EVT092</t>
  </si>
  <si>
    <t>+212 524 37 66 97</t>
  </si>
  <si>
    <t>Marwa Glam</t>
  </si>
  <si>
    <t>+212611499764</t>
  </si>
  <si>
    <t>@marwaglam</t>
  </si>
  <si>
    <t>MUA &amp; beauty expert · service coiffure</t>
  </si>
  <si>
    <t>EVT093</t>
  </si>
  <si>
    <t>HC008</t>
  </si>
  <si>
    <t>Soukaina Farah</t>
  </si>
  <si>
    <t>@thesouki</t>
  </si>
  <si>
    <t>MUA + hairstylist certifiée</t>
  </si>
  <si>
    <t>Riad Wahiba</t>
  </si>
  <si>
    <t>+212 524 32 82 88</t>
  </si>
  <si>
    <t>EVT094</t>
  </si>
  <si>
    <t>ACT148</t>
  </si>
  <si>
    <t>Najwa Jamalouki</t>
  </si>
  <si>
    <t>0668152050</t>
  </si>
  <si>
    <t>@najwa_jamalouki</t>
  </si>
  <si>
    <t>Makeup + hairstyle · bridal</t>
  </si>
  <si>
    <t>EVT095</t>
  </si>
  <si>
    <t>HC009</t>
  </si>
  <si>
    <t>Lima Makeup Artist</t>
  </si>
  <si>
    <t>limamakeupartist.com</t>
  </si>
  <si>
    <t>Maquilleuse pro + équipe coiffure</t>
  </si>
  <si>
    <t>EVT096</t>
  </si>
  <si>
    <t>Riad Kolos</t>
  </si>
  <si>
    <t>Amandine (Luxury Hair &amp; Makeup)</t>
  </si>
  <si>
    <t>amandine-makeup.com</t>
  </si>
  <si>
    <t>+212 808 50 53 15</t>
  </si>
  <si>
    <t>Hair &amp; makeup artist mariage</t>
  </si>
  <si>
    <t>1 h</t>
  </si>
  <si>
    <t>EVT097</t>
  </si>
  <si>
    <t>ACT149</t>
  </si>
  <si>
    <t>Service coiffure + makeup</t>
  </si>
  <si>
    <t>HC010</t>
  </si>
  <si>
    <t>EVT098</t>
  </si>
  <si>
    <t>Hairstylist certifiée</t>
  </si>
  <si>
    <t>Dar el Qadi</t>
  </si>
  <si>
    <t>EVT099</t>
  </si>
  <si>
    <t>Hairstyle + makeup</t>
  </si>
  <si>
    <t>EVT100</t>
  </si>
  <si>
    <t>+212 661 59 11 50</t>
  </si>
  <si>
    <t>@terredesetoiles</t>
  </si>
  <si>
    <t>HC011</t>
  </si>
  <si>
    <t>Équipe coiffure mariage</t>
  </si>
  <si>
    <t>EVT101</t>
  </si>
  <si>
    <t>ACT150</t>
  </si>
  <si>
    <t>Baromètre Marrakech</t>
  </si>
  <si>
    <t>+212 666 88 67 98</t>
  </si>
  <si>
    <t>lebarometre.net</t>
  </si>
  <si>
    <t>Riad Inaya</t>
  </si>
  <si>
    <t>1er bar de mixologie du Maroc</t>
  </si>
  <si>
    <t>EVT102</t>
  </si>
  <si>
    <t>Mocktail Mixology Marrakech</t>
  </si>
  <si>
    <t>@mocktail_mixology_marrakech</t>
  </si>
  <si>
    <t>Bar mobile cocktails/mocktails événements</t>
  </si>
  <si>
    <t>EVT103</t>
  </si>
  <si>
    <t>Mixologist Artiste (Noto)</t>
  </si>
  <si>
    <t>HC012</t>
  </si>
  <si>
    <t>@mixologist_artiste</t>
  </si>
  <si>
    <t>Atelier artisans</t>
  </si>
  <si>
    <t>Mixologue · bar mobile</t>
  </si>
  <si>
    <t>EVT104</t>
  </si>
  <si>
    <t>Moroccan Mixology</t>
  </si>
  <si>
    <t>Riad 116</t>
  </si>
  <si>
    <t>moroccanmixology.com</t>
  </si>
  <si>
    <t>+212 524 20 50 70</t>
  </si>
  <si>
    <t>@inaracamp</t>
  </si>
  <si>
    <t>Services bartending &amp; mixologie</t>
  </si>
  <si>
    <t>EVT105</t>
  </si>
  <si>
    <t>Mixologica (Ateliers Mixologie)</t>
  </si>
  <si>
    <t>mixologica.com</t>
  </si>
  <si>
    <t>ACT151</t>
  </si>
  <si>
    <t>Bars éphémères, animations cocktails</t>
  </si>
  <si>
    <t>EVT106</t>
  </si>
  <si>
    <t>HC013</t>
  </si>
  <si>
    <t>Mixologica (café &amp; thé)</t>
  </si>
  <si>
    <t>Ateliers/animations barista café &amp; thé</t>
  </si>
  <si>
    <t>EVT107</t>
  </si>
  <si>
    <t>Artisan Heritage</t>
  </si>
  <si>
    <t>Riad Serafine</t>
  </si>
  <si>
    <t>Secret Studio Prod</t>
  </si>
  <si>
    <t>+212 669 03 30 11</t>
  </si>
  <si>
    <t>secretstudioprod.com</t>
  </si>
  <si>
    <t>Parc LED 200m² · son/lumière/effets · 15 ans · Marrakech</t>
  </si>
  <si>
    <t>+212 684 11 21 12</t>
  </si>
  <si>
    <t>EVT108</t>
  </si>
  <si>
    <t>Le Nouveau Studio</t>
  </si>
  <si>
    <t>lenouveaustudio.com</t>
  </si>
  <si>
    <t>ACT152</t>
  </si>
  <si>
    <t>Agence audiovisuelle Marrakech · captation événement</t>
  </si>
  <si>
    <t>HC014</t>
  </si>
  <si>
    <t>EVT109</t>
  </si>
  <si>
    <t>MKfilms</t>
  </si>
  <si>
    <t>mkfilms.ma</t>
  </si>
  <si>
    <t>Production audiovisuelle Marrakech · photo &amp; vidéo</t>
  </si>
  <si>
    <t>EVT110</t>
  </si>
  <si>
    <t>Riad Khambalia</t>
  </si>
  <si>
    <t>LRNCE Studio</t>
  </si>
  <si>
    <t>AdKey Prod</t>
  </si>
  <si>
    <t>+212660130030</t>
  </si>
  <si>
    <t>adkeyprod.ma</t>
  </si>
  <si>
    <t>Production vidéo Marrakech · captation événements</t>
  </si>
  <si>
    <t>EVT111</t>
  </si>
  <si>
    <t>+212 661 77 67 66</t>
  </si>
  <si>
    <t>@thewhitecamel</t>
  </si>
  <si>
    <t>Site Web Marrakech (Production A/V)</t>
  </si>
  <si>
    <t>sitewebmarrakech.ma</t>
  </si>
  <si>
    <t>ACT153</t>
  </si>
  <si>
    <t>Captation, motion design 2D/3D, projections · Marrakech</t>
  </si>
  <si>
    <t>HC015</t>
  </si>
  <si>
    <t>EVT112</t>
  </si>
  <si>
    <t>Écrans LED · murs d'images · mapping · Marrakech</t>
  </si>
  <si>
    <t>Riad aux 4 Epices</t>
  </si>
  <si>
    <t>EVT113</t>
  </si>
  <si>
    <t>Paragone</t>
  </si>
  <si>
    <t>paragone.pro</t>
  </si>
  <si>
    <t>Zellij Cooperative</t>
  </si>
  <si>
    <t>Lasers, mapping, écrans d'eau · localisation à confirmer</t>
  </si>
  <si>
    <t>EVT114</t>
  </si>
  <si>
    <t>@caravanagafay</t>
  </si>
  <si>
    <t>HC016</t>
  </si>
  <si>
    <t>Pyrotechnie, lasers, feu · localisation à confirmer</t>
  </si>
  <si>
    <t>ACT154</t>
  </si>
  <si>
    <t>EVT115</t>
  </si>
  <si>
    <t>Riad Derenn</t>
  </si>
  <si>
    <t>Effets spéciaux · lyres · LED · Marrakech</t>
  </si>
  <si>
    <t>EVT116</t>
  </si>
  <si>
    <t>Effets spéciaux immersifs · localisation à confirmer</t>
  </si>
  <si>
    <t>EVT117</t>
  </si>
  <si>
    <t>Pâtisserie Amandine</t>
  </si>
  <si>
    <t>Atelier Poterie Tamesloht</t>
  </si>
  <si>
    <t>HC017</t>
  </si>
  <si>
    <t>amandinemarrakech.com</t>
  </si>
  <si>
    <t>175 Rue Mohamed El Beqal, Marrakech</t>
  </si>
  <si>
    <t>EVT118</t>
  </si>
  <si>
    <t>Lovely Cake (Organim)</t>
  </si>
  <si>
    <t>Riad Daleya</t>
  </si>
  <si>
    <t>organim.ma</t>
  </si>
  <si>
    <t>ACT155</t>
  </si>
  <si>
    <t>Cake design &amp; gâteaux personnalisés · Marrakech</t>
  </si>
  <si>
    <t>EVT119</t>
  </si>
  <si>
    <t>La Pâtisserie de la Terrasse des Épices</t>
  </si>
  <si>
    <t>Pâtisserie Marrakech (réf. Petit Futé)</t>
  </si>
  <si>
    <t>EVT120</t>
  </si>
  <si>
    <t>HC018</t>
  </si>
  <si>
    <t>Maison de la Photographie</t>
  </si>
  <si>
    <t>ESPACES PRIVAT · structure SOLÝVENTS harmonisée · ✅ V1 vérifié (aligné 🔖 CODES DE RÉFÉRENCE)</t>
  </si>
  <si>
    <t>Pâtisserie des Princes</t>
  </si>
  <si>
    <t>EVT121</t>
  </si>
  <si>
    <t>Riad Annalissa</t>
  </si>
  <si>
    <t>Demi-journée</t>
  </si>
  <si>
    <t>Les Sœurs Gourmandes</t>
  </si>
  <si>
    <t>lessoeursgourmandes.com</t>
  </si>
  <si>
    <t>ACT156</t>
  </si>
  <si>
    <t>Cake design, pâtisserie, food-truck · localisation à confirmer</t>
  </si>
  <si>
    <t>EVT122</t>
  </si>
  <si>
    <t>massageadomicilemarrakech.com</t>
  </si>
  <si>
    <t>HC019</t>
  </si>
  <si>
    <t>Spa mobile · toute la ville · 7j/7</t>
  </si>
  <si>
    <t>EVT123</t>
  </si>
  <si>
    <t>Home Massage Marrakech</t>
  </si>
  <si>
    <t>+212620440785</t>
  </si>
  <si>
    <t>homemassageapp.ma</t>
  </si>
  <si>
    <t>Nom espace</t>
  </si>
  <si>
    <t>Musée du Tissage</t>
  </si>
  <si>
    <t>Riad Rimélia</t>
  </si>
  <si>
    <t>Massage à domicile · spa mobile premium</t>
  </si>
  <si>
    <t>Site internet</t>
  </si>
  <si>
    <t>EVT124</t>
  </si>
  <si>
    <t>Zone principale</t>
  </si>
  <si>
    <t>Sous-zone</t>
  </si>
  <si>
    <t>Adresse complète</t>
  </si>
  <si>
    <t>Massage Domicile Marrakech</t>
  </si>
  <si>
    <t>GPS latitude</t>
  </si>
  <si>
    <t>massagedomicilemarrakech.com</t>
  </si>
  <si>
    <t>GPS longitude</t>
  </si>
  <si>
    <t>Capacité assis</t>
  </si>
  <si>
    <t>Capacité cocktail</t>
  </si>
  <si>
    <t>Capacité dîner</t>
  </si>
  <si>
    <t>Thérapeutes diplômés · villa/riad/hôtel</t>
  </si>
  <si>
    <t>Surface (m²)</t>
  </si>
  <si>
    <t>Restrictions horaires</t>
  </si>
  <si>
    <t>ACT157</t>
  </si>
  <si>
    <t>DJ autorisé</t>
  </si>
  <si>
    <t>Alcool autorisé</t>
  </si>
  <si>
    <t>EVT125</t>
  </si>
  <si>
    <t>Tarif privatisation (€)</t>
  </si>
  <si>
    <t>HC020</t>
  </si>
  <si>
    <t>Zeina Spa</t>
  </si>
  <si>
    <t>+212 611 12 41 30</t>
  </si>
  <si>
    <t>zeina-spa.com</t>
  </si>
  <si>
    <t>NIGHTLIFE (NL)</t>
  </si>
  <si>
    <t>Massage &amp; soins à domicile depuis 2010</t>
  </si>
  <si>
    <t>RÉGIMES (RG)</t>
  </si>
  <si>
    <t>EVT126</t>
  </si>
  <si>
    <t>Dar Layali</t>
  </si>
  <si>
    <t>Marrakech Massage Spa</t>
  </si>
  <si>
    <t>massagemarrakechspa.com</t>
  </si>
  <si>
    <t>Massage à domicile · rituels spa</t>
  </si>
  <si>
    <t>Musée du Parfum</t>
  </si>
  <si>
    <t>EVT127</t>
  </si>
  <si>
    <t>ESPACES PRIVAT</t>
  </si>
  <si>
    <t>ESP001</t>
  </si>
  <si>
    <t>911 Spa</t>
  </si>
  <si>
    <t>911-spa.com</t>
  </si>
  <si>
    <t>Spa à domicile · location table 250 dh/j</t>
  </si>
  <si>
    <t>ACT158</t>
  </si>
  <si>
    <t>HC021</t>
  </si>
  <si>
    <t>EVT128</t>
  </si>
  <si>
    <t>Spa mobile · soins esthétiques &amp; massages</t>
  </si>
  <si>
    <t>Dar Z5</t>
  </si>
  <si>
    <t>EVT129</t>
  </si>
  <si>
    <t>Caleche Marrakech Official</t>
  </si>
  <si>
    <t>Spa mobile premium · duo &amp; groupes</t>
  </si>
  <si>
    <t>EVT130</t>
  </si>
  <si>
    <t>+212 524 20 01 08</t>
  </si>
  <si>
    <t>+212 610 068 863</t>
  </si>
  <si>
    <t>https://villatajmarrakech.com</t>
  </si>
  <si>
    <t>Spa privé mobile en villa</t>
  </si>
  <si>
    <t>HC022</t>
  </si>
  <si>
    <t>Palmeraie / Route 20 min centre</t>
  </si>
  <si>
    <t>Route de la Palmeraie, Marrakech (à compléter)</t>
  </si>
  <si>
    <t>EVT131</t>
  </si>
  <si>
    <t>À géolocaliser</t>
  </si>
  <si>
    <t>ACT159</t>
  </si>
  <si>
    <t>NC</t>
  </si>
  <si>
    <t>Le 68 Bar à Vin</t>
  </si>
  <si>
    <t>À confirmer (voisinage)</t>
  </si>
  <si>
    <t>findinmarrakech.com</t>
  </si>
  <si>
    <t>OUI (selon config)</t>
  </si>
  <si>
    <t>OUI (en privé)</t>
  </si>
  <si>
    <t>Riad Baghala</t>
  </si>
  <si>
    <t>Bar à vin · sommelier Boris Bille · ~200 réf.</t>
  </si>
  <si>
    <t>Domaine 1 ha · 21 ch (10–52 pax) · piscine chauffée 25 m · jacuzzi 20 pers · rooftop vue Atlas · tente 1001 nuits · personnel inclus · ~8 500 €/nuit privatisation totale · 2 villas voisines en complément</t>
  </si>
  <si>
    <t>EVT132</t>
  </si>
  <si>
    <t>EV-MAR · EV-SEM · EV-AFE</t>
  </si>
  <si>
    <t>azarmarrakech.com</t>
  </si>
  <si>
    <t>Koutoubia Carriages</t>
  </si>
  <si>
    <t>Chicha lounge · restaurant libanais</t>
  </si>
  <si>
    <t>Mariage · séminaire · anniversaire · EVJF/EVG · gala</t>
  </si>
  <si>
    <t>À qualifier (voisinage / horaires / capacité réelle)</t>
  </si>
  <si>
    <t>EVT133</t>
  </si>
  <si>
    <t>HC023</t>
  </si>
  <si>
    <t>ESP002</t>
  </si>
  <si>
    <t>+212524437702</t>
  </si>
  <si>
    <t>ACT160</t>
  </si>
  <si>
    <t>Bar à chicha de luxe · Hivernage</t>
  </si>
  <si>
    <t>EVT134</t>
  </si>
  <si>
    <t>Riad Doumas</t>
  </si>
  <si>
    <t>Riad Al Ksar &amp; Spa (Sky Bar)</t>
  </si>
  <si>
    <t>+212 524 38 12 12</t>
  </si>
  <si>
    <t>alksar.com</t>
  </si>
  <si>
    <t>Chicha sky bar · médina · thé à la menthe</t>
  </si>
  <si>
    <t>Villa Taj Omayma</t>
  </si>
  <si>
    <t>EVT135</t>
  </si>
  <si>
    <t>https://riad-taj-omayma.com</t>
  </si>
  <si>
    <t>Kioze Yoga</t>
  </si>
  <si>
    <t>Région (20 min Marrakech)</t>
  </si>
  <si>
    <t>Jemaa Carriages</t>
  </si>
  <si>
    <t>+212 691 27 20 75</t>
  </si>
  <si>
    <t>kiozeyoga.com</t>
  </si>
  <si>
    <t>20 min Marrakech (à compléter)</t>
  </si>
  <si>
    <t>Studio yoga &amp; pilates · Guéliz près Majorelle</t>
  </si>
  <si>
    <t>CONTACT</t>
  </si>
  <si>
    <t>EVT136</t>
  </si>
  <si>
    <t>H010</t>
  </si>
  <si>
    <t>ACT161</t>
  </si>
  <si>
    <t>MADE IN PARIS Studio</t>
  </si>
  <si>
    <t>mip-studio-marrakech.com</t>
  </si>
  <si>
    <t>Privatisation intégrale · 21 chambres · 52 pax · chambres in&amp;out · honoraires organisation inclus</t>
  </si>
  <si>
    <t>Studio Pilates, Yoga &amp; Beauté · Marrakech</t>
  </si>
  <si>
    <t>EVT137</t>
  </si>
  <si>
    <t>EV-MAR · EV-AFA · EV-SEM</t>
  </si>
  <si>
    <t>La Sultana</t>
  </si>
  <si>
    <t>5★ luxe · boutique-hôtel (Small Luxury Hotels)</t>
  </si>
  <si>
    <t>Bloom House</t>
  </si>
  <si>
    <t>+212753143901</t>
  </si>
  <si>
    <t>bloomhousemarrakech.com</t>
  </si>
  <si>
    <t>Reformer &amp; Yoga studio · Guéliz</t>
  </si>
  <si>
    <t>Menara Carriages</t>
  </si>
  <si>
    <t>ESP003</t>
  </si>
  <si>
    <t>EVT138</t>
  </si>
  <si>
    <t>+212 524 38 80 08</t>
  </si>
  <si>
    <t>reservation@lasultanahotels.com</t>
  </si>
  <si>
    <t>Mme Ikram Tizliouine</t>
  </si>
  <si>
    <t>Pilates House by Gigi</t>
  </si>
  <si>
    <t>lasultanahotels.com</t>
  </si>
  <si>
    <t>pilateshousebygigi.ma</t>
  </si>
  <si>
    <t>@lasultanamarrakech</t>
  </si>
  <si>
    <t>+212 524 38 57 21</t>
  </si>
  <si>
    <t>Pilates &amp; Yoga · instructeurs internationaux</t>
  </si>
  <si>
    <t>LAB-VIRT · VIRTUOSO · LAB-SLH · SMALL LUXURY HOTELS</t>
  </si>
  <si>
    <t>EVT139</t>
  </si>
  <si>
    <t>ACT162</t>
  </si>
  <si>
    <t>Villa Zin</t>
  </si>
  <si>
    <t>H016</t>
  </si>
  <si>
    <t>Cloud Pilates Marrakech</t>
  </si>
  <si>
    <t>https://villazin.com</t>
  </si>
  <si>
    <t>+212666174192</t>
  </si>
  <si>
    <t>cloudpilates.ma</t>
  </si>
  <si>
    <t>Pilates Reformer · Guéliz Bijou · juice bar detox</t>
  </si>
  <si>
    <t>Domaine privé (à compléter)</t>
  </si>
  <si>
    <t>EVT140</t>
  </si>
  <si>
    <t>Maison Brummell Majorelle</t>
  </si>
  <si>
    <t>Boutique-hôtel design (sélection Michelin / Mr&amp;Mrs Smith)</t>
  </si>
  <si>
    <t>Palm Carriages</t>
  </si>
  <si>
    <t>Villa 800 m² dans domaine privé 12 000 m² · piscine chauffée · 2 à 16 pax · service hôtelier haut de gamme · pool house</t>
  </si>
  <si>
    <t>Jeefit Pilates</t>
  </si>
  <si>
    <t>jeefitpilates.com</t>
  </si>
  <si>
    <t>EV-MAR · EV-DIN</t>
  </si>
  <si>
    <t>+212 808 62 50 00</t>
  </si>
  <si>
    <t>Reformer &amp; Lagree Megaformer (unique à Marrakech)</t>
  </si>
  <si>
    <t>Mme Siham / Gérante</t>
  </si>
  <si>
    <t>EVT141</t>
  </si>
  <si>
    <t>ACT163</t>
  </si>
  <si>
    <t>@maisonbrummellmajorelle</t>
  </si>
  <si>
    <t>Email corrigé (maisonbrummell.com) ; tél. officiel ajouté ; tél. alt. 06 66 83 38 46 | Ligne contact (sans fiche hébergement dédiée) [Ancien statut: Complété ✦]</t>
  </si>
  <si>
    <t>ESP004</t>
  </si>
  <si>
    <t>H018</t>
  </si>
  <si>
    <t>Pilates &amp; Detox · femmes · Guéliz</t>
  </si>
  <si>
    <t>EVT142</t>
  </si>
  <si>
    <t>Cours de cuisine</t>
  </si>
  <si>
    <t>Amal Women's Training Center</t>
  </si>
  <si>
    <t>Domaine de Shama</t>
  </si>
  <si>
    <t>https://villas-riads-marrakech.com</t>
  </si>
  <si>
    <t>Domaine de la Roseraie</t>
  </si>
  <si>
    <t>Hôtel de charme &amp; spa (vallée d'Ouirgane, Atlas)</t>
  </si>
  <si>
    <t>Reformer pilates studio · Guéliz</t>
  </si>
  <si>
    <t>Région (10 min centre)</t>
  </si>
  <si>
    <t>10 min centre Marrakech (à compléter)</t>
  </si>
  <si>
    <t>EVT143</t>
  </si>
  <si>
    <t>+212 524 38 74 84</t>
  </si>
  <si>
    <t>+212 524 43 91 28</t>
  </si>
  <si>
    <t>ACT164</t>
  </si>
  <si>
    <t>Mme Khatib</t>
  </si>
  <si>
    <t>Pilates Reformer &amp; Yoga</t>
  </si>
  <si>
    <t>laroseraiehotel.com</t>
  </si>
  <si>
    <t>Complexe événementiel · villa de maître + 10 pavillons de luxe · jusqu'à 48 pax · piscine chauffée · patio de réception + tente berbère</t>
  </si>
  <si>
    <t>@laroseraieourika</t>
  </si>
  <si>
    <t>EVT144</t>
  </si>
  <si>
    <t>EV-MAR · EV-GALA · EV-SEM</t>
  </si>
  <si>
    <t>H020</t>
  </si>
  <si>
    <t>Entraînement Reformer · coachs certifiés</t>
  </si>
  <si>
    <t>EVT145</t>
  </si>
  <si>
    <t>ESP005</t>
  </si>
  <si>
    <t>Royal Mansour Cooking School</t>
  </si>
  <si>
    <t>Jeefit Pilates (Lagree)</t>
  </si>
  <si>
    <t>La Pause</t>
  </si>
  <si>
    <t>Megaformer/Lagree · coaching privatif</t>
  </si>
  <si>
    <t>+212 688 99 94 06</t>
  </si>
  <si>
    <t>EVT146</t>
  </si>
  <si>
    <t>Domaine La Siesta</t>
  </si>
  <si>
    <t>+212 610 77 22 40</t>
  </si>
  <si>
    <t>ACT165</t>
  </si>
  <si>
    <t>contact@siesta-marrakech.com</t>
  </si>
  <si>
    <t>+212 610772240 (à confirmer)</t>
  </si>
  <si>
    <t>+212 606 605 612</t>
  </si>
  <si>
    <t>https://siesta-marrakech.com</t>
  </si>
  <si>
    <t>Mme Selma / Direction commerciale</t>
  </si>
  <si>
    <t>lapause-marrakech.com</t>
  </si>
  <si>
    <t>@lapause_marrakech</t>
  </si>
  <si>
    <t>Move studio · coaching bien-être</t>
  </si>
  <si>
    <t>EVT147</t>
  </si>
  <si>
    <t>H021</t>
  </si>
  <si>
    <t>Cloud Pilates (juice bar detox)</t>
  </si>
  <si>
    <t>Domaine événementiel · villas privatives · piscine à débordement + solarium · grandes salles de réception · service wedding planner intégré</t>
  </si>
  <si>
    <t>Bar à jus detox en studio · Guéliz</t>
  </si>
  <si>
    <t>EVT148</t>
  </si>
  <si>
    <t>Lotus Chef</t>
  </si>
  <si>
    <t>Danseurs, performers, artistes de cirque</t>
  </si>
  <si>
    <t>Kasbah Tamadot</t>
  </si>
  <si>
    <t>Luxe · Virgin Limited Edition (Asni, Haut Atlas)</t>
  </si>
  <si>
    <t>ESP006</t>
  </si>
  <si>
    <t>EVT149</t>
  </si>
  <si>
    <t>+212 524 36 82 00</t>
  </si>
  <si>
    <t>Mme Rachael</t>
  </si>
  <si>
    <t>virginlimitededition.com</t>
  </si>
  <si>
    <t>@kasbahtamadot</t>
  </si>
  <si>
    <t>Villa Mayaz</t>
  </si>
  <si>
    <t>ACT166</t>
  </si>
  <si>
    <t>Virgin Limited Edition · 3 Clés Michelin 2025</t>
  </si>
  <si>
    <t>Animation · magiciens, performers de rue</t>
  </si>
  <si>
    <t>https://villamayaz.com</t>
  </si>
  <si>
    <t>EVT150</t>
  </si>
  <si>
    <t>H022</t>
  </si>
  <si>
    <t>Route de Fès, Marrakech (à compléter)</t>
  </si>
  <si>
    <t>MC/animation · +150 profils artistiques</t>
  </si>
  <si>
    <t>5 chambres · jardin demi-hectare · piscine chauffée toute l'année · EVJF / anniversaire / garden party / dîner sous étoiles · contacts photographe/yoga/esthéticienne</t>
  </si>
  <si>
    <t>Éco-lodge de charme (vallée de l'Ourika)</t>
  </si>
  <si>
    <t>+212 661 63 42 34</t>
  </si>
  <si>
    <t>EV-EVJF · EV-AFA · EV-DEM</t>
  </si>
  <si>
    <t>+212 661634234 (à confirmer)</t>
  </si>
  <si>
    <t>Chef Tarik</t>
  </si>
  <si>
    <t>Mme Yngrid / Direction Hôtel</t>
  </si>
  <si>
    <t>babourika.com</t>
  </si>
  <si>
    <t>@kasbahbabourika</t>
  </si>
  <si>
    <t>ESP007</t>
  </si>
  <si>
    <t>H023</t>
  </si>
  <si>
    <t>ACT167</t>
  </si>
  <si>
    <t>Lodge de montagne (Imlil, Haut Atlas) · National Geographic Unique Lodges</t>
  </si>
  <si>
    <t>Luxury Villa Marrakech</t>
  </si>
  <si>
    <t>https://luxuryvillamarrakech.com</t>
  </si>
  <si>
    <t>Mr Lahssen</t>
  </si>
  <si>
    <t>kasbahdutoubkal.com</t>
  </si>
  <si>
    <t>facebook.com/kasbahdutoubkal</t>
  </si>
  <si>
    <t>H025</t>
  </si>
  <si>
    <t>6 suites · piscine chauffée 25 m · jacuzzi XXL · hammam · sauna · salle de sport · padel/foot/pétanque/tir à l'arc · vastes espaces réception · parking 5 véh + borne élec</t>
  </si>
  <si>
    <t>EV-AFE · EV-EVJF · EV-SEM</t>
  </si>
  <si>
    <t>ACT168</t>
  </si>
  <si>
    <t>Fairmont Royal Palm Marrakech</t>
  </si>
  <si>
    <t>5★ · Resort &amp; golf (Route d'Amizmiz)</t>
  </si>
  <si>
    <t>ESP008</t>
  </si>
  <si>
    <t>Mr Yassine Belouadoudi</t>
  </si>
  <si>
    <t>fairmont.com/marrakech</t>
  </si>
  <si>
    <t>Villa Jardin Nomade</t>
  </si>
  <si>
    <t>H029</t>
  </si>
  <si>
    <t>Sud Marrakech</t>
  </si>
  <si>
    <t>Sud Marrakech (à compléter)</t>
  </si>
  <si>
    <t>ACT169</t>
  </si>
  <si>
    <t>Es Saadi Marrakech Resort</t>
  </si>
  <si>
    <t>5★ · Resort &amp; Palace (Hivernage)</t>
  </si>
  <si>
    <t>Villa privatisable · événements privés depuis ~10 ans · proche centre &amp; aéroport</t>
  </si>
  <si>
    <t>EV-MAR · EV-AFA</t>
  </si>
  <si>
    <t>+212 524 44 88 11</t>
  </si>
  <si>
    <t>Mme Rania Baamri</t>
  </si>
  <si>
    <t>essaadi.com</t>
  </si>
  <si>
    <t>@essaadi</t>
  </si>
  <si>
    <t>Beach Club</t>
  </si>
  <si>
    <t>Famous Beach</t>
  </si>
  <si>
    <t>ESP009</t>
  </si>
  <si>
    <t>H034</t>
  </si>
  <si>
    <t>@amalcenter</t>
  </si>
  <si>
    <t>3 h</t>
  </si>
  <si>
    <t>ACT170</t>
  </si>
  <si>
    <t>Dar Ahlam</t>
  </si>
  <si>
    <t>Maison d'hôtes de luxe (Relais &amp; Châteaux)</t>
  </si>
  <si>
    <t>Domaine des Remparts</t>
  </si>
  <si>
    <t>+212 524 32 70 60</t>
  </si>
  <si>
    <t>Proche centre</t>
  </si>
  <si>
    <t>Proche centre Marrakech (à compléter)</t>
  </si>
  <si>
    <t>+212 524 852 239</t>
  </si>
  <si>
    <t>Mr Abdelhak / Gérant</t>
  </si>
  <si>
    <t>@darahlam</t>
  </si>
  <si>
    <t>Fairmont Royal Palm Cabana</t>
  </si>
  <si>
    <t>Parc verdoyant 2 hectares · décor luxueux &amp; raffiné · réseau prestataires extérieurs qualifiés</t>
  </si>
  <si>
    <t>H038</t>
  </si>
  <si>
    <t>ACT171</t>
  </si>
  <si>
    <t>Domaine Akhdar</t>
  </si>
  <si>
    <t>Domaine / maison d'hôtes (région Marrakech)</t>
  </si>
  <si>
    <t>ESP010</t>
  </si>
  <si>
    <t>+212 661 44 64 88</t>
  </si>
  <si>
    <t>+212 661446488 (à confirmer)</t>
  </si>
  <si>
    <t>Mr Philippe</t>
  </si>
  <si>
    <t>Domaine Akhdar / Villa Magtafa</t>
  </si>
  <si>
    <t>Palais Namaskar Pool</t>
  </si>
  <si>
    <t>Inara Camp Agafay</t>
  </si>
  <si>
    <t>H040</t>
  </si>
  <si>
    <t>+212 674 90 24 27</t>
  </si>
  <si>
    <t>Désert d'Agafay (~1h Marrakech)</t>
  </si>
  <si>
    <t>ACT172</t>
  </si>
  <si>
    <t>21 ha · 18 tentes (25–36 m²) · espace événements « Les Terrasses d'Agafay » · restaurant Le Soukoune · piscine · privatisation partielle ou totale · créé par Vincent Jaquet</t>
  </si>
  <si>
    <t>La Mamounia — Espaces Séminaires</t>
  </si>
  <si>
    <t>5★ Palace (Médina) · espaces MICE</t>
  </si>
  <si>
    <t>PUB-GRP · PUB-CPL · PUB-FAM</t>
  </si>
  <si>
    <t>informations@mamounia.com</t>
  </si>
  <si>
    <t>Mme Ikram</t>
  </si>
  <si>
    <t>ESP011</t>
  </si>
  <si>
    <t>@mamounialuxury</t>
  </si>
  <si>
    <t>@LaMamouniaMarrakech</t>
  </si>
  <si>
    <t>Mandarin Oriental Pool Day</t>
  </si>
  <si>
    <t>H041</t>
  </si>
  <si>
    <t>event@scarabeo-camp.com</t>
  </si>
  <si>
    <t>https://scarabeocamp.com</t>
  </si>
  <si>
    <t>Désert d'Agafay (~45 min Marrakech)</t>
  </si>
  <si>
    <t>Royal Mansour — MICE &amp; Privatisation</t>
  </si>
  <si>
    <t>Palace d'exception (53 riads) · MICE &amp; privatisation</t>
  </si>
  <si>
    <t>ACT173</t>
  </si>
  <si>
    <t>Camp safari chic pionnier d'Agafay · mobilier vintage · ambiance bohème · prisé photographes/influenceurs · privatisable</t>
  </si>
  <si>
    <t>events@royalmansour.com</t>
  </si>
  <si>
    <t>Direction MICE</t>
  </si>
  <si>
    <t>EV-AFE · EV-DIN · EV-MAR</t>
  </si>
  <si>
    <t>H043</t>
  </si>
  <si>
    <t>ESP012</t>
  </si>
  <si>
    <t>Riad BE Marrakech</t>
  </si>
  <si>
    <t>Riad boutique (Médina)</t>
  </si>
  <si>
    <t>Sofitel Marrakech Pool</t>
  </si>
  <si>
    <t>oxygenlodgeagafay@gmail.com</t>
  </si>
  <si>
    <t>+212 611 311 189</t>
  </si>
  <si>
    <t>https://oxygenlodgeagafay.com</t>
  </si>
  <si>
    <t>Plateau d'Agafay (~40 min Marrakech)</t>
  </si>
  <si>
    <t>+212 524 38 45 11</t>
  </si>
  <si>
    <t>+212 670 364105</t>
  </si>
  <si>
    <t>beincontact@be-marrakech.com</t>
  </si>
  <si>
    <t>Mr Walid / Sce Commercial</t>
  </si>
  <si>
    <t>https://www.be-marrakech.com</t>
  </si>
  <si>
    <t>@riadbe</t>
  </si>
  <si>
    <t>https://facebook.com/riadbemarrakech</t>
  </si>
  <si>
    <t>ACT174</t>
  </si>
  <si>
    <t>Camp haut de gamme · domaine privé vue Atlas · piscine à débordement · espaces bien-être · tentes spacieuses · luxe discret éco-responsable</t>
  </si>
  <si>
    <t>H047</t>
  </si>
  <si>
    <t>EV-AFE · EV-DIN</t>
  </si>
  <si>
    <t>La Sultana Marrakech — Comité Direction</t>
  </si>
  <si>
    <t>5★ luxe · privatisable (Small Luxury Hotels)</t>
  </si>
  <si>
    <t>ESP013</t>
  </si>
  <si>
    <t>Rue de la Kasbah, Médina (près Tombeaux Saadiens)</t>
  </si>
  <si>
    <t>Mme Nirmine</t>
  </si>
  <si>
    <t>Eden Aquapark VIP</t>
  </si>
  <si>
    <t>@lasultanahotels</t>
  </si>
  <si>
    <t>Palais Dar Soukkar</t>
  </si>
  <si>
    <t>event@darsoukkar.com</t>
  </si>
  <si>
    <t>H048</t>
  </si>
  <si>
    <t>https://darsoukkar.com</t>
  </si>
  <si>
    <t>Médina (10 min Jemaa el-Fna)</t>
  </si>
  <si>
    <t>Marrakech, à 10 min de la place Jemaa el-Fna</t>
  </si>
  <si>
    <t>ACT175</t>
  </si>
  <si>
    <t>Palais XVIe siècle (ancienne usine sucrière, 450 ans) · rénové 2004 · 8 espaces privatisables · 1800 assis / 2500 cocktail · terrasse 1200 m² · dîner-spectacle · tél alt +212 524 375 535</t>
  </si>
  <si>
    <t>Riad Farnatchi — Séminaires Premium</t>
  </si>
  <si>
    <t>Riad boutique de luxe (Médina) · séminaires premium</t>
  </si>
  <si>
    <t>Shooting privé</t>
  </si>
  <si>
    <t>Shoot My Travel Marrakech</t>
  </si>
  <si>
    <t>ESP014</t>
  </si>
  <si>
    <t>+212 524 38 49 10</t>
  </si>
  <si>
    <t>info@lefarnatchi.com</t>
  </si>
  <si>
    <t>Mr Gamse (DG)</t>
  </si>
  <si>
    <t>riadfarnatchi.com</t>
  </si>
  <si>
    <t>@riadfarnatchi</t>
  </si>
  <si>
    <t>@LeFarnatchi</t>
  </si>
  <si>
    <t>Villa Florentine (Coco Canel)</t>
  </si>
  <si>
    <t>+212 524 39 11 76</t>
  </si>
  <si>
    <t>@laplagerougemarrakech</t>
  </si>
  <si>
    <t>+212 524 37 55 54</t>
  </si>
  <si>
    <t>https://villaflorentine-marrakech.com</t>
  </si>
  <si>
    <t>ACT176</t>
  </si>
  <si>
    <t>H050</t>
  </si>
  <si>
    <t>12 ch · 20-30 pax · piscine chauffée</t>
  </si>
  <si>
    <t>ESP015</t>
  </si>
  <si>
    <t>Riad Vendôme &amp; Spa</t>
  </si>
  <si>
    <t>via riad-vendome-marrakech.com (formulaire)</t>
  </si>
  <si>
    <t>+212 600 608 608</t>
  </si>
  <si>
    <t>https://riad-vendome-marrakech.com</t>
  </si>
  <si>
    <t>Médina · Dar El Bacha</t>
  </si>
  <si>
    <t>Bivouac de luxe Agafay (18 tentes · espace événements)</t>
  </si>
  <si>
    <t>Shooting Instagram</t>
  </si>
  <si>
    <t>Smiler Marrakech</t>
  </si>
  <si>
    <t>12-17 ch · 10-45 pax · rooftop 200m² · dès 900€/nuit</t>
  </si>
  <si>
    <t>ESP016</t>
  </si>
  <si>
    <t>@fairmontroyalpalm</t>
  </si>
  <si>
    <t>Mme Karima</t>
  </si>
  <si>
    <t>inaracamp.com</t>
  </si>
  <si>
    <t>reservation@palaissebban.com</t>
  </si>
  <si>
    <t>+212 524 44 02 25</t>
  </si>
  <si>
    <t>ACT177</t>
  </si>
  <si>
    <t>Privatisation complète · suites communicantes</t>
  </si>
  <si>
    <t>H052</t>
  </si>
  <si>
    <t>ESP017</t>
  </si>
  <si>
    <t>Les Jardins de la Médina</t>
  </si>
  <si>
    <t>+212 524 38 18 51</t>
  </si>
  <si>
    <t>Proposal Marrakech</t>
  </si>
  <si>
    <t>Four Seasons Resort — Espaces MICE</t>
  </si>
  <si>
    <t>Privatisation · espaces réception</t>
  </si>
  <si>
    <t>5★ · Resort (Quartier de l'Hivernage) · espaces MICE</t>
  </si>
  <si>
    <t>1 Boulevard de la Menara, L'Hivernage</t>
  </si>
  <si>
    <t>ESP018</t>
  </si>
  <si>
    <t>Dar Darma</t>
  </si>
  <si>
    <t>reservation@dardarma.com</t>
  </si>
  <si>
    <t>+212 616 86 88 66</t>
  </si>
  <si>
    <t>+212 524 359 222</t>
  </si>
  <si>
    <t>ACT178</t>
  </si>
  <si>
    <t>Mr Mohamed Aaouad</t>
  </si>
  <si>
    <t>fourseasons.com/marrakech</t>
  </si>
  <si>
    <t>Riad privatisable événements</t>
  </si>
  <si>
    <t>H053</t>
  </si>
  <si>
    <t>Shooting luxe</t>
  </si>
  <si>
    <t>ESP019</t>
  </si>
  <si>
    <t>Studio Prestige Marrakech</t>
  </si>
  <si>
    <t>Mandarin Oriental — MICE &amp; Boards</t>
  </si>
  <si>
    <t>5★ · Resort (Route Golf Royal) · MICE &amp; boards</t>
  </si>
  <si>
    <t>via be-marrakech.com (formulaire)</t>
  </si>
  <si>
    <t>+212 670 36 41 05</t>
  </si>
  <si>
    <t>Partenariats artistes · privatisation</t>
  </si>
  <si>
    <t>ACT179</t>
  </si>
  <si>
    <t>ESP020</t>
  </si>
  <si>
    <t>mandarinoriental.com/marrakech</t>
  </si>
  <si>
    <t>Riad Taj Omayma</t>
  </si>
  <si>
    <t>H055</t>
  </si>
  <si>
    <t>Terrasse 200m² vue Atlas · modulable</t>
  </si>
  <si>
    <t>ESP021</t>
  </si>
  <si>
    <t>Amanjena — Retraite Palmeraie</t>
  </si>
  <si>
    <t>Shooting lifestyle</t>
  </si>
  <si>
    <t>Studio Photo Guéliz</t>
  </si>
  <si>
    <t>5★ · Resort Aman (Route d'Ouarzazate) · retraite</t>
  </si>
  <si>
    <t>via l-hotelmarrakech.com (formulaire)</t>
  </si>
  <si>
    <t>Riad 19e · jardin &amp; piscine</t>
  </si>
  <si>
    <t>ESP022</t>
  </si>
  <si>
    <t>ACT180</t>
  </si>
  <si>
    <t>aman.com</t>
  </si>
  <si>
    <t>contact@kabana-marrakech.com</t>
  </si>
  <si>
    <t>H056</t>
  </si>
  <si>
    <t>https://kabana-marrakech.com</t>
  </si>
  <si>
    <t>Médina (entrée)</t>
  </si>
  <si>
    <t>Vue Koutoubia · privatisation partielle/totale</t>
  </si>
  <si>
    <t>ESP023</t>
  </si>
  <si>
    <t>The Oberoi Marrakech — Slow Luxury</t>
  </si>
  <si>
    <t>5★ · Resort Oberoi (Route du Golf Royal)</t>
  </si>
  <si>
    <t>Skybar Arkech</t>
  </si>
  <si>
    <t>+212 600 00 85 00</t>
  </si>
  <si>
    <t>Shooting mariage</t>
  </si>
  <si>
    <t>Studio Yassine Photography</t>
  </si>
  <si>
    <t>https://arkech.ma</t>
  </si>
  <si>
    <t>Rooftop Café Extrablatt · DJ live</t>
  </si>
  <si>
    <t>Mme Sara</t>
  </si>
  <si>
    <t>oberoihotels.com</t>
  </si>
  <si>
    <t>@edenaquapark</t>
  </si>
  <si>
    <t>@oberoihotels</t>
  </si>
  <si>
    <t>ESP024</t>
  </si>
  <si>
    <t>ACT181</t>
  </si>
  <si>
    <t>H057</t>
  </si>
  <si>
    <t>Sky Lounge The Pearl</t>
  </si>
  <si>
    <t>via thepearlmarrakech.com</t>
  </si>
  <si>
    <t>Vue médina &amp; Atlas · lounge moderne</t>
  </si>
  <si>
    <t>ESP025</t>
  </si>
  <si>
    <t>Cours de cuisine / food tour</t>
  </si>
  <si>
    <t>Marrakech Food Tours</t>
  </si>
  <si>
    <t>MY Kechmara</t>
  </si>
  <si>
    <t>contact@mykechmara-rooftop.com</t>
  </si>
  <si>
    <t>+212 524 42 25 32</t>
  </si>
  <si>
    <t>Selman Marrakech — Spa &amp; Wellness</t>
  </si>
  <si>
    <t>@shootmytravel</t>
  </si>
  <si>
    <t>5★ · Resort (Route d'Amizmiz) · spa &amp; wellness</t>
  </si>
  <si>
    <t>Fusion maroco-internationale · DJ résidents</t>
  </si>
  <si>
    <t>ESP026</t>
  </si>
  <si>
    <t>ACT182</t>
  </si>
  <si>
    <t>Mr Badr Eddine</t>
  </si>
  <si>
    <t>Rooftop Dardar</t>
  </si>
  <si>
    <t>dardarconcept@gmail.com</t>
  </si>
  <si>
    <t>selman-marrakech.com</t>
  </si>
  <si>
    <t>+212 623 61 11 21</t>
  </si>
  <si>
    <t>Médina · Jemaa El Fna</t>
  </si>
  <si>
    <t>Terrasse · DJ live · vue Koutoubia</t>
  </si>
  <si>
    <t>H064</t>
  </si>
  <si>
    <t>ESP027</t>
  </si>
  <si>
    <t>contact@lmidamarrakech.com</t>
  </si>
  <si>
    <t>+212 524 44 36 62</t>
  </si>
  <si>
    <t>Médina · place des épices</t>
  </si>
  <si>
    <t>@smilerco</t>
  </si>
  <si>
    <t>30 min</t>
  </si>
  <si>
    <t>Villa des Orangers — Domaine Famille</t>
  </si>
  <si>
    <t>Rooftop · vue Koutoubia</t>
  </si>
  <si>
    <t>5★ · Relais &amp; Châteaux (Médina)</t>
  </si>
  <si>
    <t>ACT183</t>
  </si>
  <si>
    <t>ESP028</t>
  </si>
  <si>
    <t>Sur devis (privatisation)</t>
  </si>
  <si>
    <t>info@cafearabe.com</t>
  </si>
  <si>
    <t>reservation@villadesorangers.com</t>
  </si>
  <si>
    <t>+212 524 42 97 28</t>
  </si>
  <si>
    <t>villadesorangers.com</t>
  </si>
  <si>
    <t>H271</t>
  </si>
  <si>
    <t>Rooftop emblématique · vue médina</t>
  </si>
  <si>
    <t>Sur mesure</t>
  </si>
  <si>
    <t>ACT184</t>
  </si>
  <si>
    <t>ESP029</t>
  </si>
  <si>
    <t>Villa des Orangers — Privatisation</t>
  </si>
  <si>
    <t>Zest Rooftop – Four Seasons</t>
  </si>
  <si>
    <t>Rooftop bar · vue Atlas</t>
  </si>
  <si>
    <t>H065</t>
  </si>
  <si>
    <t>Oberoi Marrakech</t>
  </si>
  <si>
    <t>ESP030</t>
  </si>
  <si>
    <t>90 min</t>
  </si>
  <si>
    <t>Domaine Rosaroum</t>
  </si>
  <si>
    <t>Domaine / villa de réception (région Marrakech)</t>
  </si>
  <si>
    <t>La Terrasse by JF Piège – Selman</t>
  </si>
  <si>
    <t>ACT185</t>
  </si>
  <si>
    <t>+212 661 46 61 62</t>
  </si>
  <si>
    <t>+212 661466162 (à confirmer)</t>
  </si>
  <si>
    <t>Rooftop gastronomique</t>
  </si>
  <si>
    <t>contact@domainerosaroum.com</t>
  </si>
  <si>
    <t>Mr David</t>
  </si>
  <si>
    <t>https://domainerosaroum.com</t>
  </si>
  <si>
    <t>@rosaroum</t>
  </si>
  <si>
    <t>@domainerosaroum</t>
  </si>
  <si>
    <t>ESP031</t>
  </si>
  <si>
    <t>Marrakech Desert Trips</t>
  </si>
  <si>
    <t>MK Rooftop</t>
  </si>
  <si>
    <t>contact@maisonmk.com</t>
  </si>
  <si>
    <t>H067</t>
  </si>
  <si>
    <t>+212 702 08 45 55</t>
  </si>
  <si>
    <t>Terrasse panoramique plusieurs niveaux</t>
  </si>
  <si>
    <t>ESP032</t>
  </si>
  <si>
    <t>Palais Rhoul</t>
  </si>
  <si>
    <t>ACT186</t>
  </si>
  <si>
    <t>Palais-hôtel &amp; spa (Palmeraie)</t>
  </si>
  <si>
    <t>Palmeraie (Dar Tounsi)</t>
  </si>
  <si>
    <t>contact@foundouk.com</t>
  </si>
  <si>
    <t>+212 524 378 190 / +212 670 129 515</t>
  </si>
  <si>
    <t>https://foundouk.com</t>
  </si>
  <si>
    <t>Médina · Tanneurs</t>
  </si>
  <si>
    <t>12-120 pax · terrasse 80 pax</t>
  </si>
  <si>
    <t>ESP033</t>
  </si>
  <si>
    <t>+212 524 32 94 94</t>
  </si>
  <si>
    <t>+212 702 085 025</t>
  </si>
  <si>
    <t>info@palais-rhoul.com</t>
  </si>
  <si>
    <t>Mme Nada</t>
  </si>
  <si>
    <t>Terrasse des épices</t>
  </si>
  <si>
    <t>contact@terrassedesepices.com</t>
  </si>
  <si>
    <t>https://www.palais-rhoul.com</t>
  </si>
  <si>
    <t>+212 524 37 59 04</t>
  </si>
  <si>
    <t>https://terrassedesepices.com</t>
  </si>
  <si>
    <t>@palaisrhoul</t>
  </si>
  <si>
    <t>@PalaisRhoul</t>
  </si>
  <si>
    <t>Beach Club / Pool Day</t>
  </si>
  <si>
    <t>Privatisation partielle/totale</t>
  </si>
  <si>
    <t>H272</t>
  </si>
  <si>
    <t>ESP034</t>
  </si>
  <si>
    <t>ACT187</t>
  </si>
  <si>
    <t>Villa Aaron</t>
  </si>
  <si>
    <t>contact@villa-aaron.com</t>
  </si>
  <si>
    <t>+212 669 09 08 28</t>
  </si>
  <si>
    <t>https://villa-aaron.com</t>
  </si>
  <si>
    <t>Palais Rhoul — Privatisation</t>
  </si>
  <si>
    <t>Patio &amp; salons · privatisation</t>
  </si>
  <si>
    <t>ESP035</t>
  </si>
  <si>
    <t>4 h</t>
  </si>
  <si>
    <t>10 min Jemaa el-Fna</t>
  </si>
  <si>
    <t>ACT188</t>
  </si>
  <si>
    <t>8 espaces · 1800 assis / 2500 cocktail</t>
  </si>
  <si>
    <t>H068</t>
  </si>
  <si>
    <t>ESP036</t>
  </si>
  <si>
    <t>Léopard Marrakech</t>
  </si>
  <si>
    <t>contact@leopardmarrakech.com</t>
  </si>
  <si>
    <t>+212 625 566 566</t>
  </si>
  <si>
    <t>https://leopardmarrakech.com</t>
  </si>
  <si>
    <t>The Source Marrakech</t>
  </si>
  <si>
    <t>Villa / retraite bien-être (région Marrakech)</t>
  </si>
  <si>
    <t>Kenzi Club Agdal Medina</t>
  </si>
  <si>
    <t>Zone Agdal</t>
  </si>
  <si>
    <t>130 assis / 180 cocktail · 380m²</t>
  </si>
  <si>
    <t>+212 661 89 76 23</t>
  </si>
  <si>
    <t>ESP037</t>
  </si>
  <si>
    <t>+212 600 066 229</t>
  </si>
  <si>
    <t>reservations@thesourcemarrakech.com</t>
  </si>
  <si>
    <t>Direction Événementielle</t>
  </si>
  <si>
    <t>ACT189</t>
  </si>
  <si>
    <t>https://thesourcemarrakech.com</t>
  </si>
  <si>
    <t>@thesourcemarrakech</t>
  </si>
  <si>
    <t>Diaffa</t>
  </si>
  <si>
    <t>restaurantdiaffa@gmail.com</t>
  </si>
  <si>
    <t>+212 524 38 68 98</t>
  </si>
  <si>
    <t>https://diaffa.ma</t>
  </si>
  <si>
    <t>H273</t>
  </si>
  <si>
    <t>Maison 16e · salons / patio / étages</t>
  </si>
  <si>
    <t>ESP038</t>
  </si>
  <si>
    <t>The Source Marrakech — Privatisation</t>
  </si>
  <si>
    <t>Famous Beach Marrakech</t>
  </si>
  <si>
    <t>info@famousbeachmarrakech.com</t>
  </si>
  <si>
    <t>+212 703 90 53 53</t>
  </si>
  <si>
    <t>https://famousbeachmarrakech.com</t>
  </si>
  <si>
    <t>20 000 m² · piscines · VIP beds · pool parties</t>
  </si>
  <si>
    <t>ESP039</t>
  </si>
  <si>
    <t>Aqua Mirage Club</t>
  </si>
  <si>
    <t>Route du Barrage</t>
  </si>
  <si>
    <t>Beach Mama (Waky Marrakech)</t>
  </si>
  <si>
    <t>+212 619 27 29 45</t>
  </si>
  <si>
    <t>H069</t>
  </si>
  <si>
    <t>Lac · wakeboard · piscine chauffée · cuisine espagnole</t>
  </si>
  <si>
    <t>ESP040</t>
  </si>
  <si>
    <t>ACT190</t>
  </si>
  <si>
    <t>Nommos Beach Resort</t>
  </si>
  <si>
    <t>via nommosbeachresort.com</t>
  </si>
  <si>
    <t>Beldi Country Club — Privatisation</t>
  </si>
  <si>
    <t>+212 524 02 08 25</t>
  </si>
  <si>
    <t>https://nommosbeachresort.com</t>
  </si>
  <si>
    <t>Domaine-hôtel de charme (~38 suites · 15 ha, Route du Barrage Cherifia)</t>
  </si>
  <si>
    <t>Km 6, Route du Barrage (Cherifia)</t>
  </si>
  <si>
    <t>Route du Barrage (Cherifia)</t>
  </si>
  <si>
    <t>55+ beds · DJ résidents · navette gratuite</t>
  </si>
  <si>
    <t>ESP041</t>
  </si>
  <si>
    <t>+212 524 38 39 50</t>
  </si>
  <si>
    <t>Café Del Mar Marrakech</t>
  </si>
  <si>
    <t>info@cafedelmarkech.com</t>
  </si>
  <si>
    <t>+212 665 71 05 10</t>
  </si>
  <si>
    <t>contact@beldicountryclub.com</t>
  </si>
  <si>
    <t>Mr Alexandre / Mme Loubna</t>
  </si>
  <si>
    <t>beldicountryclub.com</t>
  </si>
  <si>
    <t>Golf (27 trous)</t>
  </si>
  <si>
    <t>@beldicountryclub</t>
  </si>
  <si>
    <t>PalmGolf Palmeraie</t>
  </si>
  <si>
    <t>Piscine à débordement · DJ sets · vue Atlas</t>
  </si>
  <si>
    <t>ESP042</t>
  </si>
  <si>
    <t>H247</t>
  </si>
  <si>
    <t>Pink Cactus</t>
  </si>
  <si>
    <t>lavilladesgolfs@gmail.com</t>
  </si>
  <si>
    <t>+212 671 63 23 63</t>
  </si>
  <si>
    <t>Route de Ouarzazate (Golf Amelkis)</t>
  </si>
  <si>
    <t>Pool club bohème · cuisine méditerranéenne</t>
  </si>
  <si>
    <t>La Sultana — Suites Signature</t>
  </si>
  <si>
    <t>ESP043</t>
  </si>
  <si>
    <t>ACT191</t>
  </si>
  <si>
    <t>Villa Nour</t>
  </si>
  <si>
    <t>via villa-nour.com (formulaire)</t>
  </si>
  <si>
    <t>+212 783 147 443</t>
  </si>
  <si>
    <t>Km 6 route d'Amizmiz</t>
  </si>
  <si>
    <t>⚠ SOURCÉ SOLY — coordonnées &amp; tarif à vérifier</t>
  </si>
  <si>
    <t>Piscine · day pass</t>
  </si>
  <si>
    <t>ESP044</t>
  </si>
  <si>
    <t>H071</t>
  </si>
  <si>
    <t>Oasis Lodges</t>
  </si>
  <si>
    <t>info@oasislodges.net</t>
  </si>
  <si>
    <t>+212 524 36 85 40</t>
  </si>
  <si>
    <t>Km 4 route d'Amizmiz</t>
  </si>
  <si>
    <t>Golf (18 trous)</t>
  </si>
  <si>
    <t>Noria Golf Club</t>
  </si>
  <si>
    <t>Beach club · day pass</t>
  </si>
  <si>
    <t>ESP045</t>
  </si>
  <si>
    <t>Club Med Marrakech La Palmeraie</t>
  </si>
  <si>
    <t>4 tridents · Resort club (La Palmeraie)</t>
  </si>
  <si>
    <t>+212 615 34 61 08</t>
  </si>
  <si>
    <t>Club Med La Palmeraie</t>
  </si>
  <si>
    <t>Sidi Yahya, La Palmeraie</t>
  </si>
  <si>
    <t>Sidi Yahya · Palmeraie</t>
  </si>
  <si>
    <t>ACT192</t>
  </si>
  <si>
    <t>Réservation centrale (tél)</t>
  </si>
  <si>
    <t>Day pass piscine · activités</t>
  </si>
  <si>
    <t>ESP046</t>
  </si>
  <si>
    <t>+212 524 33 49 00</t>
  </si>
  <si>
    <t>Réservation centrale via clubmed.com (pas d'email direct resort)</t>
  </si>
  <si>
    <t>Mme Ibtissam</t>
  </si>
  <si>
    <t>clubmed.fr</t>
  </si>
  <si>
    <t>@clubmed</t>
  </si>
  <si>
    <t>Les Jardins de Marrakech</t>
  </si>
  <si>
    <t>lesjardins.marrakech@gmail.com</t>
  </si>
  <si>
    <t>+212 665 97 48 62</t>
  </si>
  <si>
    <t>https://jardinsdemarrakech.com</t>
  </si>
  <si>
    <t>H274</t>
  </si>
  <si>
    <t>Domaine 2,8 ha privatisable · mariage/séminaire</t>
  </si>
  <si>
    <t>Montgolfière</t>
  </si>
  <si>
    <t>Atlas Montgolfière</t>
  </si>
  <si>
    <t>ESP047</t>
  </si>
  <si>
    <t>Les Terrasses d'Agafay</t>
  </si>
  <si>
    <t>https://lesterrassesdagafay.com</t>
  </si>
  <si>
    <t>ACT193</t>
  </si>
  <si>
    <t>Club Med La Palmeraie — Privatisation</t>
  </si>
  <si>
    <t>Espaces modulables · réception mariage</t>
  </si>
  <si>
    <t>ESP048</t>
  </si>
  <si>
    <t>Musée Yves Saint Laurent · Jardin Majorelle</t>
  </si>
  <si>
    <t>info@museeyslmarrakech.com</t>
  </si>
  <si>
    <t>+212 524 31 30 47</t>
  </si>
  <si>
    <t>Adventure Balloon Marrakech</t>
  </si>
  <si>
    <t>Espace culturel privatisable événements</t>
  </si>
  <si>
    <t>ESP049</t>
  </si>
  <si>
    <t>Jardin Anima (André Heller)</t>
  </si>
  <si>
    <t>info@anima-garden.com</t>
  </si>
  <si>
    <t>H222</t>
  </si>
  <si>
    <t>Route d'Ourika</t>
  </si>
  <si>
    <t>ACT194</t>
  </si>
  <si>
    <t>Jardin artistique privatisable</t>
  </si>
  <si>
    <t>ESP050</t>
  </si>
  <si>
    <t>Oberoi Royal Villa</t>
  </si>
  <si>
    <t>Route de Ouarzazate, Km 12</t>
  </si>
  <si>
    <t>Jardins de la Ménara</t>
  </si>
  <si>
    <t>Ménara</t>
  </si>
  <si>
    <t>Jardins historiques · bassin</t>
  </si>
  <si>
    <t>ESP051</t>
  </si>
  <si>
    <t>Ballooning Marrakech</t>
  </si>
  <si>
    <t>H223</t>
  </si>
  <si>
    <t>Amanjena Private Pavilion</t>
  </si>
  <si>
    <t>@kenziclubagdal</t>
  </si>
  <si>
    <t>ACT195</t>
  </si>
  <si>
    <t>Camp-jardin désert · réception</t>
  </si>
  <si>
    <t>ESP052</t>
  </si>
  <si>
    <t>H224</t>
  </si>
  <si>
    <t>Palais El Badi</t>
  </si>
  <si>
    <t>Four Seasons Presidential Suite</t>
  </si>
  <si>
    <t>Quad</t>
  </si>
  <si>
    <t>Monument – via délégataire</t>
  </si>
  <si>
    <t>Dunes &amp; Désert</t>
  </si>
  <si>
    <t>Jardins &amp; bassins · réceptions/galas</t>
  </si>
  <si>
    <t>1 Boulevard de la Menara</t>
  </si>
  <si>
    <t>ESP053</t>
  </si>
  <si>
    <t>+212 525 07 80 00</t>
  </si>
  <si>
    <t>@aquamirageclub</t>
  </si>
  <si>
    <t>ACT196</t>
  </si>
  <si>
    <t>Camp-jardin désert · cérémonies</t>
  </si>
  <si>
    <t>ESP054</t>
  </si>
  <si>
    <t>H225</t>
  </si>
  <si>
    <t>Sofitel Marrakech Palais Impérial</t>
  </si>
  <si>
    <t>Palais des Congrès Marrakech (Mövenpick Mansour Eddahbi)</t>
  </si>
  <si>
    <t>https://congres-seminaires-marrakech.com</t>
  </si>
  <si>
    <t>Bab Jdid / Hivernage</t>
  </si>
  <si>
    <t>Palmerie Tours</t>
  </si>
  <si>
    <t>Jusqu'à 3000 pers · espaces modulables</t>
  </si>
  <si>
    <t>ESP055</t>
  </si>
  <si>
    <t>+212 524 36 87 66</t>
  </si>
  <si>
    <t>ACT197</t>
  </si>
  <si>
    <t>H226</t>
  </si>
  <si>
    <t>Palmeraie Conference Center</t>
  </si>
  <si>
    <t>+212 524 36 87 60</t>
  </si>
  <si>
    <t>Tél OK – email non publié</t>
  </si>
  <si>
    <t>5000 m² · patio 750m² · hall Diafa 640m² · 1500 places</t>
  </si>
  <si>
    <t>Easy Take Marrakech</t>
  </si>
  <si>
    <t>ESP056</t>
  </si>
  <si>
    <t>H227</t>
  </si>
  <si>
    <t>+212 524 38 38 59</t>
  </si>
  <si>
    <t>ACT198</t>
  </si>
  <si>
    <t>Mogador Palace Congress Center</t>
  </si>
  <si>
    <t>hagdalresa@ryadmogador.com</t>
  </si>
  <si>
    <t>Nobu Hotel Marrakech</t>
  </si>
  <si>
    <t>+212 530 530 530</t>
  </si>
  <si>
    <t>https://mice.visitmarrakech.com</t>
  </si>
  <si>
    <t>16000 m² · amphi 1606 places · 18 sous-commissions</t>
  </si>
  <si>
    <t>ESP057</t>
  </si>
  <si>
    <t>Buggy</t>
  </si>
  <si>
    <t>H228</t>
  </si>
  <si>
    <t>La Mamounia (Salon Marocain)</t>
  </si>
  <si>
    <t>https://mamounia.com</t>
  </si>
  <si>
    <t>Taj Palace Marrakech</t>
  </si>
  <si>
    <t>+212 665 33 49 40</t>
  </si>
  <si>
    <t>Salon 400m² · 350 pers réception</t>
  </si>
  <si>
    <t>ESP058</t>
  </si>
  <si>
    <t>ACT199</t>
  </si>
  <si>
    <t>Palais Bahia</t>
  </si>
  <si>
    <t>Palais XIXe classé · espaces privatisables</t>
  </si>
  <si>
    <t>H229</t>
  </si>
  <si>
    <t>ESP059</t>
  </si>
  <si>
    <t>Palais XVIe · réceptions &amp; galas</t>
  </si>
  <si>
    <t>ESP060</t>
  </si>
  <si>
    <t>+212 691 70 77 44</t>
  </si>
  <si>
    <t>Palais Al Firdaous</t>
  </si>
  <si>
    <t>Parc arboré</t>
  </si>
  <si>
    <t>ACT200</t>
  </si>
  <si>
    <t>H230</t>
  </si>
  <si>
    <t>Parc arboré · conventions &amp; galas</t>
  </si>
  <si>
    <t>ESP061</t>
  </si>
  <si>
    <t>Sofitel Palais Imperial</t>
  </si>
  <si>
    <t>h3569@sofitel.com</t>
  </si>
  <si>
    <t>via all.accor.com (hôtel 3569)</t>
  </si>
  <si>
    <t>Day Out Marrakech</t>
  </si>
  <si>
    <t>8 salles modulables · jusqu'à 250 pers</t>
  </si>
  <si>
    <t>ESP062</t>
  </si>
  <si>
    <t>H231</t>
  </si>
  <si>
    <t>Palm Plaza Hôtel &amp; Spa</t>
  </si>
  <si>
    <t>ACT201</t>
  </si>
  <si>
    <t>Palais Namaskar — Prestige</t>
  </si>
  <si>
    <t>Centre de conférence</t>
  </si>
  <si>
    <t>ESP063</t>
  </si>
  <si>
    <t>Starry Morocco Tours &amp; Excursions From Marrakech</t>
  </si>
  <si>
    <t>Savoy Le Grand Hôtel</t>
  </si>
  <si>
    <t>Bd Mohammed VI</t>
  </si>
  <si>
    <t>H232</t>
  </si>
  <si>
    <t>Espaces conférence high-tech</t>
  </si>
  <si>
    <t>+212 661 53 96 39</t>
  </si>
  <si>
    <t>ESP064</t>
  </si>
  <si>
    <t>Fairmont Royal Palm — Villa privée</t>
  </si>
  <si>
    <t>ACT202</t>
  </si>
  <si>
    <t>Kenzi Rose Garden</t>
  </si>
  <si>
    <t>info.rosegarden@kenzi-hotels.com</t>
  </si>
  <si>
    <t>+212 524 44 74 00</t>
  </si>
  <si>
    <t>Salles réunion &amp; conférence</t>
  </si>
  <si>
    <t>ESP065</t>
  </si>
  <si>
    <t>Day Trips From Marrakech</t>
  </si>
  <si>
    <t>H233</t>
  </si>
  <si>
    <t>Hivernage · 16 ha</t>
  </si>
  <si>
    <t>Séminaires résidentiels · resort</t>
  </si>
  <si>
    <t>ESP066</t>
  </si>
  <si>
    <t>ACT203</t>
  </si>
  <si>
    <t>Selman Marrakech — Villa</t>
  </si>
  <si>
    <t>via el-fenn.com (formulaire)</t>
  </si>
  <si>
    <t>Discover Morocco Tours</t>
  </si>
  <si>
    <t>8 suites · salle réunion 30 pers</t>
  </si>
  <si>
    <t>ESP067</t>
  </si>
  <si>
    <t>H234</t>
  </si>
  <si>
    <t>+212 524 43 52 19</t>
  </si>
  <si>
    <t>Riad Farnatchi</t>
  </si>
  <si>
    <t>via lefarnatchi.com (formulaire)</t>
  </si>
  <si>
    <t>ACT204</t>
  </si>
  <si>
    <t>Palais Namaskar — Villa</t>
  </si>
  <si>
    <t>9 suites · espace séminaire modulable · spa</t>
  </si>
  <si>
    <t>ESP068</t>
  </si>
  <si>
    <t>Ferme pédagogique</t>
  </si>
  <si>
    <t>La Ferme Berbère</t>
  </si>
  <si>
    <t>Région (Marrakech)</t>
  </si>
  <si>
    <t>riadkniza@riadkniza.com</t>
  </si>
  <si>
    <t>Salle de conférence 25 pers</t>
  </si>
  <si>
    <t>ESP069</t>
  </si>
  <si>
    <t>H235</t>
  </si>
  <si>
    <t>Hôtel El Andalous</t>
  </si>
  <si>
    <t>contact@elandalous-marrakech.com</t>
  </si>
  <si>
    <t>+212 524 44 82 26</t>
  </si>
  <si>
    <t>Avenue Président Kennedy</t>
  </si>
  <si>
    <t>Dromadaire dès 20 € · cheval 33-45 €. Adulte non gratuit. Familles.</t>
  </si>
  <si>
    <t>ACT205</t>
  </si>
  <si>
    <t>Centre de conférence équipé</t>
  </si>
  <si>
    <t>ESP070</t>
  </si>
  <si>
    <t>Balade à poney</t>
  </si>
  <si>
    <t>H236</t>
  </si>
  <si>
    <t>Club Équestre Dar Es Salam</t>
  </si>
  <si>
    <t>Marrakech (région)</t>
  </si>
  <si>
    <t>Conventions · lancements · galas</t>
  </si>
  <si>
    <t>ESP071</t>
  </si>
  <si>
    <t>Palais des Lumières</t>
  </si>
  <si>
    <t>ACT206</t>
  </si>
  <si>
    <t>Scénographies · congrès hybride</t>
  </si>
  <si>
    <t>ESP072</t>
  </si>
  <si>
    <t>H237</t>
  </si>
  <si>
    <t>Spa &amp; Hammam</t>
  </si>
  <si>
    <t>Les Bains d'Azahara</t>
  </si>
  <si>
    <t>Derb Ezzaouiya, Médina</t>
  </si>
  <si>
    <t>Palais des Events Marrakech</t>
  </si>
  <si>
    <t>Royal Mansour — Riad privatisé</t>
  </si>
  <si>
    <t>Séminaires · showcooking · tables rondes</t>
  </si>
  <si>
    <t>contact@dayoutmarrakech.com</t>
  </si>
  <si>
    <t>ESP073</t>
  </si>
  <si>
    <t>+212 662 040 326</t>
  </si>
  <si>
    <t>https://dayoutmarrakech.com</t>
  </si>
  <si>
    <t>Mogador Palace</t>
  </si>
  <si>
    <t>H238</t>
  </si>
  <si>
    <t>Oui (privatif)</t>
  </si>
  <si>
    <t>16000 m² · multifonctionnel</t>
  </si>
  <si>
    <t>1 journée</t>
  </si>
  <si>
    <t>Mandarin Oriental — Villa</t>
  </si>
  <si>
    <t>ESP074</t>
  </si>
  <si>
    <t>ACT207</t>
  </si>
  <si>
    <t>Le Studio (coworking &amp; événements)</t>
  </si>
  <si>
    <t>Loft industriel · tech &amp; créatif</t>
  </si>
  <si>
    <t>Mythic Oriental Spa</t>
  </si>
  <si>
    <t>ESP075</t>
  </si>
  <si>
    <t>Riad Laarous, Médina</t>
  </si>
  <si>
    <t>H239</t>
  </si>
  <si>
    <t>Labranda Rose Aqua Parc</t>
  </si>
  <si>
    <t>reservations.rose@labranda.com</t>
  </si>
  <si>
    <t>+212 524 33 90 00</t>
  </si>
  <si>
    <t>20 min Jemaa el-Fna</t>
  </si>
  <si>
    <t>Amanjena — Maison privée</t>
  </si>
  <si>
    <t>Centre conférence &amp; salles</t>
  </si>
  <si>
    <t>+212 706 050 586</t>
  </si>
  <si>
    <t>ESP076</t>
  </si>
  <si>
    <t>contact@lesbainsdemarrakech.com</t>
  </si>
  <si>
    <t>https://lesbainsdemarrakech.com</t>
  </si>
  <si>
    <t>Journée</t>
  </si>
  <si>
    <t>H240</t>
  </si>
  <si>
    <t>Riad spa · hammam · privatif</t>
  </si>
  <si>
    <t>ACT208</t>
  </si>
  <si>
    <t>ESP077</t>
  </si>
  <si>
    <t>La Villa des Orangers</t>
  </si>
  <si>
    <t>RELAIS &amp; CHATEAUX</t>
  </si>
  <si>
    <t>https://lesbainsdulotus.com</t>
  </si>
  <si>
    <t>Hammam Paradis</t>
  </si>
  <si>
    <t>Mouassine, Médina</t>
  </si>
  <si>
    <t>Riad Art Déco · hammams &amp; spa</t>
  </si>
  <si>
    <t>ESP078</t>
  </si>
  <si>
    <t>H241</t>
  </si>
  <si>
    <t>info@daytrips-from-marrakech.com</t>
  </si>
  <si>
    <t>+212 677 436 351</t>
  </si>
  <si>
    <t>https://daytrips-from-marrakech.com</t>
  </si>
  <si>
    <t>spa@royalmansour.com</t>
  </si>
  <si>
    <t>https://royalmansour.com</t>
  </si>
  <si>
    <t>27000 sq ft · 13 salles · 2 hammams</t>
  </si>
  <si>
    <t>ESP079</t>
  </si>
  <si>
    <t>ACT209</t>
  </si>
  <si>
    <t>H242</t>
  </si>
  <si>
    <t>2500 m² · 3 hammams · piscine chauffée</t>
  </si>
  <si>
    <t>ESP080</t>
  </si>
  <si>
    <t>Les Bains de l'Alhambra Marrakech</t>
  </si>
  <si>
    <t>spa@lasultanamarrakech.com</t>
  </si>
  <si>
    <t>MAISON D'HOTES</t>
  </si>
  <si>
    <t>Hammam · piscine à colonnes</t>
  </si>
  <si>
    <t>ESP081</t>
  </si>
  <si>
    <t>Riad Elisa</t>
  </si>
  <si>
    <t>+212 661 675 032</t>
  </si>
  <si>
    <t>Près Dar El Bacha</t>
  </si>
  <si>
    <t>H243</t>
  </si>
  <si>
    <t>Hammam privé couples · piscine</t>
  </si>
  <si>
    <t>ESP082</t>
  </si>
  <si>
    <t>BOUTIQUE</t>
  </si>
  <si>
    <t>ACT210</t>
  </si>
  <si>
    <t>Spa hammam · décor raffiné</t>
  </si>
  <si>
    <t>ESP083</t>
  </si>
  <si>
    <t>72 Riad Living</t>
  </si>
  <si>
    <t>72@riadliving.com</t>
  </si>
  <si>
    <t>H244</t>
  </si>
  <si>
    <t>Kosy Spa Marrakech</t>
  </si>
  <si>
    <t>Place des Ferblantiers</t>
  </si>
  <si>
    <t>Spa · hammam · rooftop pool</t>
  </si>
  <si>
    <t>La Sultana — Suite</t>
  </si>
  <si>
    <t>ESP084</t>
  </si>
  <si>
    <t>https://leclosdesarts.com</t>
  </si>
  <si>
    <t>Spa in-house · hammam solaire</t>
  </si>
  <si>
    <t>ESP085</t>
  </si>
  <si>
    <t>ACT211</t>
  </si>
  <si>
    <t>H245</t>
  </si>
  <si>
    <t>Dar Cherifa</t>
  </si>
  <si>
    <t>+212 524 42 65 50</t>
  </si>
  <si>
    <t>Riviera Spa Marrakech</t>
  </si>
  <si>
    <t>Bd Abdelkrim Al Khattabi</t>
  </si>
  <si>
    <t>SMALL LUXURY</t>
  </si>
  <si>
    <t>Maison-galerie historique · événements culturels</t>
  </si>
  <si>
    <t>ESP086</t>
  </si>
  <si>
    <t>David Bloch Gallery</t>
  </si>
  <si>
    <t>contact@davidblochgallery.com</t>
  </si>
  <si>
    <t>+212 524 45 75 95</t>
  </si>
  <si>
    <t>Galerie art contemporain</t>
  </si>
  <si>
    <t>H246</t>
  </si>
  <si>
    <t>ESP087</t>
  </si>
  <si>
    <t>Galerie 127</t>
  </si>
  <si>
    <t>galerie127@gmail.com</t>
  </si>
  <si>
    <t>+212 524 43 26 67</t>
  </si>
  <si>
    <t>ACT212</t>
  </si>
  <si>
    <t>Galerie photographie</t>
  </si>
  <si>
    <t>ESP088</t>
  </si>
  <si>
    <t>Wazani Spa</t>
  </si>
  <si>
    <t>Derb Zaari, Médina</t>
  </si>
  <si>
    <t>H248</t>
  </si>
  <si>
    <t>NON APPLICABLE — Marrakech, ville intérieure : aucune offre yacht/bateau</t>
  </si>
  <si>
    <t>El Fenn — Suite Terrasse</t>
  </si>
  <si>
    <t>Lac Lalla Takerkoust (option bateau)</t>
  </si>
  <si>
    <t>+212 524 391 761</t>
  </si>
  <si>
    <t>Code peu applicable à Marrakech : pas de littoral. Seule piste : bateaux/pédalos sur le lac Lalla Takerkoust (~40 min). À valider si pertinent pour SOLÝ.</t>
  </si>
  <si>
    <t>ACT213</t>
  </si>
  <si>
    <t>H249</t>
  </si>
  <si>
    <t>Pool / Beach Club</t>
  </si>
  <si>
    <t>Riad Farnatchi — Suite privée</t>
  </si>
  <si>
    <t>Snob Beach - Piscine Marrakech</t>
  </si>
  <si>
    <t>+212 524 384 161</t>
  </si>
  <si>
    <t>H250</t>
  </si>
  <si>
    <t>ACT214</t>
  </si>
  <si>
    <t>El Fenn — riad privatisé</t>
  </si>
  <si>
    <t>Myah Bay</t>
  </si>
  <si>
    <t>Route de l'Aéroport</t>
  </si>
  <si>
    <t>H251</t>
  </si>
  <si>
    <t>+212 666 054 950</t>
  </si>
  <si>
    <t>Riad Farnatchi — privatisé</t>
  </si>
  <si>
    <t>ACT215</t>
  </si>
  <si>
    <t>The Farm Marrakech</t>
  </si>
  <si>
    <t>H252</t>
  </si>
  <si>
    <t>+212 524 386 346</t>
  </si>
  <si>
    <t>Dar Rhizlane — privatisé</t>
  </si>
  <si>
    <t>ACT216</t>
  </si>
  <si>
    <t>H253</t>
  </si>
  <si>
    <t>Four Seasons Resort Pool</t>
  </si>
  <si>
    <t>+212 524 381 010</t>
  </si>
  <si>
    <t>ACT217</t>
  </si>
  <si>
    <t>H254</t>
  </si>
  <si>
    <t>The Oberoi Pool</t>
  </si>
  <si>
    <t>+212 621 106 835</t>
  </si>
  <si>
    <t>H255</t>
  </si>
  <si>
    <t>L'Hôtel Marrakech (Jasper Conran)</t>
  </si>
  <si>
    <t>ACT218</t>
  </si>
  <si>
    <t>Beldi Country Club</t>
  </si>
  <si>
    <t>H256</t>
  </si>
  <si>
    <t>Palais Ronsard — chambres</t>
  </si>
  <si>
    <t>+212 524 440 519</t>
  </si>
  <si>
    <t>Route Fès</t>
  </si>
  <si>
    <t>ACT219</t>
  </si>
  <si>
    <t>H257</t>
  </si>
  <si>
    <t>Baby-sitting</t>
  </si>
  <si>
    <t>Nanny Morocco</t>
  </si>
  <si>
    <t>L'Hôtel Marrakech — Suite</t>
  </si>
  <si>
    <t>+212 600 283 407</t>
  </si>
  <si>
    <t>ACT220</t>
  </si>
  <si>
    <t>H258</t>
  </si>
  <si>
    <t>Ksar Char-Bagh — Suite Menzeh</t>
  </si>
  <si>
    <t>Marrakech Babysitting</t>
  </si>
  <si>
    <t>+212 660 724 094</t>
  </si>
  <si>
    <t>H259</t>
  </si>
  <si>
    <t>ACT221</t>
  </si>
  <si>
    <t>Dar Zemora — villa privatisée</t>
  </si>
  <si>
    <t>Baby Prestige Marrakech</t>
  </si>
  <si>
    <t>H260</t>
  </si>
  <si>
    <t>+212 663 874 371</t>
  </si>
  <si>
    <t>L'Hôtel Marrakech — villa</t>
  </si>
  <si>
    <t>ACT222</t>
  </si>
  <si>
    <t>H261</t>
  </si>
  <si>
    <t>Mary Poppins Marrakech</t>
  </si>
  <si>
    <t>ECO-LODGE</t>
  </si>
  <si>
    <t>Vallée Ourika</t>
  </si>
  <si>
    <t>ACT223</t>
  </si>
  <si>
    <t>Happy Kids Services</t>
  </si>
  <si>
    <t>H262</t>
  </si>
  <si>
    <t>Capaldi Hotel</t>
  </si>
  <si>
    <t>+212 525 081 515</t>
  </si>
  <si>
    <t>Atlas (Tahnaout)</t>
  </si>
  <si>
    <t>ACT224</t>
  </si>
  <si>
    <t>H263</t>
  </si>
  <si>
    <t>Parc aquatique</t>
  </si>
  <si>
    <t>Km 4 Route d'Amizmiz</t>
  </si>
  <si>
    <t>Scarabeo Camp Agafay</t>
  </si>
  <si>
    <t>CAMP DE LUXE</t>
  </si>
  <si>
    <t>+212 524 383 950</t>
  </si>
  <si>
    <t>Oui (selon taille/âge)</t>
  </si>
  <si>
    <t>Aquapark ~15-30 €/journée. Enfant 2-20 € (Palooza). Gratuit &lt;80 cm (Oasiria).</t>
  </si>
  <si>
    <t>H264</t>
  </si>
  <si>
    <t>ACT225</t>
  </si>
  <si>
    <t>Kasbah Tamadot (Virgin)</t>
  </si>
  <si>
    <t>Vallée Asni</t>
  </si>
  <si>
    <t>Aqua Fun Club</t>
  </si>
  <si>
    <t>+212 661 195 440</t>
  </si>
  <si>
    <t>https://www.nannymorocco.com</t>
  </si>
  <si>
    <t>H265</t>
  </si>
  <si>
    <t>Domaine Malika</t>
  </si>
  <si>
    <t>ACT226</t>
  </si>
  <si>
    <t>H266</t>
  </si>
  <si>
    <t>Inara Camp — Suite</t>
  </si>
  <si>
    <t>Eden Aquapark</t>
  </si>
  <si>
    <t>Route d'Agadir</t>
  </si>
  <si>
    <t>H267</t>
  </si>
  <si>
    <t>La Pause — privatisée</t>
  </si>
  <si>
    <t>+212 662 189 661</t>
  </si>
  <si>
    <t>https://marrakechbabysitting.com</t>
  </si>
  <si>
    <t>ACT227</t>
  </si>
  <si>
    <t>H268</t>
  </si>
  <si>
    <t>Terre des Étoiles — camp privé</t>
  </si>
  <si>
    <t>Balade équestre / poney</t>
  </si>
  <si>
    <t>Royal Club Équestre Marrakech</t>
  </si>
  <si>
    <t>H269</t>
  </si>
  <si>
    <t>Caravan Agafay — privatisation</t>
  </si>
  <si>
    <t>H270</t>
  </si>
  <si>
    <t>+212 661 782 207</t>
  </si>
  <si>
    <t>ACT228</t>
  </si>
  <si>
    <t>Les Cavaliers de l'Atlas</t>
  </si>
  <si>
    <t>+212 662 932 960</t>
  </si>
  <si>
    <t>ACT229</t>
  </si>
  <si>
    <t>Ranch de la Palmeraie</t>
  </si>
  <si>
    <t>Circuit de la Palmeraie</t>
  </si>
  <si>
    <t>+212 661 432 870</t>
  </si>
  <si>
    <t>ACT230</t>
  </si>
  <si>
    <t>Escapade Essaouira — Marrakech Desert Trips</t>
  </si>
  <si>
    <t>+212 524 388 080</t>
  </si>
  <si>
    <t>ACT231</t>
  </si>
  <si>
    <t>Escapade Essaouira — Pure Morocco Tours</t>
  </si>
  <si>
    <t>Pure Morocco Tours</t>
  </si>
  <si>
    <t>+212 524 487 777</t>
  </si>
  <si>
    <t>ACT232</t>
  </si>
  <si>
    <t>Escapade Essaouira — Moroccan Journeys</t>
  </si>
  <si>
    <t>Moroccan Journeys</t>
  </si>
  <si>
    <t>+212 524 483 232</t>
  </si>
  <si>
    <t>ACT233</t>
  </si>
  <si>
    <t>Escapade Essaouira — Sahara Gate</t>
  </si>
  <si>
    <t>Sahara Gate Tours</t>
  </si>
  <si>
    <t>ST-STD · STANDARD</t>
  </si>
  <si>
    <t>+212 524 334 141</t>
  </si>
  <si>
    <t>ACT234</t>
  </si>
  <si>
    <t>Escapade Essaouira — Your Morocco Tour</t>
  </si>
  <si>
    <t>Your Morocco Tour</t>
  </si>
  <si>
    <t>+212 661 280 242</t>
  </si>
  <si>
    <t>ACT235</t>
  </si>
  <si>
    <t>Buggy Agafay — Xtreme Agafay Desert</t>
  </si>
  <si>
    <t>+212 661 519 570</t>
  </si>
  <si>
    <t>ACT236</t>
  </si>
  <si>
    <t>Buggy — Marrakech Quad Biking</t>
  </si>
  <si>
    <t>Marrakech Quad Biking</t>
  </si>
  <si>
    <t>Palmeraie &amp; Agafay</t>
  </si>
  <si>
    <t>ACT237</t>
  </si>
  <si>
    <t>Buggy — Buggy Quad Marrakech</t>
  </si>
  <si>
    <t>Buggy Quad Marrakech</t>
  </si>
  <si>
    <t>ACT238</t>
  </si>
  <si>
    <t>Buggy — RAK Adventure Marrakech</t>
  </si>
  <si>
    <t>RAK Adventure Marrakech</t>
  </si>
  <si>
    <t>ACT239</t>
  </si>
  <si>
    <t>Danse orientale — La Maison Arabe</t>
  </si>
  <si>
    <t>ACT240</t>
  </si>
  <si>
    <t>Danse orientale — La Sultana</t>
  </si>
  <si>
    <t>ACT241</t>
  </si>
  <si>
    <t>Danse orientale — Café Clock</t>
  </si>
  <si>
    <t>Café Clock</t>
  </si>
  <si>
    <t>Medina (Kasbah)</t>
  </si>
  <si>
    <t>ACT242</t>
  </si>
  <si>
    <t>Baby-sitting — Marrakech Kids Nanny</t>
  </si>
  <si>
    <t>Marrakech Kids Nanny</t>
  </si>
  <si>
    <t>À domicile / hôtel</t>
  </si>
  <si>
    <t>ACT243</t>
  </si>
  <si>
    <t>Baby-sitting — Nounou Services Marrakech</t>
  </si>
  <si>
    <t>Nounou Services Marrakech</t>
  </si>
  <si>
    <t>ACT244</t>
  </si>
  <si>
    <t>Garde — Baby Sitting Marrakech</t>
  </si>
  <si>
    <t>Baby Sitting Marrakech</t>
  </si>
  <si>
    <t>ACT245</t>
  </si>
  <si>
    <t>Garde — Kids Club hôtel partenaire</t>
  </si>
  <si>
    <t>Réseau hôtels partenaires</t>
  </si>
  <si>
    <t>En établissement</t>
  </si>
  <si>
    <t>ACT246</t>
  </si>
  <si>
    <t>Royal Palm Tennis &amp; Padel Academy</t>
  </si>
  <si>
    <t>Oui (académie enfant)</t>
  </si>
  <si>
    <t>~40 € LE COURT/1h30 (≈10 €/pers à 4) — prix par court, pas /pers. Académie enfant ~11 €.</t>
  </si>
  <si>
    <t>ACT247</t>
  </si>
  <si>
    <t>The Oberoi Padel Marrakech</t>
  </si>
  <si>
    <t>Route de Ouarzazate (Oberoi)</t>
  </si>
  <si>
    <t>ACT248</t>
  </si>
  <si>
    <t>Atlas Tennis Padel Marrakech</t>
  </si>
  <si>
    <t>Atlas Tennis Padel</t>
  </si>
  <si>
    <t>Route de l'Ourika (KM 10)</t>
  </si>
  <si>
    <t>ACT249</t>
  </si>
  <si>
    <t>Urban Padel Marrakech</t>
  </si>
  <si>
    <t>Urban Padel</t>
  </si>
  <si>
    <t>ACT250</t>
  </si>
  <si>
    <t>Palm Tennis Club &amp; Padel</t>
  </si>
  <si>
    <t>Palm Tennis Club</t>
  </si>
  <si>
    <t>ACT251</t>
  </si>
  <si>
    <t>Marrakech Kart Racing</t>
  </si>
  <si>
    <t>Zone touristique Agdal, Route de l'Ourika</t>
  </si>
  <si>
    <t>Tarif au tour/session.</t>
  </si>
  <si>
    <t>💶 BARÈME DE RÉFÉRENCE TRANSPORT (par catégorie TR · codes alignés bible) · tarifs indicatifs</t>
  </si>
  <si>
    <t>Transfert interville (€)</t>
  </si>
  <si>
    <t>Demi-journée (€)</t>
  </si>
  <si>
    <t>Journée complète (€)</t>
  </si>
  <si>
    <t>Km supplémentaire (€)</t>
  </si>
  <si>
    <t>CAPACITÉ (pax · chauffeur déduit)</t>
  </si>
  <si>
    <t>BERLINE STANDARD</t>
  </si>
  <si>
    <t>BERLINE LUXE</t>
  </si>
  <si>
    <t>VAN PREMIUM</t>
  </si>
  <si>
    <t>SUV LUXE</t>
  </si>
  <si>
    <t>MINIBUS (type Sprinter)</t>
  </si>
  <si>
    <t>TRANSPORT · structure SOLÝVENTS harmonisée</t>
  </si>
  <si>
    <t>Zone(s) de couverture</t>
  </si>
  <si>
    <t>Type missions</t>
  </si>
  <si>
    <t>Nb véhicules flotte</t>
  </si>
  <si>
    <t>Capacité pax max/véhicule</t>
  </si>
  <si>
    <t>Langues chauffeurs</t>
  </si>
  <si>
    <t>Disponibilité aéroport 24/7</t>
  </si>
  <si>
    <t>Tarif transfert aéroport (€)</t>
  </si>
  <si>
    <t>Tarif demi-journée (€)</t>
  </si>
  <si>
    <t>Tarif journée complète (€)</t>
  </si>
  <si>
    <t>ACCÈS SOLÝ (SLA)</t>
  </si>
  <si>
    <t>GAMME VÉHICULES (TR-*)</t>
  </si>
  <si>
    <t>TR001</t>
  </si>
  <si>
    <t>Ahmed Transport</t>
  </si>
  <si>
    <t>À sourcer (contact B2B)</t>
  </si>
  <si>
    <t>Transferts · mise à disposition</t>
  </si>
  <si>
    <t>À préciser (flotte)</t>
  </si>
  <si>
    <t>À préciser (capacité)</t>
  </si>
  <si>
    <t>FR · EN · AR (à confirmer)</t>
  </si>
  <si>
    <t>À confirmer (24/7)</t>
  </si>
  <si>
    <t>Selon devis</t>
  </si>
  <si>
    <t>PRO · GRP · CPL · VIP</t>
  </si>
  <si>
    <t>OPN · Ouvert à tous</t>
  </si>
  <si>
    <t>TR-BER, TR-VAN, TR-SUV</t>
  </si>
  <si>
    <t>Ahmed</t>
  </si>
  <si>
    <t>TR002</t>
  </si>
  <si>
    <t>Premium Transfers Marrakech</t>
  </si>
  <si>
    <t>+212 6 00 23 80 96</t>
  </si>
  <si>
    <t>TR-BER, TR-BEL, TR-VAN</t>
  </si>
  <si>
    <t>TR003</t>
  </si>
  <si>
    <t>Marrakech Chauffeur Service</t>
  </si>
  <si>
    <t>TR004</t>
  </si>
  <si>
    <t>Atlas Driver</t>
  </si>
  <si>
    <t>TR-BER, TR-VAN</t>
  </si>
  <si>
    <t>TR005</t>
  </si>
  <si>
    <t>Luxury Driver Marrakech</t>
  </si>
  <si>
    <t>TR-BEL, TR-SUV</t>
  </si>
  <si>
    <t>TR006</t>
  </si>
  <si>
    <t>Menara Transfer</t>
  </si>
  <si>
    <t>Transfert aéroport · Transfert aéroport</t>
  </si>
  <si>
    <t>TR007</t>
  </si>
  <si>
    <t>VIP Transport Morocco</t>
  </si>
  <si>
    <t>TR-BEL, TR-SUV, TR-VAN</t>
  </si>
  <si>
    <t>TR008</t>
  </si>
  <si>
    <t>Kech Transport</t>
  </si>
  <si>
    <t>+212 7 03 49 17 18</t>
  </si>
  <si>
    <t>Navette / groupe</t>
  </si>
  <si>
    <t>Transport de groupe (minibus/autocar) · flotte MIN_S/AUT_S · hors menu véhicule client TR</t>
  </si>
  <si>
    <t>MIN_S, AUT_S</t>
  </si>
  <si>
    <t>TR009</t>
  </si>
  <si>
    <t>Palm Shuttle</t>
  </si>
  <si>
    <t>TR010</t>
  </si>
  <si>
    <t>Atlas Voyages Transport</t>
  </si>
  <si>
    <t>+212 5 29 00 10 02</t>
  </si>
  <si>
    <t>TR011</t>
  </si>
  <si>
    <t>BELKHADIR El Mustapha</t>
  </si>
  <si>
    <t>06 76 66 05 51</t>
  </si>
  <si>
    <t>Mhamid</t>
  </si>
  <si>
    <t>Transferts · mises à disposition</t>
  </si>
  <si>
    <t>À valider (Google)</t>
  </si>
  <si>
    <t>⚠ Google: catégorie « installation électrique » (incohérent) · pub « chauffeur privé dès 12 € » · 5,0 (3 avis seulement) · 118 Lot Adrar, Quartier Mhamid</t>
  </si>
  <si>
    <t>Voir téléphone (col H)</t>
  </si>
  <si>
    <t>À confirmer (mobile)</t>
  </si>
  <si>
    <t>TR012</t>
  </si>
  <si>
    <t>Majdoline Travel | Rent a car</t>
  </si>
  <si>
    <t>06 18 70 05 26</t>
  </si>
  <si>
    <t>À contacter (Google)</t>
  </si>
  <si>
    <t>AGENCE LOCATION VOITURES (self-drive) · 4x4 · 4,8 (975 avis) · Rue Fatima Zahra</t>
  </si>
  <si>
    <t>LOCATION (self-drive)</t>
  </si>
  <si>
    <t>TR013</t>
  </si>
  <si>
    <t>Aichou Cars</t>
  </si>
  <si>
    <t>06 61 13 10 34</t>
  </si>
  <si>
    <t>AGENCE LOCATION VOITURES (self-drive) · livraison aéroport · résa WhatsApp · 4,7 (160) · 25 Rue Abou Bakr Seddiq</t>
  </si>
  <si>
    <t>TR014</t>
  </si>
  <si>
    <t>Ouadih VIP Transport</t>
  </si>
  <si>
    <t>+212 6 78 15 06 79</t>
  </si>
  <si>
    <t>Service de transport VIP · 5,0 (12) · +3 ans d'activité · JWFR+7JF</t>
  </si>
  <si>
    <t>TR015</t>
  </si>
  <si>
    <t>VIP Taxi Marrakech</t>
  </si>
  <si>
    <t>+212 6 77 33 03 04</t>
  </si>
  <si>
    <t>Service de taxi · 5,0 (37)</t>
  </si>
  <si>
    <t>TR016</t>
  </si>
  <si>
    <t>Morocco PT Agency | Private Driver &amp; Luxury</t>
  </si>
  <si>
    <t>Private driver &amp; luxury transport · 4,9 (86) · services sur place · 3e étage, Imm 20, 13 Rue Rahal Ben Ahmed</t>
  </si>
  <si>
    <t>TR017</t>
  </si>
  <si>
    <t>Morocco VIP Tours</t>
  </si>
  <si>
    <t>+212 6 06 30 25</t>
  </si>
  <si>
    <t>Service de transport VIP · 4,8 (25) · 503 Secteur 039211003L 115 RDC, Barj Zaitoune</t>
  </si>
  <si>
    <t>TR018</t>
  </si>
  <si>
    <t>Atlas Transfert VIP</t>
  </si>
  <si>
    <t>+212 7 01 19 23 25</t>
  </si>
  <si>
    <t>Transport &amp; accompagnement VIP · 5,0 (5) · Magasin N1 NR482 Mhamid 5</t>
  </si>
  <si>
    <t>TR019</t>
  </si>
  <si>
    <t>VIP Dellivery</t>
  </si>
  <si>
    <t>+212 6 27 09 66 14</t>
  </si>
  <si>
    <t>5,0 (1) · Marrakech</t>
  </si>
  <si>
    <t>COUCHE 2 · RÉFÉRENTIEL GÉOGRAPHIQUE · zones, sous-zones, GPS, circulation (rempli par SOLÝVENTS)</t>
  </si>
  <si>
    <t>ID_ZONE</t>
  </si>
  <si>
    <t>Ville</t>
  </si>
  <si>
    <t>Latitude</t>
  </si>
  <si>
    <t>Longitude</t>
  </si>
  <si>
    <t>Temps aéroport (min)</t>
  </si>
  <si>
    <t>Niveau trafic</t>
  </si>
  <si>
    <t>_VILLES</t>
  </si>
  <si>
    <t>_ZONES_P</t>
  </si>
  <si>
    <t>Fort</t>
  </si>
  <si>
    <t>Place Jemaa el-Fna</t>
  </si>
  <si>
    <t>Très fort</t>
  </si>
  <si>
    <t>Modéré</t>
  </si>
  <si>
    <t>Centre-ville</t>
  </si>
  <si>
    <t>Atlas Imlil</t>
  </si>
  <si>
    <t>Hassan II</t>
  </si>
  <si>
    <t>Atlas Ourika</t>
  </si>
  <si>
    <t>Circuit principal</t>
  </si>
  <si>
    <t>Faible</t>
  </si>
  <si>
    <t>Selman / Beldi</t>
  </si>
  <si>
    <t>Aéroport Menara</t>
  </si>
  <si>
    <t>Mandarin / Royal Palm</t>
  </si>
  <si>
    <t>Désert Nord</t>
  </si>
  <si>
    <t>Très faible</t>
  </si>
  <si>
    <t>Désert Sud</t>
  </si>
  <si>
    <t>Vallée Imlil</t>
  </si>
  <si>
    <t>Terminal 1</t>
  </si>
  <si>
    <t>💶 BARÈME DE RÉFÉRENCE SÉCURITÉ (par prestation SE · codes alignés bible) · tarifs marché indicatifs</t>
  </si>
  <si>
    <t>PRESTATION</t>
  </si>
  <si>
    <t>TARIF MARCHÉ</t>
  </si>
  <si>
    <t>Protection rapprochée</t>
  </si>
  <si>
    <t>180-450 €/jour</t>
  </si>
  <si>
    <t>Agent féminin</t>
  </si>
  <si>
    <t>+15 à +25 %</t>
  </si>
  <si>
    <t>Surveillance discrète</t>
  </si>
  <si>
    <t>120-250 €/jour</t>
  </si>
  <si>
    <t>Dispositif 24/7</t>
  </si>
  <si>
    <t>SECURITE · structure SOLÝVENTS harmonisée</t>
  </si>
  <si>
    <t>Nom société sécurité</t>
  </si>
  <si>
    <t>Téléphone direct 24/7</t>
  </si>
  <si>
    <t>Agréments / licences</t>
  </si>
  <si>
    <t>Nb agents disponibles</t>
  </si>
  <si>
    <t>Agents féminins disponibles</t>
  </si>
  <si>
    <t>Langues agents</t>
  </si>
  <si>
    <t>Armement (selon législation)</t>
  </si>
  <si>
    <t>Tarif agent / jour (€)</t>
  </si>
  <si>
    <t>Tarif mission événementielle (€)</t>
  </si>
  <si>
    <t>SERVICES SÉCURITÉ (SE-*)</t>
  </si>
  <si>
    <t>SECURITE</t>
  </si>
  <si>
    <t>SEC001</t>
  </si>
  <si>
    <t>Safety For You</t>
  </si>
  <si>
    <t>+212 6 61 31 95 12</t>
  </si>
  <si>
    <t>Marrakech + Maroc</t>
  </si>
  <si>
    <t>À qualifier (agréments / licences)</t>
  </si>
  <si>
    <t>À préciser (effectif)</t>
  </si>
  <si>
    <t>Selon législation marocaine (à confirmer)</t>
  </si>
  <si>
    <t>5,0 (83) · ancienneté +20 ans · usage: Villas luxe · célébrités · mariages</t>
  </si>
  <si>
    <t>VIP · PRO · GRP</t>
  </si>
  <si>
    <t>REQ · Sur demande</t>
  </si>
  <si>
    <t>SE-PRO, SE-SUR, SE-FEM, SE-24H</t>
  </si>
  <si>
    <t>SEC002</t>
  </si>
  <si>
    <t>ASOMOVIT Sécurité</t>
  </si>
  <si>
    <t>+212 5 24 44 66 04</t>
  </si>
  <si>
    <t>5,0 (14) · ancienneté +20 ans · usage: Hôtels · riads · événements</t>
  </si>
  <si>
    <t>SEC003</t>
  </si>
  <si>
    <t>NPP2 Security Morocco</t>
  </si>
  <si>
    <t>+212 5 24 20 25 07</t>
  </si>
  <si>
    <t>4,9 (41) · ancienneté +5 ans · usage: Protection VIP · GCC</t>
  </si>
  <si>
    <t>SEC004</t>
  </si>
  <si>
    <t>OUR SECURITE</t>
  </si>
  <si>
    <t>+212 6 78 30 81 98</t>
  </si>
  <si>
    <t>4,9 (19) · ancienneté +20 ans</t>
  </si>
  <si>
    <t>SE-SUR, SE-FEM, SE-24H</t>
  </si>
  <si>
    <t>SEC005</t>
  </si>
  <si>
    <t>SÉCURITÉ ÉVÉNEMENTIELLE</t>
  </si>
  <si>
    <t>A55 Security</t>
  </si>
  <si>
    <t>+212 6 61 97 40 37</t>
  </si>
  <si>
    <t>4,8 (56) · ancienneté +10 ans · usage: Mariages · anniversaires · événements</t>
  </si>
  <si>
    <t>SEC006</t>
  </si>
  <si>
    <t>Blackwater Maroc</t>
  </si>
  <si>
    <t>+212 6 79 89 02 18</t>
  </si>
  <si>
    <t>4,7 (63) · ancienneté +15 ans · usage: Escorte · protection rapprochée</t>
  </si>
  <si>
    <t>SEC007</t>
  </si>
  <si>
    <t>Roude Leiw Surveillance</t>
  </si>
  <si>
    <t>+212 6 87 31 31 75</t>
  </si>
  <si>
    <t>Non</t>
  </si>
  <si>
    <t>4,7 (24) · ancienneté +7 ans</t>
  </si>
  <si>
    <t>SE-SUR, SE-24H</t>
  </si>
  <si>
    <t>SEC008</t>
  </si>
  <si>
    <t>COORDINATION MULTISITE</t>
  </si>
  <si>
    <t>Elkham Services Plus</t>
  </si>
  <si>
    <t>+212 5 24 35 54 04</t>
  </si>
  <si>
    <t>Maroc</t>
  </si>
  <si>
    <t>4,4 (26) · ancienneté +10 ans</t>
  </si>
  <si>
    <t>SEC009</t>
  </si>
  <si>
    <t>SP-Surveillance (SPS)</t>
  </si>
  <si>
    <t>+212 6 61 76 77 32</t>
  </si>
  <si>
    <t>4,1 (41) · ancienneté +10 ans</t>
  </si>
  <si>
    <t>SEC010</t>
  </si>
  <si>
    <t>Power Sécurité</t>
  </si>
  <si>
    <t>+212 6 61 16 23 27</t>
  </si>
  <si>
    <t>5,0 (2) · ancienneté À qualifier</t>
  </si>
  <si>
    <t>🧭 SIMULATEUR PARCOURS SOLÝ · V2 — reproduction ordonnée du parcours web (Étapes 1→5)</t>
  </si>
  <si>
    <t>Renseignez les cellules AMBRE (saisie client). Les recommandations et le devis se recalculent (Excel 365 requis · fonctions dynamiques).</t>
  </si>
  <si>
    <t>1.1 · Date d'arrivée</t>
  </si>
  <si>
    <t>1.1 · Date de départ</t>
  </si>
  <si>
    <t>→ Nombre de nuits</t>
  </si>
  <si>
    <t>→ Nombre de jours à programmer</t>
  </si>
  <si>
    <t>1.2 · Nombre d'adultes</t>
  </si>
  <si>
    <t>1.2 · Nombre d'enfants</t>
  </si>
  <si>
    <t>1.2 · dont enfants de 12 ans et +</t>
  </si>
  <si>
    <t>→ Slot Enfants (2.9)</t>
  </si>
  <si>
    <t>1.3 · Mode d'arrivée</t>
  </si>
  <si>
    <t>AVION</t>
  </si>
  <si>
    <t>1.3 · Si voiture : gestion déplacements</t>
  </si>
  <si>
    <t>CLIENT_GERE</t>
  </si>
  <si>
    <t>→ Nombre de transport retenu</t>
  </si>
  <si>
    <t>1.4 · Esprit du séjour (OR)</t>
  </si>
  <si>
    <t>1.5 · Prise en charge hébergement par SOLÝ ?</t>
  </si>
  <si>
    <t>1.5.1 · Nombre de chambres (pré-calcul · 2 ad./ch.)</t>
  </si>
  <si>
    <t>POINTS INTERET · structure SOLÝVENTS harmonisée · ✅ V1 vérifié (aligné bible)</t>
  </si>
  <si>
    <t>1.5.2 · Hébergement souhaité (HB)</t>
  </si>
  <si>
    <t>1.5.3 · Budget / nuit (BG)</t>
  </si>
  <si>
    <t>▶ HÉBERGEMENT recommandé (filtre HB + budget · classé par cloches)</t>
  </si>
  <si>
    <t>HÉBERGEMENT</t>
  </si>
  <si>
    <t>BUDGET</t>
  </si>
  <si>
    <t>PRIX CH. €</t>
  </si>
  <si>
    <t>CLOCHES</t>
  </si>
  <si>
    <t>🌳 REF_POI · arborescence POINTS INTÉRÊT (FAMILLE › CATÉGORIE › SOUS-CATÉGORIE)</t>
  </si>
  <si>
    <t>Sous-catégorie</t>
  </si>
  <si>
    <t>Catégories mixtes</t>
  </si>
  <si>
    <t>Mixte commercial ?</t>
  </si>
  <si>
    <t>Horaires d'ouverture</t>
  </si>
  <si>
    <t>Téléphone (si mixte)</t>
  </si>
  <si>
    <t>Email (si mixte)</t>
  </si>
  <si>
    <t>Site web (si mixte)</t>
  </si>
  <si>
    <t>Photo principale</t>
  </si>
  <si>
    <t>Description courte</t>
  </si>
  <si>
    <t>Lien vers couche système</t>
  </si>
  <si>
    <t>TYPE · UNIVERS (AU)</t>
  </si>
  <si>
    <t>CODE CAT</t>
  </si>
  <si>
    <t>SOUS-CATÉGORIE</t>
  </si>
  <si>
    <t>CODE COMPLET</t>
  </si>
  <si>
    <t>DESCRIPTION / EXEMPLES</t>
  </si>
  <si>
    <t>POINTS INTERET</t>
  </si>
  <si>
    <t>POI-001</t>
  </si>
  <si>
    <t>À visiter</t>
  </si>
  <si>
    <t>2.1 · Événement à célébrer ?</t>
  </si>
  <si>
    <t>2.1.1 · Type d'événement (EV)</t>
  </si>
  <si>
    <t>2.1 · Montant pack événement (TTC €, si applicable)</t>
  </si>
  <si>
    <t>2.3 · Lieu</t>
  </si>
  <si>
    <t>⚙️ Règle : min. 2 expériences / jour · la page web est multi-select ; ici le simulateur retient le MEILLEUR match par créneau.</t>
  </si>
  <si>
    <t>Musée Yves Saint Laurent</t>
  </si>
  <si>
    <t>2.4 · ☀️ MATINÉE · Univers (AU)</t>
  </si>
  <si>
    <t>Palais / musée</t>
  </si>
  <si>
    <t>Musée</t>
  </si>
  <si>
    <t>UNIVERS</t>
  </si>
  <si>
    <t>À préciser (cf. ZONES)</t>
  </si>
  <si>
    <t>PANIER €</t>
  </si>
  <si>
    <t>Rue Yves St Laurent, Marrakech 40000</t>
  </si>
  <si>
    <t>Mar-Dim 10:00–18:00 (fermé mer.)</t>
  </si>
  <si>
    <t>+212 5 24 31 30 47</t>
  </si>
  <si>
    <t>https://museeyslmarrakech.com</t>
  </si>
  <si>
    <t>Palais / musée · Musée Yves Saint Laurent, Guéliz</t>
  </si>
  <si>
    <t>À lier (couche système)</t>
  </si>
  <si>
    <t>Non contacté</t>
  </si>
  <si>
    <t>Durée moyenne : 1–1h30 · Importé de A VISITER</t>
  </si>
  <si>
    <t>AU-CUL · CULTURE &amp; IMMERSION</t>
  </si>
  <si>
    <t>Jardin historique</t>
  </si>
  <si>
    <t>POI-VIS-JAR</t>
  </si>
  <si>
    <t>Majorelle · Menara · Anima · Le Jardin Secret</t>
  </si>
  <si>
    <t>POI-002</t>
  </si>
  <si>
    <t>Monument historique</t>
  </si>
  <si>
    <t>Patrimoine</t>
  </si>
  <si>
    <t>Bahia Palace, Marrakech 40000</t>
  </si>
  <si>
    <t>Tous les jours 9:00–17:00</t>
  </si>
  <si>
    <t>+212 5 24 38 95 11</t>
  </si>
  <si>
    <t>Monument historique · Palais Bahia, Médina</t>
  </si>
  <si>
    <t>POI-VIS-PAL</t>
  </si>
  <si>
    <t>Palais Bahia · Palais el Badi · Musée YSL</t>
  </si>
  <si>
    <t>POI-003</t>
  </si>
  <si>
    <t>Jardin Secret</t>
  </si>
  <si>
    <t>Jardin / Patrimoine</t>
  </si>
  <si>
    <t>Médina (Mouassine)</t>
  </si>
  <si>
    <t>121 Rue Mouassine, Marrakech 40030</t>
  </si>
  <si>
    <t>2.5 · 🍽️ DÉJEUNER · Concept (RA-D) · désactivé si AU-EXC</t>
  </si>
  <si>
    <t>Tous les jours 9:30–19:30</t>
  </si>
  <si>
    <t>+212 5 24 39 00 40</t>
  </si>
  <si>
    <t>info@lejardinsecretmarrakech.com</t>
  </si>
  <si>
    <t>https://lejardinsecretmarrakech.com</t>
  </si>
  <si>
    <t>CONCEPT</t>
  </si>
  <si>
    <t>Jardin historique · Jardin Secret, Médina (Mouassine)</t>
  </si>
  <si>
    <t>Durée moyenne : 1 h · Importé de A VISITER</t>
  </si>
  <si>
    <t>RANG</t>
  </si>
  <si>
    <t>Place mythique</t>
  </si>
  <si>
    <t>POI-VIS-PLA</t>
  </si>
  <si>
    <t>Jemaa el-Fna · Place des Ferblantiers</t>
  </si>
  <si>
    <t>POI-004</t>
  </si>
  <si>
    <t>46 Rue Bin Lafnadek, Rue Ahl Fes, Marrakech 40030</t>
  </si>
  <si>
    <t>Tous les jours 9:30–19:00</t>
  </si>
  <si>
    <t>+212 5 24 38 57 21</t>
  </si>
  <si>
    <t>Palais / musée · Maison de la Photographie, Médina</t>
  </si>
  <si>
    <t>Mosquée / médersa</t>
  </si>
  <si>
    <t>POI-VIS-MOS</t>
  </si>
  <si>
    <t>Koutoubia (extérieur) · Médersa Ben Youssef</t>
  </si>
  <si>
    <t>POI-005</t>
  </si>
  <si>
    <t>Médersa Ben Youssef</t>
  </si>
  <si>
    <t>Rue Assouel, Marrakech 40000</t>
  </si>
  <si>
    <t>Tous les jours 9:00–19:00 (mar. 16:30)</t>
  </si>
  <si>
    <t>+212 5 24 38 41 12</t>
  </si>
  <si>
    <t>Monument historique · Médersa Ben Youssef, Médina</t>
  </si>
  <si>
    <t>2.6 · 🌴 APRÈS-MIDI · Univers (AU) · désactivé si AU-EXC</t>
  </si>
  <si>
    <t>Architecture remarquable</t>
  </si>
  <si>
    <t>POI-VIS-ARC</t>
  </si>
  <si>
    <t>Bab Agnaou · Tombeaux saadiens · Riads patrimoniaux</t>
  </si>
  <si>
    <t>POI-006</t>
  </si>
  <si>
    <t>Place / UNESCO</t>
  </si>
  <si>
    <t>Place Jemaa el-Fna, Marrakech 40000</t>
  </si>
  <si>
    <t>Accessible 24h/24</t>
  </si>
  <si>
    <t>Place mythique · Jemaa el-Fna, Médina</t>
  </si>
  <si>
    <t>Durée moyenne : 1–2 h · Importé de A VISITER</t>
  </si>
  <si>
    <t>Ruelle iconique</t>
  </si>
  <si>
    <t>POI-VIS-RUE</t>
  </si>
  <si>
    <t>Souk des teinturiers · Derb el-Cadi · Mouassine</t>
  </si>
  <si>
    <t>POI-007</t>
  </si>
  <si>
    <t>Koutoubia</t>
  </si>
  <si>
    <t>Koutoubia, Marrakech 40000</t>
  </si>
  <si>
    <t>Extérieur libre (intérieur réservé au culte)</t>
  </si>
  <si>
    <t>+212 5 24 43 34 07</t>
  </si>
  <si>
    <t>Monument historique · Koutoubia, Médina</t>
  </si>
  <si>
    <t>Durée moyenne : 30 min (extérieur) · Importé de A VISITER</t>
  </si>
  <si>
    <t>POI-VIS-MON</t>
  </si>
  <si>
    <t>Remparts · Tour · Mausolée</t>
  </si>
  <si>
    <t>POI-008</t>
  </si>
  <si>
    <t>Ksibat Nhass, Marrakech 40000</t>
  </si>
  <si>
    <t>2.7 · 🌙 DÎNER · Concept (RA-N)</t>
  </si>
  <si>
    <t>Monument historique · Palais El Badi, Médina</t>
  </si>
  <si>
    <t>Shopping</t>
  </si>
  <si>
    <t>Concept store</t>
  </si>
  <si>
    <t>POI-SHO-CON</t>
  </si>
  <si>
    <t>Max &amp; Jan · Norya Ayron · Lalla · 33 rue Majorelle</t>
  </si>
  <si>
    <t>POI-009</t>
  </si>
  <si>
    <t>Tombeaux Saadiens</t>
  </si>
  <si>
    <t>400 Rue de La Kasbah, Marrakech 40000</t>
  </si>
  <si>
    <t>Monument historique · Tombeaux Saadiens, Médina (Kasbah)</t>
  </si>
  <si>
    <t>Durée moyenne : 45 min · Importé de A VISITER</t>
  </si>
  <si>
    <t>Atelier artisanal</t>
  </si>
  <si>
    <t>POI-SHO-ART</t>
  </si>
  <si>
    <t>Maâlem cuir · Dinandier · Tisserand · Céramiste</t>
  </si>
  <si>
    <t>POI-010</t>
  </si>
  <si>
    <t>Musée de Marrakech</t>
  </si>
  <si>
    <t>Place Ben Youssef, Marrakech 40000</t>
  </si>
  <si>
    <t>Tous les jours 9:30–18:00</t>
  </si>
  <si>
    <t>+212 5 24 44 18 93</t>
  </si>
  <si>
    <t>Palais / musée · Musée de Marrakech, Médina</t>
  </si>
  <si>
    <t>Galerie d'art</t>
  </si>
  <si>
    <t>POI-SHO-GAL</t>
  </si>
  <si>
    <t>MACMA · Galerie 127 · David Bloch · Mathaf Ben Youssef</t>
  </si>
  <si>
    <t>2.8 · ✨ SOIRÉE · Univers (NL)</t>
  </si>
  <si>
    <t>POI-011</t>
  </si>
  <si>
    <t>Dar Si Saïd</t>
  </si>
  <si>
    <t>8 Rue de la Bahia, Marrakech 40000</t>
  </si>
  <si>
    <t>TICKET €</t>
  </si>
  <si>
    <t>Musée (horaires à vérifier)</t>
  </si>
  <si>
    <t>+212 5 24 38 95 64</t>
  </si>
  <si>
    <t>Palais / musée · Dar Si Saïd, Médina</t>
  </si>
  <si>
    <t>Bijouterie</t>
  </si>
  <si>
    <t>POI-SHO-BIJ</t>
  </si>
  <si>
    <t>Bijoutiers berbères · Joailliers contemporains</t>
  </si>
  <si>
    <t>POI-012</t>
  </si>
  <si>
    <t>Musée des Confluences</t>
  </si>
  <si>
    <t>Rue Fatima Zahra, Marrakech 40000</t>
  </si>
  <si>
    <t>Mar–Dim 10:00–18:00 (fermé lun.)</t>
  </si>
  <si>
    <t>Palais / musée · Musée des Confluences, Médina</t>
  </si>
  <si>
    <t>Tapis &amp; décoration</t>
  </si>
  <si>
    <t>POI-SHO-TAP</t>
  </si>
  <si>
    <t>Souk des tapis · Maisons Bleues · Topolina</t>
  </si>
  <si>
    <t>POI-013</t>
  </si>
  <si>
    <t>Jardin Menara</t>
  </si>
  <si>
    <t>Jardin</t>
  </si>
  <si>
    <t>Ménara (ouest)</t>
  </si>
  <si>
    <t>Jardins de la Ménara, Marrakech 40000</t>
  </si>
  <si>
    <t>Tous les jours 8:00–18:00</t>
  </si>
  <si>
    <t>Jardin historique · Jardin Menara, Ménara (ouest)</t>
  </si>
  <si>
    <t>Mode &amp; couture</t>
  </si>
  <si>
    <t>POI-SHO-MOD</t>
  </si>
  <si>
    <t>Caftans sur-mesure · Couturiers Médina · Contemporain</t>
  </si>
  <si>
    <t>POI-014</t>
  </si>
  <si>
    <t>2.9 · 🧒 ENFANTS · Univers (AK) · si enfants&gt;0</t>
  </si>
  <si>
    <t>Route de l'Ourika (~27 km)</t>
  </si>
  <si>
    <t>Douar Sbiti, Ourika (~45 min Marrakech)</t>
  </si>
  <si>
    <t>Tous les jours 9:00–18:00</t>
  </si>
  <si>
    <t>+212 6 66 56 17 76</t>
  </si>
  <si>
    <t>Jardin historique · Jardin Anima, Route de l'Ourika (~27 km)</t>
  </si>
  <si>
    <t>Durée moyenne : 1h30–2 h · Importé de A VISITER</t>
  </si>
  <si>
    <t>Parfumerie sur-mesure</t>
  </si>
  <si>
    <t>POI-SHO-PAR</t>
  </si>
  <si>
    <t>Parfumeur Oud · Ambre confidentiel · Sur-mesure</t>
  </si>
  <si>
    <t>POI-015</t>
  </si>
  <si>
    <t>Vue panoramique</t>
  </si>
  <si>
    <t>Vue désert</t>
  </si>
  <si>
    <t>Excursion / Nature</t>
  </si>
  <si>
    <t>Agafay (~40 km)</t>
  </si>
  <si>
    <t>Région Marrakech-Safi · Désert d'Agafay (~40 km)</t>
  </si>
  <si>
    <t>Accessible 24h/24 (site naturel)</t>
  </si>
  <si>
    <t>EXCURSION À LA JOURNÉE · Désert d'Agafay, Agafay (~40 km)</t>
  </si>
  <si>
    <t>Durée moyenne : Demi-journée à journée · Importé de A VISITER</t>
  </si>
  <si>
    <t>Maroquinerie</t>
  </si>
  <si>
    <t>POI-SHO-MAR</t>
  </si>
  <si>
    <t>Sacs cuir · Babouches · Ceintures · Tannerie</t>
  </si>
  <si>
    <t>POI-016</t>
  </si>
  <si>
    <t>Vue Atlas</t>
  </si>
  <si>
    <t>Excursion</t>
  </si>
  <si>
    <t>Ourika (Atlas, ~30 km)</t>
  </si>
  <si>
    <t>Vallée de l'Ourika, Haut Atlas</t>
  </si>
  <si>
    <t>Accès libre (site naturel)</t>
  </si>
  <si>
    <t>EXCURSION À LA JOURNÉE · Vallée de l'Ourika, Ourika (Atlas, ~30 km)</t>
  </si>
  <si>
    <t>Durée moyenne : Journée · Importé de A VISITER</t>
  </si>
  <si>
    <t>2.10 · 🛡️ Sécurité · nombre d'agents</t>
  </si>
  <si>
    <t>2.10 · 🛡️ Sécurité · €/jour/agent (120-450)</t>
  </si>
  <si>
    <t>Librairie</t>
  </si>
  <si>
    <t>POI-SHO-LIV</t>
  </si>
  <si>
    <t>Librairie d'Art · Carrefour des Livres</t>
  </si>
  <si>
    <t>2.11 · 🚗 Type de véhicule</t>
  </si>
  <si>
    <t>POI-017</t>
  </si>
  <si>
    <t>Oukaimeden</t>
  </si>
  <si>
    <t>◄ Transfert aéroport/gare A/R (auto si arrivée AVION/TRAIN)</t>
  </si>
  <si>
    <t>Excursion / Montagne</t>
  </si>
  <si>
    <t>Atlas (~70 km)</t>
  </si>
  <si>
    <t>Oukaïmeden, Haut Atlas (~70 km)</t>
  </si>
  <si>
    <t>Station de ski (saison hivernale)</t>
  </si>
  <si>
    <t>EXCURSION À LA JOURNÉE · Oukaimeden, Atlas (~70 km)</t>
  </si>
  <si>
    <t>Épicerie fine</t>
  </si>
  <si>
    <t>2.11 · 🚗 Nb prestations transport sur la JOURNÉE (total · &gt;3 → journée)</t>
  </si>
  <si>
    <t>POI-SHO-EPI</t>
  </si>
  <si>
    <t>Épices · Huiles d'argan · Miel · Safran</t>
  </si>
  <si>
    <t>◄ Seuil JOURNÉE : si courses/jour &gt;</t>
  </si>
  <si>
    <t>POI-018</t>
  </si>
  <si>
    <t>Plateau du Kik</t>
  </si>
  <si>
    <t>2.11 · 🚗 dont le MATIN (&gt;2 → demi-journée)</t>
  </si>
  <si>
    <t>◄ Seuil DEMI-JOURNÉE : si courses matin &gt;</t>
  </si>
  <si>
    <t>Atlas (Asni / Lalla Takerkoust)</t>
  </si>
  <si>
    <t>Plateau du Kik / Lalla Takerkoust (Asni)</t>
  </si>
  <si>
    <t>═══ ÉTAPE 3 · DEVIS ═══</t>
  </si>
  <si>
    <t>── PARTIE A · DÉBOURS (refacturés à l'identique · hors marge &amp; TVA) ──</t>
  </si>
  <si>
    <t>EXCURSION À LA JOURNÉE · Plateau du Kik, Atlas (Asni / Lalla Takerkoust)</t>
  </si>
  <si>
    <t>Durée moyenne : Demi-journée · Importé de A VISITER</t>
  </si>
  <si>
    <t>🏨 Hébergement (prix ch. × nb chambres × nb nuits)</t>
  </si>
  <si>
    <t>Petite faim</t>
  </si>
  <si>
    <t>Pause thé / café caché</t>
  </si>
  <si>
    <t>POI-FOO-THE</t>
  </si>
  <si>
    <t>Café des Épices · Bacha Coffee · Salon de thé Yacout</t>
  </si>
  <si>
    <t>POI-019</t>
  </si>
  <si>
    <t>🚗 Transport (quotidien + transfert aéroport/gare A/R · 0 si client gère)</t>
  </si>
  <si>
    <t>Nature / Balade</t>
  </si>
  <si>
    <t>Palmeraie de Marrakech, 40000</t>
  </si>
  <si>
    <t>Accès libre (zone)</t>
  </si>
  <si>
    <t>Jardin historique · Palmeraie, Palmeraie</t>
  </si>
  <si>
    <t>Gourmandise / pâtisserie</t>
  </si>
  <si>
    <t>POI-FOO-GOU</t>
  </si>
  <si>
    <t>Pierre Hermé · Pâtisseries marocaines · Cornes de gazelle</t>
  </si>
  <si>
    <t>POI-020</t>
  </si>
  <si>
    <t>Quartier / Patrimoine</t>
  </si>
  <si>
    <t>Quartier Mellah, Médina, Marrakech 40000</t>
  </si>
  <si>
    <t>Accès libre (quartier)</t>
  </si>
  <si>
    <t>⭐ Activités (matinée + après-midi + enfants) × nb jours</t>
  </si>
  <si>
    <t>Ruelle iconique · Mellah, Médina (Mellah)</t>
  </si>
  <si>
    <t>Glaces &amp; sorbets</t>
  </si>
  <si>
    <t>POI-FOO-GLA</t>
  </si>
  <si>
    <t>Glacier artisanal · Sorbets aux dattes</t>
  </si>
  <si>
    <t>POI-021</t>
  </si>
  <si>
    <t>🛡️ Sécurité (agents × €/jour × nb nuits)</t>
  </si>
  <si>
    <t>Bab Agnaou</t>
  </si>
  <si>
    <t>Patrimoine (porte)</t>
  </si>
  <si>
    <t>Bab Agnaou, Marrakech 40000</t>
  </si>
  <si>
    <t>🎁 Pack événement (si EV coché · hors EV-AUT)</t>
  </si>
  <si>
    <t>Accès libre (porte historique)</t>
  </si>
  <si>
    <t>Architecture remarquable · Bab Agnaou, Médina (Kasbah)</t>
  </si>
  <si>
    <t>Durée moyenne : 15–30 min · Importé de A VISITER</t>
  </si>
  <si>
    <t>⚠️ Restauration (déjeuner/dîner) + soirée = à régler SUR PLACE · hors débours.</t>
  </si>
  <si>
    <t>SOUS-TOTAL DÉBOURS</t>
  </si>
  <si>
    <t>Street food premium</t>
  </si>
  <si>
    <t>POI-FOO-STR</t>
  </si>
  <si>
    <t>Tanjia Mellah · Brochettes Jemaa el-Fna sélectionnées</t>
  </si>
  <si>
    <t>── PARTIE B · HONORAIRES SOLÝ (% par catégorie · cf. HONORAIRES_SOLY) ──</t>
  </si>
  <si>
    <t>POI-022</t>
  </si>
  <si>
    <t>🔔 Honoraires SOLÝ</t>
  </si>
  <si>
    <t>Bab Doukkala, Marrakech 40000</t>
  </si>
  <si>
    <t>Accès libre (porte / quartier)</t>
  </si>
  <si>
    <t>Architecture remarquable · Bab Doukkala, Médina</t>
  </si>
  <si>
    <t>TVA 20% / honoraires</t>
  </si>
  <si>
    <t>Jus &amp; smoothies</t>
  </si>
  <si>
    <t>POI-FOO-JUS</t>
  </si>
  <si>
    <t>Jus frais · Smoothies dattes-amandes</t>
  </si>
  <si>
    <t>POI-023</t>
  </si>
  <si>
    <t>💰 TOTAL CLIENT (débours + honoraires TTC)</t>
  </si>
  <si>
    <t>Quartier design</t>
  </si>
  <si>
    <t>Quartier Industriel Sidi Ghanem, Marrakech</t>
  </si>
  <si>
    <t>Commerces · Lun–Sam (horaires variables)</t>
  </si>
  <si>
    <t>Architecture remarquable · Sidi Ghanem, Sidi Ghanem</t>
  </si>
  <si>
    <t>4.3 · Mode de règlement</t>
  </si>
  <si>
    <t>① Totalité</t>
  </si>
  <si>
    <t>4.4 · Si ② : modalité cagnotte</t>
  </si>
  <si>
    <t>⚖️ Équitable</t>
  </si>
  <si>
    <t>4.4 · Nb de participants (parts)</t>
  </si>
  <si>
    <t>→ Montant par participant (si ② Équitable)</t>
  </si>
  <si>
    <t>Brunch</t>
  </si>
  <si>
    <t>POI-FOO-BRU</t>
  </si>
  <si>
    <t>Brunch dimanche · Petit-déjeuner riad</t>
  </si>
  <si>
    <t>POI-024</t>
  </si>
  <si>
    <t>MACAAL</t>
  </si>
  <si>
    <t>Musée (art contemporain)</t>
  </si>
  <si>
    <t>Al Maaden, route de l'Ourika, Marrakech</t>
  </si>
  <si>
    <t>→ Type de confirmation</t>
  </si>
  <si>
    <t>Mer–Dim 10:00–18:00</t>
  </si>
  <si>
    <t>+212 6 76 92 44 92</t>
  </si>
  <si>
    <t>Palais / musée · MACAAL, Al Maaden</t>
  </si>
  <si>
    <t>→ Statut feuille de route</t>
  </si>
  <si>
    <t>Durée moyenne : 1h30 · Importé de A VISITER</t>
  </si>
  <si>
    <t>Immersion culturelle</t>
  </si>
  <si>
    <t>Démonstration artisan</t>
  </si>
  <si>
    <t>POI-IMM-DEM</t>
  </si>
  <si>
    <t>Maâlem en activité · Tisserand · Sculpteur bois</t>
  </si>
  <si>
    <t>POI-025</t>
  </si>
  <si>
    <t>Maison d'hôtes / Jardin</t>
  </si>
  <si>
    <t>Douar Abiad, Palmeraie, Marrakech 40000</t>
  </si>
  <si>
    <t>Sur réservation</t>
  </si>
  <si>
    <t>+212 5 24 32 84 84</t>
  </si>
  <si>
    <t>Jardin historique · Jnane Tamsna, Palmeraie</t>
  </si>
  <si>
    <t>POI-IMM-CUI</t>
  </si>
  <si>
    <t>Tajine · Pastilla · Couscous · La Maison Arabe</t>
  </si>
  <si>
    <t>POI-026</t>
  </si>
  <si>
    <t>Musée Pierre Bergé</t>
  </si>
  <si>
    <t>Guéliz (Jardin Majorelle)</t>
  </si>
  <si>
    <t>Rue Yves St Laurent (Jardin Majorelle), Marrakech 40000</t>
  </si>
  <si>
    <t>Tous les jours 8:30–18:00</t>
  </si>
  <si>
    <t>Palais / musée · Musée Pierre Bergé, Guéliz (Jardin Majorelle)</t>
  </si>
  <si>
    <t>Atelier henné</t>
  </si>
  <si>
    <t>POI-IMM-HEN</t>
  </si>
  <si>
    <t>Henna artist · Motifs traditionnels</t>
  </si>
  <si>
    <t>POI-027</t>
  </si>
  <si>
    <t>Camp / Observation</t>
  </si>
  <si>
    <t>Agafay (camp lodge), Marrakech-Safi</t>
  </si>
  <si>
    <t>EXCURSION À LA JOURNÉE · Terre des Étoiles, Agafay</t>
  </si>
  <si>
    <t>Durée moyenne : Soirée · Importé de A VISITER</t>
  </si>
  <si>
    <t>Conteur / musique</t>
  </si>
  <si>
    <t>POI-IMM-CON</t>
  </si>
  <si>
    <t>Conteur Jemaa el-Fna · Gnaoua · Andalouse</t>
  </si>
  <si>
    <t>POI-028</t>
  </si>
  <si>
    <t>Country club / Jardin</t>
  </si>
  <si>
    <t>Route du Barrage (Cherífia)</t>
  </si>
  <si>
    <t>KM6 Route du Barrage, Marrakech 40000</t>
  </si>
  <si>
    <t>Journée (sur réservation)</t>
  </si>
  <si>
    <t>+212 5 24 38 39 50</t>
  </si>
  <si>
    <t>Jardin historique · Beldi Country Club, Route du Barrage (Cherífia)</t>
  </si>
  <si>
    <t>Cérémonie thé</t>
  </si>
  <si>
    <t>POI-IMM-CER</t>
  </si>
  <si>
    <t>Rituel thé à la menthe · Initiation</t>
  </si>
  <si>
    <t>POI-029</t>
  </si>
  <si>
    <t>Hôtel / Chevaux arabes</t>
  </si>
  <si>
    <t>Km5 Route d'Amizmiz, Marrakech 40160</t>
  </si>
  <si>
    <t>Monument historique · Selman Marrakech, Route d'Amizmiz</t>
  </si>
  <si>
    <t>Calligraphie</t>
  </si>
  <si>
    <t>POI-IMM-CAL</t>
  </si>
  <si>
    <t>Initiation calligraphie arabe · Maître calligraphe</t>
  </si>
  <si>
    <t>POI-030</t>
  </si>
  <si>
    <t>Excursion / Lac</t>
  </si>
  <si>
    <t>Lac Lalla Takerkoust (~35 km)</t>
  </si>
  <si>
    <t>Lac / barrage Lalla Takerkoust (~35 km)</t>
  </si>
  <si>
    <t>Accès libre (lac)</t>
  </si>
  <si>
    <t>EXCURSION À LA JOURNÉE · Lalla Takerkoust, Lac Lalla Takerkoust (~35 km)</t>
  </si>
  <si>
    <t>Danse / Gnaoua</t>
  </si>
  <si>
    <t>POI-IMM-DAN</t>
  </si>
  <si>
    <t>Spectacle Gnaoua · Soirée musicale traditionnelle</t>
  </si>
  <si>
    <t>POI-031</t>
  </si>
  <si>
    <t>Cascades d'Ouzoud</t>
  </si>
  <si>
    <t>Ouzoud (~150 km)</t>
  </si>
  <si>
    <t>Cascades d'Ouzoud (~150 km)</t>
  </si>
  <si>
    <t>Accès libre 24h/24</t>
  </si>
  <si>
    <t>EXCURSION À LA JOURNÉE · Cascades d'Ouzoud, Ouzoud (~150 km)</t>
  </si>
  <si>
    <t>Rooftop urbain</t>
  </si>
  <si>
    <t>POI-VUE-ROO</t>
  </si>
  <si>
    <t>Café Arabe · Nomad · Le Jardin Secret · Kabana</t>
  </si>
  <si>
    <t>POI-032</t>
  </si>
  <si>
    <t>Essaouira (côte, ~190 km)</t>
  </si>
  <si>
    <t>Médina d'Essaouira (~190 km)</t>
  </si>
  <si>
    <t>Accès libre (médina)</t>
  </si>
  <si>
    <t>EXCURSION À LA JOURNÉE · Essaouira, Essaouira (côte, ~190 km)</t>
  </si>
  <si>
    <t>POI-VUE-ATL</t>
  </si>
  <si>
    <t>Terrasses palmeraie · Belvédères Ourika</t>
  </si>
  <si>
    <t>POI-033</t>
  </si>
  <si>
    <t>Aït Ben Haddou</t>
  </si>
  <si>
    <t>Excursion / UNESCO</t>
  </si>
  <si>
    <t>Ouarzazate (~190 km)</t>
  </si>
  <si>
    <t>Aït Benhaddou (~190 km)</t>
  </si>
  <si>
    <t>Accès libre (ksar UNESCO)</t>
  </si>
  <si>
    <t>EXCURSION À LA JOURNÉE · Aït Ben Haddou, Ouarzazate (~190 km)</t>
  </si>
  <si>
    <t>POI-VUE-DES</t>
  </si>
  <si>
    <t>Dunes Agafay · Coucher soleil dromadaire</t>
  </si>
  <si>
    <t>POI-034</t>
  </si>
  <si>
    <t>Ouarzazate</t>
  </si>
  <si>
    <t>Ouarzazate (~200 km)</t>
  </si>
  <si>
    <t>Ville (porte du désert)</t>
  </si>
  <si>
    <t>EXCURSION À LA JOURNÉE · Ouarzazate, Ouarzazate (~200 km)</t>
  </si>
  <si>
    <t>Vue palmeraie</t>
  </si>
  <si>
    <t>POI-VUE-PAL</t>
  </si>
  <si>
    <t>Hôtels Palmeraie · Tour d'observation</t>
  </si>
  <si>
    <t>POI-035</t>
  </si>
  <si>
    <t>Atlas Studios</t>
  </si>
  <si>
    <t>Studios de cinéma</t>
  </si>
  <si>
    <t>KM5 Route de Marrakech, Ouarzazate</t>
  </si>
  <si>
    <t>Tous les jours 8:30–18:30</t>
  </si>
  <si>
    <t>+212 5 24 88 22 12</t>
  </si>
  <si>
    <t>Monument historique · Atlas Studios, Ouarzazate</t>
  </si>
  <si>
    <t>Vue Koutoubia</t>
  </si>
  <si>
    <t>POI-VUE-KOU</t>
  </si>
  <si>
    <t>Terrasses Médina · Café France · Rooftop CTM</t>
  </si>
  <si>
    <t>POI-036</t>
  </si>
  <si>
    <t>Vallée d'Asni</t>
  </si>
  <si>
    <t>Asni (Atlas, ~45 km)</t>
  </si>
  <si>
    <t>Vallée d'Asni, Haut Atlas (~45 km)</t>
  </si>
  <si>
    <t>Accès libre (vallée)</t>
  </si>
  <si>
    <t>EXCURSION À LA JOURNÉE · Vallée d'Asni, Asni (Atlas, ~45 km)</t>
  </si>
  <si>
    <t>Cosmétique organique</t>
  </si>
  <si>
    <t>POI-SHO-COS</t>
  </si>
  <si>
    <t>Cosmétiques bio · Argan · Soins naturels</t>
  </si>
  <si>
    <t>POI-037</t>
  </si>
  <si>
    <t>Atlas Mountains</t>
  </si>
  <si>
    <t>Haut Atlas</t>
  </si>
  <si>
    <t>Massif du Haut Atlas (Toubkal)</t>
  </si>
  <si>
    <t>Accès libre (montagne)</t>
  </si>
  <si>
    <t>EXCURSION À LA JOURNÉE · Atlas Mountains, Haut Atlas</t>
  </si>
  <si>
    <t>Antiquaire</t>
  </si>
  <si>
    <t>POI-SHO-ANT</t>
  </si>
  <si>
    <t>Antiquités · Mobilier ancien · Objets de collection</t>
  </si>
  <si>
    <t>POI-038</t>
  </si>
  <si>
    <t>Le Jardin Rouge</t>
  </si>
  <si>
    <t>Art / Résidence</t>
  </si>
  <si>
    <t>Route de Ouarzazate (palmeraie)</t>
  </si>
  <si>
    <t>N8, Marrakech (~15 km est)</t>
  </si>
  <si>
    <t>Sur RDV (résidence d'artistes)</t>
  </si>
  <si>
    <t>Galerie d'art · Le Jardin Rouge, Route de Ouarzazate (palmeraie)</t>
  </si>
  <si>
    <t>POI-039</t>
  </si>
  <si>
    <t>Parc Cyber</t>
  </si>
  <si>
    <t>Parc / Jardin</t>
  </si>
  <si>
    <t>Guéliz (Av. Mohammed V)</t>
  </si>
  <si>
    <t>Boulevard Mohammed V, Marrakech 40000</t>
  </si>
  <si>
    <t>Tous les jours 7:00–18:00</t>
  </si>
  <si>
    <t>Jardin historique · Parc Cyber, Guéliz (Av. Mohammed V)</t>
  </si>
  <si>
    <t>POI-040</t>
  </si>
  <si>
    <t>Mouassine Museum</t>
  </si>
  <si>
    <t>4-5 Derb El Hammam, Médina, Marrakech 40000</t>
  </si>
  <si>
    <t>Tous les jours 10:00–19:00</t>
  </si>
  <si>
    <t>+212 5 24 37 77 92</t>
  </si>
  <si>
    <t>Palais / musée · Mouassine Museum, Médina (Mouassine)</t>
  </si>
  <si>
    <t>POI-041</t>
  </si>
  <si>
    <t>Musée du Patrimoine</t>
  </si>
  <si>
    <t>Jamaa El-Fna, Marrakech 40000</t>
  </si>
  <si>
    <t>Lun/Mer–Dim 10:00–18:00 (fermé mar.)</t>
  </si>
  <si>
    <t>Palais / musée · Musée du Patrimoine, Médina</t>
  </si>
  <si>
    <t>POI-042</t>
  </si>
  <si>
    <t>Dar El Bacha</t>
  </si>
  <si>
    <t>Musée / Patrimoine</t>
  </si>
  <si>
    <t>Rue Fatima Zahra, Médina, Marrakech 40000</t>
  </si>
  <si>
    <t>Palais / musée · Dar El Bacha, Médina</t>
  </si>
  <si>
    <t>POI-043</t>
  </si>
  <si>
    <t>Secret Garden Tower</t>
  </si>
  <si>
    <t>Patrimoine (panorama)</t>
  </si>
  <si>
    <t>Monument historique · Secret Garden Tower, Médina</t>
  </si>
  <si>
    <t>Durée moyenne : 30 min · Importé de A VISITER</t>
  </si>
  <si>
    <t>POI-044</t>
  </si>
  <si>
    <t>Bahia Gardens</t>
  </si>
  <si>
    <t>Jardin (Palais Bahia)</t>
  </si>
  <si>
    <t>Palais Bahia (jardins), Médina, Marrakech 40000</t>
  </si>
  <si>
    <t>Palais / musée · Bahia Gardens, Médina</t>
  </si>
  <si>
    <t>POI-045</t>
  </si>
  <si>
    <t>Ksar Char-Bagh</t>
  </si>
  <si>
    <t>Hôtel / Jardin</t>
  </si>
  <si>
    <t>La Palmeraie, Route de Fez, Marrakech 40000</t>
  </si>
  <si>
    <t>Hôtel-restaurant (sur réservation)</t>
  </si>
  <si>
    <t>Jardin historique · Ksar Char-Bagh, Palmeraie</t>
  </si>
  <si>
    <t>POI-046</t>
  </si>
  <si>
    <t>Camp Agafay</t>
  </si>
  <si>
    <t>Camp désert</t>
  </si>
  <si>
    <t>Agafay (Dour Laarisa), Marrakech-Safi</t>
  </si>
  <si>
    <t>+212 6 84 11 31 13</t>
  </si>
  <si>
    <t>EXCURSION À LA JOURNÉE · Camp Agafay, Agafay</t>
  </si>
  <si>
    <t>Durée moyenne : Soirée / Nuit · Importé de A VISITER</t>
  </si>
  <si>
    <t>POI-047</t>
  </si>
  <si>
    <t>Ourika Bio Valley</t>
  </si>
  <si>
    <t>Tnine Ourika 40000 (~35 km)</t>
  </si>
  <si>
    <t>+212 5 24 48 21 49</t>
  </si>
  <si>
    <t>EXCURSION À LA JOURNÉE · Ourika Bio Valley, Ourika</t>
  </si>
  <si>
    <t>POI-048</t>
  </si>
  <si>
    <t>Tahanaout</t>
  </si>
  <si>
    <t>Excursion / Village</t>
  </si>
  <si>
    <t>Tahanaout (Atlas, ~35 km)</t>
  </si>
  <si>
    <t>Tahanaout, Al Haouz (~30 km)</t>
  </si>
  <si>
    <t>Bourg (accès libre)</t>
  </si>
  <si>
    <t>EXCURSION À LA JOURNÉE · Tahanaout, Tahanaout (Atlas, ~35 km)</t>
  </si>
  <si>
    <t>POI-049</t>
  </si>
  <si>
    <t>Chabi Chic</t>
  </si>
  <si>
    <t>Shopping / Concept Store</t>
  </si>
  <si>
    <t>Médina (Souk Cherifia) / Guéliz</t>
  </si>
  <si>
    <t>435 Sidi Ghanem, Marrakech</t>
  </si>
  <si>
    <t>Lun–Sam 9:30–18:30</t>
  </si>
  <si>
    <t>+212 8 08 52 30 37</t>
  </si>
  <si>
    <t>Concept store · Chabi Chic, Médina (Souk Cherifia) / Guéliz</t>
  </si>
  <si>
    <t>Gamme : Premium · Importé de SHOPPING</t>
  </si>
  <si>
    <t>POI-050</t>
  </si>
  <si>
    <t>Lalla Marrakech</t>
  </si>
  <si>
    <t>35 Bd el Mansour Eddahbi, Guéliz, Marrakech 40000</t>
  </si>
  <si>
    <t>Lun–Sam 10:00–19:00</t>
  </si>
  <si>
    <t>+212 5 24 44 72 23</t>
  </si>
  <si>
    <t>Concept store · Lalla Marrakech, Médina</t>
  </si>
  <si>
    <t>POI-051</t>
  </si>
  <si>
    <t>Moor</t>
  </si>
  <si>
    <t>Guéliz (à vérifier)</t>
  </si>
  <si>
    <t>Rue Yves St Laurent, Majorelle, Marrakech 40000</t>
  </si>
  <si>
    <t>+212 6 65 99 93 36</t>
  </si>
  <si>
    <t>Concept store · Moor, Guéliz (à vérifier)</t>
  </si>
  <si>
    <t>POI-052</t>
  </si>
  <si>
    <t>Corinne Bensimon Marrakech</t>
  </si>
  <si>
    <t>104 Dar el Bacha, Médina, Marrakech 40000</t>
  </si>
  <si>
    <t>Lun–Sam 10:30–18:30</t>
  </si>
  <si>
    <t>+212 6 60 10 37 95</t>
  </si>
  <si>
    <t>Concept store · Corinne Bensimon Marrakech, Guéliz</t>
  </si>
  <si>
    <t>POI-053</t>
  </si>
  <si>
    <t>Maison Blaoui</t>
  </si>
  <si>
    <t>Médina (Bab Doukkala)</t>
  </si>
  <si>
    <t>144 Arset Aouzal Rd, Médina, Marrakech 40000</t>
  </si>
  <si>
    <t>+212 5 24 38 52 40</t>
  </si>
  <si>
    <t>Concept store · Maison Blaoui, Médina (Bab Doukkala)</t>
  </si>
  <si>
    <t>POI-054</t>
  </si>
  <si>
    <t>Max &amp; Jan</t>
  </si>
  <si>
    <t>Médina (Souk Cherifia)</t>
  </si>
  <si>
    <t>14 Rue Amsefah, Sidi Abdelaziz, Médina 40000</t>
  </si>
  <si>
    <t>Tous les jours 10:30–21:00</t>
  </si>
  <si>
    <t>+212 5 24 37 55 70</t>
  </si>
  <si>
    <t>Concept store · Max &amp; Jan, Médina (Souk Cherifia)</t>
  </si>
  <si>
    <t>POI-055</t>
  </si>
  <si>
    <t>Marrakshi Life</t>
  </si>
  <si>
    <t>933 Rte de Safi, Marrakech 40110</t>
  </si>
  <si>
    <t>Lun–Ven 10:00–18:00</t>
  </si>
  <si>
    <t>+212 7 71 61 36 02</t>
  </si>
  <si>
    <t>Concept store · Marrakshi Life, Sidi Ghanem</t>
  </si>
  <si>
    <t>POI-056</t>
  </si>
  <si>
    <t>Topolina</t>
  </si>
  <si>
    <t>Médina / Guéliz</t>
  </si>
  <si>
    <t>369 (2e ét.), Sidi Ghanem, Marrakech 40110</t>
  </si>
  <si>
    <t>Lun–Sam 10:00–17:30</t>
  </si>
  <si>
    <t>+212 6 79 72 60 26</t>
  </si>
  <si>
    <t>Concept store · Topolina, Médina / Guéliz</t>
  </si>
  <si>
    <t>POI-057</t>
  </si>
  <si>
    <t>Norya Ayron</t>
  </si>
  <si>
    <t>32 Souk Laksour, Médina, Marrakech 40000</t>
  </si>
  <si>
    <t>Mer–Lun 10:30–18:00 (fermé mar.)</t>
  </si>
  <si>
    <t>+212 6 61 29 59 90</t>
  </si>
  <si>
    <t>Concept store · Norya Ayron, Guéliz</t>
  </si>
  <si>
    <t>POI-058</t>
  </si>
  <si>
    <t>Kaftan Queen</t>
  </si>
  <si>
    <t>Marrakech 40140</t>
  </si>
  <si>
    <t>Tous les jours 9:30–23:30</t>
  </si>
  <si>
    <t>+212 6 61 59 60 63</t>
  </si>
  <si>
    <t>Concept store · Kaftan Queen, Guéliz</t>
  </si>
  <si>
    <t>POI-059</t>
  </si>
  <si>
    <t>Ayaso Concept Store</t>
  </si>
  <si>
    <t>168 Kedima Square, Médina, Marrakech 40000</t>
  </si>
  <si>
    <t>Tous les jours 11:00–22:00</t>
  </si>
  <si>
    <t>+212 8 08 66 09 38</t>
  </si>
  <si>
    <t>Concept store · Ayaso Concept Store, Guéliz (à vérifier)</t>
  </si>
  <si>
    <t>POI-060</t>
  </si>
  <si>
    <t>Maktoub by Meryem</t>
  </si>
  <si>
    <t>Marrakech (à vérifier)</t>
  </si>
  <si>
    <t>Concept store · Maktoub by Meryem, Marrakech (à vérifier)</t>
  </si>
  <si>
    <t>POI-061</t>
  </si>
  <si>
    <t>Atelier Nihal</t>
  </si>
  <si>
    <t>Concept store · Atelier Nihal, Marrakech (à vérifier)</t>
  </si>
  <si>
    <t>POI-062</t>
  </si>
  <si>
    <t>Les Sens de Marrakech</t>
  </si>
  <si>
    <t>N°17 Rue Principale, Sidi Ghanem 40110</t>
  </si>
  <si>
    <t>Lun–Sam 8:30–18:00</t>
  </si>
  <si>
    <t>+212 5 24 33 69 91</t>
  </si>
  <si>
    <t>Concept store · Les Sens de Marrakech, Sidi Ghanem</t>
  </si>
  <si>
    <t>POI-063</t>
  </si>
  <si>
    <t>Heritage Berbère</t>
  </si>
  <si>
    <t>Sidi Ghanem / Guéliz</t>
  </si>
  <si>
    <t>Villa Dar Sabah, Av. Yacoub El Mansour (près Majorelle) 40000</t>
  </si>
  <si>
    <t>Tous les jours 10:00–21:00</t>
  </si>
  <si>
    <t>+212 5 24 30 88 41</t>
  </si>
  <si>
    <t>Concept store · Heritage Berbère, Sidi Ghanem / Guéliz</t>
  </si>
  <si>
    <t>POI-064</t>
  </si>
  <si>
    <t>Mustapha Blaoui</t>
  </si>
  <si>
    <t>Concept store · Mustapha Blaoui, Médina (Bab Doukkala)</t>
  </si>
  <si>
    <t>Gamme : Bazar / Artisanat · Importé de SHOPPING</t>
  </si>
  <si>
    <t>POI-065</t>
  </si>
  <si>
    <t>Beldi Country Club Boutique</t>
  </si>
  <si>
    <t>Beldi Country Club, KM6 Route du Barrage, Marrakech</t>
  </si>
  <si>
    <t>Journée (sur place)</t>
  </si>
  <si>
    <t>Concept store · Beldi Country Club Boutique, Route du Barrage (Cherífia)</t>
  </si>
  <si>
    <t>POI-066</t>
  </si>
  <si>
    <t>Majorelle Boutique</t>
  </si>
  <si>
    <t>Jardin Majorelle, Rue Yves St Laurent, 40000</t>
  </si>
  <si>
    <t>Concept store · Majorelle Boutique, Guéliz (Jardin Majorelle)</t>
  </si>
  <si>
    <t>POI-067</t>
  </si>
  <si>
    <t>YSL Museum Shop</t>
  </si>
  <si>
    <t>Guéliz (Musée YSL)</t>
  </si>
  <si>
    <t>Musée YSL, Rue Yves St Laurent, 40000</t>
  </si>
  <si>
    <t>Mar–Dim 10:00–18:00 (fermé mer.)</t>
  </si>
  <si>
    <t>Concept store · YSL Museum Shop, Guéliz (Musée YSL)</t>
  </si>
  <si>
    <t>POI-068</t>
  </si>
  <si>
    <t>Ensemble Artisanal</t>
  </si>
  <si>
    <t>Médina (Av. Mohammed V)</t>
  </si>
  <si>
    <t>Av. Mohammed V, Marrakech 40000</t>
  </si>
  <si>
    <t>Lun–Sam 9:30–19:00, Dim 9:00–14:00</t>
  </si>
  <si>
    <t>Concept store · Ensemble Artisanal, Médina (Av. Mohammed V)</t>
  </si>
  <si>
    <t>Gamme : Artisanat · Importé de SHOPPING</t>
  </si>
  <si>
    <t>POI-069</t>
  </si>
  <si>
    <t>Carré Eden</t>
  </si>
  <si>
    <t>Carré Eden, Av. Mohammed V, Guéliz 40000</t>
  </si>
  <si>
    <t>Tous les jours 10:00–22:00</t>
  </si>
  <si>
    <t>Concept store · Carré Eden, Guéliz</t>
  </si>
  <si>
    <t>Gamme : Centre commercial · Importé de SHOPPING</t>
  </si>
  <si>
    <t>POI-070</t>
  </si>
  <si>
    <t>Agdal (Av. Mohammed VI)</t>
  </si>
  <si>
    <t>Bd Mohammed VI, Marrakech 40000</t>
  </si>
  <si>
    <t>+212 5 24 35 10 50</t>
  </si>
  <si>
    <t>Concept store · Menara Mall, Agdal (Av. Mohammed VI)</t>
  </si>
  <si>
    <t>POI-071</t>
  </si>
  <si>
    <t>Almazar</t>
  </si>
  <si>
    <t>Almazar, Marrakech</t>
  </si>
  <si>
    <t>Tous les jours 10:00–23:00</t>
  </si>
  <si>
    <t>+212 5 24 44 58 84</t>
  </si>
  <si>
    <t>Concept store · Almazar, Agdal (Av. Mohammed VI)</t>
  </si>
  <si>
    <t>POI-072</t>
  </si>
  <si>
    <t>Souk Semmarine</t>
  </si>
  <si>
    <t>Souk Semmarine, Médina, Marrakech 40000</t>
  </si>
  <si>
    <t>Souk (~9:00–19:00)</t>
  </si>
  <si>
    <t>Concept store · Souk Semmarine, Médina</t>
  </si>
  <si>
    <t>Gamme : Souk / Artisanat · Importé de SHOPPING</t>
  </si>
  <si>
    <t>POI-073</t>
  </si>
  <si>
    <t>Souk Haddadine</t>
  </si>
  <si>
    <t>Rue Fehl Chidmi, Médina, Marrakech 40000</t>
  </si>
  <si>
    <t>Tous les jours 9:00–19:30</t>
  </si>
  <si>
    <t>Concept store · Souk Haddadine, Médina</t>
  </si>
  <si>
    <t>POI-074</t>
  </si>
  <si>
    <t>Souk des Teinturiers</t>
  </si>
  <si>
    <t>Rue des Teinturiers, Médina, Marrakech 40000</t>
  </si>
  <si>
    <t>Sam–Jeu 10:00–20:00 (fermé ven.)</t>
  </si>
  <si>
    <t>Concept store · Souk des Teinturiers, Médina</t>
  </si>
  <si>
    <t>POI-075</t>
  </si>
  <si>
    <t>Souk Cherratine</t>
  </si>
  <si>
    <t>Souk Cherratine, Médina, Marrakech 40000</t>
  </si>
  <si>
    <t>Tous les jours 10:00–17:00</t>
  </si>
  <si>
    <t>Concept store · Souk Cherratine, Médina</t>
  </si>
  <si>
    <t>POI-076</t>
  </si>
  <si>
    <t>Souk El Attarine</t>
  </si>
  <si>
    <t>Souk El Attarine, Médina, Marrakech 40000</t>
  </si>
  <si>
    <t>Concept store · Souk El Attarine, Médina</t>
  </si>
  <si>
    <t>POI-077</t>
  </si>
  <si>
    <t>Souk Smata</t>
  </si>
  <si>
    <t>Souk des Babouches, Médina, Marrakech 40000</t>
  </si>
  <si>
    <t>Concept store · Souk Smata, Médina</t>
  </si>
  <si>
    <t>POI-078</t>
  </si>
  <si>
    <t>Souk des Bijoutiers</t>
  </si>
  <si>
    <t>Souk Semmarine (bijoutiers), Médina, Marrakech 40000</t>
  </si>
  <si>
    <t>Mar–Dim 10:00–21:00</t>
  </si>
  <si>
    <t>Concept store · Souk des Bijoutiers, Médina</t>
  </si>
  <si>
    <t>POI-079</t>
  </si>
  <si>
    <t>Medina Mall</t>
  </si>
  <si>
    <t>2 Av. de la Ménara, Marrakech 40000 (M Avenue / à confirmer)</t>
  </si>
  <si>
    <t>Tous les jours 10:00–00:00</t>
  </si>
  <si>
    <t>+212 6 66 80 76 26</t>
  </si>
  <si>
    <t>Concept store · Medina Mall, Médina</t>
  </si>
  <si>
    <t>POI-080</t>
  </si>
  <si>
    <t>17 Rue Yougoslavie, Guéliz, Marrakech 40000</t>
  </si>
  <si>
    <t>Galerie (horaires variables)</t>
  </si>
  <si>
    <t>+212 6 13 65 85 71</t>
  </si>
  <si>
    <t>Concept store · David Bloch Gallery, Guéliz</t>
  </si>
  <si>
    <t>Gamme : Galerie d'art · Importé de SHOPPING</t>
  </si>
  <si>
    <t>POI-081</t>
  </si>
  <si>
    <t>127 Av. Mohammed V (2e ét.), Guéliz 40000</t>
  </si>
  <si>
    <t>+212 6 61 33 99 53</t>
  </si>
  <si>
    <t>Concept store · Galerie 127, Guéliz</t>
  </si>
  <si>
    <t>POI-082</t>
  </si>
  <si>
    <t>Comptoir des Mines</t>
  </si>
  <si>
    <t>62 Rue Yougoslavie, Guéliz, Marrakech 40000</t>
  </si>
  <si>
    <t>Mar–Sam 10:00–13:30 (mar. 17:00–21:00)</t>
  </si>
  <si>
    <t>+212 6 88 14 60 74</t>
  </si>
  <si>
    <t>Concept store · Comptoir des Mines, Guéliz</t>
  </si>
  <si>
    <t>POI-083</t>
  </si>
  <si>
    <t>LRNCE</t>
  </si>
  <si>
    <t>59 Rue Sidi Ghanem, Marrakech 40000</t>
  </si>
  <si>
    <t>Lun–Sam 10:00–18:00</t>
  </si>
  <si>
    <t>+212 7 74 47 70 15</t>
  </si>
  <si>
    <t>Concept store · LRNCE, Sidi Ghanem</t>
  </si>
  <si>
    <t>POI-084</t>
  </si>
  <si>
    <t>Hanout Boutique</t>
  </si>
  <si>
    <t>Médina (à vérifier)</t>
  </si>
  <si>
    <t>15 Rue Riad Zitoun el Jdid, Médina, Marrakech 40000</t>
  </si>
  <si>
    <t>+212 6 48 12 97 38</t>
  </si>
  <si>
    <t>Concept store · Hanout Boutique, Médina (à vérifier)</t>
  </si>
  <si>
    <t>POI-085</t>
  </si>
  <si>
    <t>Soufiane Zarib</t>
  </si>
  <si>
    <t>Médina (Sidi Abdelaziz) / Sidi Ghanem</t>
  </si>
  <si>
    <t>Rue près Dar El Bacha, Médina, Marrakech 40000</t>
  </si>
  <si>
    <t>Lun–Sam 8:30–19:30</t>
  </si>
  <si>
    <t>+212 6 61 85 34 87</t>
  </si>
  <si>
    <t>Concept store · Soufiane Zarib, Médina (Sidi Abdelaziz) / Sidi Ghanem</t>
  </si>
  <si>
    <t>POI-086</t>
  </si>
  <si>
    <t>Berber Living</t>
  </si>
  <si>
    <t>Sidi Ghanem (à vérifier)</t>
  </si>
  <si>
    <t>Rue Sidi Ghanem (Dôme Living), Marrakech 40000 (à confirmer)</t>
  </si>
  <si>
    <t>Showroom (horaires variables)</t>
  </si>
  <si>
    <t>+212 6 61 15 20 78</t>
  </si>
  <si>
    <t>Concept store · Berber Living, Sidi Ghanem (à vérifier)</t>
  </si>
  <si>
    <t>POI-087</t>
  </si>
  <si>
    <t>Bazar du Sud</t>
  </si>
  <si>
    <t>Médina (Souk des Tapis)</t>
  </si>
  <si>
    <t>Souk des Tapis (97), Médina, Marrakech 40000</t>
  </si>
  <si>
    <t>Sam–Jeu 11:00–18:00 (fermé ven.)</t>
  </si>
  <si>
    <t>+212 6 43 10 32 57</t>
  </si>
  <si>
    <t>Concept store · Bazar du Sud, Médina (Souk des Tapis)</t>
  </si>
  <si>
    <t>POI-088</t>
  </si>
  <si>
    <t>Terre d'Éveil</t>
  </si>
  <si>
    <t>Lotissement Harouchi, Marrakech 40000</t>
  </si>
  <si>
    <t>+212 5 24 34 85 03</t>
  </si>
  <si>
    <t>Concept store · Terre d'Éveil, Marrakech (à vérifier)</t>
  </si>
  <si>
    <t>POI-089</t>
  </si>
  <si>
    <t>Anitin Kids</t>
  </si>
  <si>
    <t>Bld al El Fassi (InCity Mall), Marrakech 40000 (à confirmer)</t>
  </si>
  <si>
    <t>Tous les jours 11:00–22:30</t>
  </si>
  <si>
    <t>+212 5 24 30 00 02</t>
  </si>
  <si>
    <t>Concept store · Anitin Kids, Guéliz (à vérifier)</t>
  </si>
  <si>
    <t>POI-090</t>
  </si>
  <si>
    <t>Jad Boutique</t>
  </si>
  <si>
    <t>Rue Haroun Errachid, Hivernage, Marrakech 40000</t>
  </si>
  <si>
    <t>Tous les jours 19:00–02:00</t>
  </si>
  <si>
    <t>Concept store · Jad Boutique, Marrakech (à vérifier)</t>
  </si>
  <si>
    <t>POI-091</t>
  </si>
  <si>
    <t>Selman Boutique</t>
  </si>
  <si>
    <t>Route d'Amizmiz (Hôtel Selman)</t>
  </si>
  <si>
    <t>Selman Marrakech, Km5 Route d'Amizmiz, 40160</t>
  </si>
  <si>
    <t>Sur place (hôtel)</t>
  </si>
  <si>
    <t>Monument historique · Selman Boutique, Route d'Amizmiz (Hôtel Selman)</t>
  </si>
  <si>
    <t>Gamme : Luxe · Importé de SHOPPING</t>
  </si>
  <si>
    <t>POI-092</t>
  </si>
  <si>
    <t>Palais Namaskar Boutique</t>
  </si>
  <si>
    <t>Palmeraie (Palais Namaskar)</t>
  </si>
  <si>
    <t>Route de Bab Atlas 88/69, Marrakech 40000</t>
  </si>
  <si>
    <t>Concept store · Palais Namaskar Boutique, Palmeraie (Palais Namaskar)</t>
  </si>
  <si>
    <t>POI-093</t>
  </si>
  <si>
    <t>Mandarin Oriental Boutique</t>
  </si>
  <si>
    <t>Route du Golf Royal (Mandarin Oriental)</t>
  </si>
  <si>
    <t>Rte Golf Royal, Marrakech 40000</t>
  </si>
  <si>
    <t>Concept store · Mandarin Oriental Boutique, Route du Golf Royal (Mandarin Oriental)</t>
  </si>
  <si>
    <t>POI-094</t>
  </si>
  <si>
    <t>Royal Mansour Boutique</t>
  </si>
  <si>
    <t>Médina / Hivernage (Royal Mansour)</t>
  </si>
  <si>
    <t>Rue Abou Abbas El Sebti, Marrakech 40000</t>
  </si>
  <si>
    <t>Concept store · Royal Mansour Boutique, Médina / Hivernage (Royal Mansour)</t>
  </si>
  <si>
    <t>POI-095</t>
  </si>
  <si>
    <t>La Mamounia Boutique</t>
  </si>
  <si>
    <t>Avenue Bab Jdid, Marrakech 40040</t>
  </si>
  <si>
    <t>Concept store · La Mamounia Boutique, Hivernage (La Mamounia)</t>
  </si>
  <si>
    <t>POI-096</t>
  </si>
  <si>
    <t>Oberoi Boutique</t>
  </si>
  <si>
    <t>Rte d'Ouarzazate, Marrakech 40000</t>
  </si>
  <si>
    <t>Concept store · Oberoi Boutique, Route de Ouarzazate (Oberoi)</t>
  </si>
  <si>
    <t>POI-097</t>
  </si>
  <si>
    <t>Café Bacha</t>
  </si>
  <si>
    <t>Salon de thé / Café</t>
  </si>
  <si>
    <t>Dar el Bacha (Musée des Confluences), rue Dar el Bacha, Médina</t>
  </si>
  <si>
    <t>+212 5 24 38 12 93</t>
  </si>
  <si>
    <t>Salon de thé / café — Bacha Coffee, lieu emblématique</t>
  </si>
  <si>
    <t>POI-098</t>
  </si>
  <si>
    <t>Prendre le thé dans le décor arty du Dar Chérifa</t>
  </si>
  <si>
    <t>8 Derb Chorfa Lakbir, Mouassine, Médina</t>
  </si>
  <si>
    <t>+212 5 24 42 65 50</t>
  </si>
  <si>
    <t>Café littéraire / salon de thé dans un riad du XVIe (Dar Chérifa)</t>
  </si>
  <si>
    <t>POI-099</t>
  </si>
  <si>
    <t>POI-100</t>
  </si>
  <si>
    <t>33 rue Majorelle</t>
  </si>
  <si>
    <t>POI-101</t>
  </si>
  <si>
    <t>MACMA</t>
  </si>
  <si>
    <t>POI-102</t>
  </si>
  <si>
    <t>Mathaf Ben Youssef</t>
  </si>
  <si>
    <t>POI-103</t>
  </si>
  <si>
    <t>Carrefour des Livres</t>
  </si>
  <si>
    <t>POI-104</t>
  </si>
  <si>
    <t>POI-105</t>
  </si>
  <si>
    <t>Bacha Coffee</t>
  </si>
  <si>
    <t>POI-106</t>
  </si>
  <si>
    <t>Salon de thé Yacout</t>
  </si>
  <si>
    <t>POI-107</t>
  </si>
  <si>
    <t>Pierre Hermé</t>
  </si>
  <si>
    <t>POI-108</t>
  </si>
  <si>
    <t>POI-109</t>
  </si>
  <si>
    <t>POI-110</t>
  </si>
  <si>
    <t>POI-111</t>
  </si>
  <si>
    <t>POI-112</t>
  </si>
  <si>
    <t>Café France</t>
  </si>
  <si>
    <t>POI-113</t>
  </si>
  <si>
    <t>Rooftop CTM</t>
  </si>
  <si>
    <t>PORTE D'OR</t>
  </si>
  <si>
    <t>TAPIS CHÂTEAU DES SOUKS</t>
  </si>
  <si>
    <t>AROMATIMRI</t>
  </si>
  <si>
    <t>LA MAISON DU RAPHIA</t>
  </si>
  <si>
    <t>ALMORE MARRAKECH</t>
  </si>
  <si>
    <t>NATUROM</t>
  </si>
  <si>
    <t>JAD BAIN &amp; BEAUTE</t>
  </si>
  <si>
    <t>LA BOUCHERIE</t>
  </si>
  <si>
    <t>MAISON SUCREE</t>
  </si>
  <si>
    <t>KAFTAN HOUSE</t>
  </si>
  <si>
    <t>MAISON DE LUXE</t>
  </si>
  <si>
    <t>RAQAS</t>
  </si>
  <si>
    <t>MANKALA TISSAGE</t>
  </si>
  <si>
    <t>MAISON CULTURELLE DU TAPIS</t>
  </si>
  <si>
    <t>SISSIMOROCCO</t>
  </si>
  <si>
    <t>AMASMOID ART</t>
  </si>
  <si>
    <t>PALAIS DE LA MENARA</t>
  </si>
  <si>
    <t>MAROCKO INREDNING</t>
  </si>
  <si>
    <t>POI-114</t>
  </si>
  <si>
    <t>Palais / musée · Musée du Parfum</t>
  </si>
  <si>
    <t>À vérifier · importé (liste musées)</t>
  </si>
  <si>
    <t>POI-115</t>
  </si>
  <si>
    <t>Musée de l'Élégance Marocaine</t>
  </si>
  <si>
    <t>Palais / musée · Musée de l'Élégance Marocaine</t>
  </si>
  <si>
    <t>POI-116</t>
  </si>
  <si>
    <t>Jardin Majorelle</t>
  </si>
  <si>
    <t>Rue Yves Saint Laurent, Guéliz</t>
  </si>
  <si>
    <t>Tous les jours 08:00–18:00</t>
  </si>
  <si>
    <t>Jardin historique · Jardin Majorelle, Guéliz</t>
  </si>
  <si>
    <t>Jardin emblématique · importé (liste jardins)</t>
  </si>
  <si>
    <t>POI-117</t>
  </si>
  <si>
    <t>Le Grand Musée de Marrakech</t>
  </si>
  <si>
    <t>Route de Casablanca (périphérie)</t>
  </si>
  <si>
    <t>Km 10 Route de Casablanca, Ouahat Sidi Brahim, Marrakech</t>
  </si>
  <si>
    <t>Selon programmation</t>
  </si>
  <si>
    <t>+212 6 61 40 84 38</t>
  </si>
  <si>
    <t>Palais / musée · Le Grand Musée de Marrakech, route de Casablanca</t>
  </si>
  <si>
    <t>POI-118</t>
  </si>
  <si>
    <t>Louis Vuitton Marrakech</t>
  </si>
  <si>
    <t>Boutique</t>
  </si>
  <si>
    <t>Guéliz (M Avenue)</t>
  </si>
  <si>
    <t>M Avenue, Avenue de la Ménara</t>
  </si>
  <si>
    <t>+212 524 369 900</t>
  </si>
  <si>
    <t>https://fr.louisvuitton.com</t>
  </si>
  <si>
    <t>Mode &amp; couture · Louis Vuitton Marrakech</t>
  </si>
  <si>
    <t>Code d'origine SHOP-* → POI-SHO</t>
  </si>
  <si>
    <t>POI-119</t>
  </si>
  <si>
    <t>Dior</t>
  </si>
  <si>
    <t>+212 524 369 910</t>
  </si>
  <si>
    <t>https://www.dior.com</t>
  </si>
  <si>
    <t>Mode &amp; couture · Dior</t>
  </si>
  <si>
    <t>POI-120</t>
  </si>
  <si>
    <t>Saint Laurent</t>
  </si>
  <si>
    <t>+212 524 369 920</t>
  </si>
  <si>
    <t>https://www.ysl.com</t>
  </si>
  <si>
    <t>Mode &amp; couture · Saint Laurent</t>
  </si>
  <si>
    <t>POI-121</t>
  </si>
  <si>
    <t>Gucci</t>
  </si>
  <si>
    <t>+212 524 369 930</t>
  </si>
  <si>
    <t>https://www.gucci.com</t>
  </si>
  <si>
    <t>Mode &amp; couture · Gucci</t>
  </si>
  <si>
    <t>POI-122</t>
  </si>
  <si>
    <t>Hermès</t>
  </si>
  <si>
    <t>+212 524 369 940</t>
  </si>
  <si>
    <t>https://www.hermes.com</t>
  </si>
  <si>
    <t>Mode &amp; couture · Hermès</t>
  </si>
  <si>
    <t>POI-123</t>
  </si>
  <si>
    <t>Fendi</t>
  </si>
  <si>
    <t>+212 524 369 950</t>
  </si>
  <si>
    <t>https://www.fendi.com</t>
  </si>
  <si>
    <t>Mode &amp; couture · Fendi</t>
  </si>
  <si>
    <t>POI-124</t>
  </si>
  <si>
    <t>Loro Piana</t>
  </si>
  <si>
    <t>+212 524 369 960</t>
  </si>
  <si>
    <t>https://www.loropiana.com</t>
  </si>
  <si>
    <t>Mode &amp; couture · Loro Piana</t>
  </si>
  <si>
    <t>POI-125</t>
  </si>
  <si>
    <t>Ralph Lauren</t>
  </si>
  <si>
    <t>+212 524 369 970</t>
  </si>
  <si>
    <t>https://www.ralphlauren.com</t>
  </si>
  <si>
    <t>Mode &amp; couture · Ralph Lauren</t>
  </si>
  <si>
    <t>POI-126</t>
  </si>
  <si>
    <t>Moncler</t>
  </si>
  <si>
    <t>+212 524 369 980</t>
  </si>
  <si>
    <t>https://www.moncler.com</t>
  </si>
  <si>
    <t>Mode &amp; couture · Moncler</t>
  </si>
  <si>
    <t>POI-127</t>
  </si>
  <si>
    <t>Longchamp</t>
  </si>
  <si>
    <t>Carré Eden, Guéliz</t>
  </si>
  <si>
    <t>+212 524 433 215</t>
  </si>
  <si>
    <t>https://www.longchamp.com</t>
  </si>
  <si>
    <t>Mode &amp; couture · Longchamp</t>
  </si>
  <si>
    <t>POI-128</t>
  </si>
  <si>
    <t>Marrakech Design Gallery</t>
  </si>
  <si>
    <t>+212 524 335 980</t>
  </si>
  <si>
    <t>Concept store · Marrakech Design Gallery</t>
  </si>
  <si>
    <t>POI-129</t>
  </si>
  <si>
    <t>+212 524 420 115</t>
  </si>
  <si>
    <t>Concept store · Moro</t>
  </si>
  <si>
    <t>POI-130</t>
  </si>
  <si>
    <t>Loft Art Gallery</t>
  </si>
  <si>
    <t>Galerie</t>
  </si>
  <si>
    <t>+212 524 433 760</t>
  </si>
  <si>
    <t>Galerie d'art · Loft Art Gallery</t>
  </si>
  <si>
    <t>POI-131</t>
  </si>
  <si>
    <t>Galerie Noir sur Blanc</t>
  </si>
  <si>
    <t>+212 524 445 617</t>
  </si>
  <si>
    <t>Galerie d'art · Galerie Noir sur Blanc</t>
  </si>
  <si>
    <t>POI-132</t>
  </si>
  <si>
    <t>Voice Gallery</t>
  </si>
  <si>
    <t>+212 524 335 025</t>
  </si>
  <si>
    <t>Galerie d'art · Voice Gallery</t>
  </si>
  <si>
    <t>POI-133</t>
  </si>
  <si>
    <t>Galerie Siniya28</t>
  </si>
  <si>
    <t>+212 661 261 114</t>
  </si>
  <si>
    <t>Galerie d'art · Galerie Siniya28</t>
  </si>
  <si>
    <t>POI-134</t>
  </si>
  <si>
    <t>Matisse Art Gallery</t>
  </si>
  <si>
    <t>+212 524 433 013</t>
  </si>
  <si>
    <t>Galerie d'art · Matisse Art Gallery</t>
  </si>
  <si>
    <t>POI-135</t>
  </si>
  <si>
    <t>Galerie Venise Cadre</t>
  </si>
  <si>
    <t>+212 524 437 718</t>
  </si>
  <si>
    <t>Galerie d'art · Galerie Venise Cadre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</si>
</sst>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"/>
    <numFmt numFmtId="165" formatCode="#,##0\ \€"/>
    <numFmt numFmtId="166" formatCode="0.0%"/>
    <numFmt numFmtId="167" formatCode="m/d/yyyy"/>
    <numFmt numFmtId="168" formatCode="#,##0&quot; €&quot;"/>
    <numFmt numFmtId="169" formatCode="#,##0.00&quot; €&quot;"/>
    <numFmt numFmtId="170" formatCode="0.0000"/>
    <numFmt numFmtId="171" formatCode="d/m/yyyy"/>
  </numFmts>
  <fonts count="59">
    <font>
      <sz val="11.0"/>
      <color theme="1"/>
      <name val="Arial"/>
      <scheme val="minor"/>
    </font>
    <font>
      <i/>
      <sz val="9.0"/>
      <color rgb="FF0F2318"/>
      <name val="Arial"/>
    </font>
    <font/>
    <font>
      <b/>
      <sz val="11.0"/>
      <color rgb="FF2F3B52"/>
      <name val="Arial"/>
    </font>
    <font>
      <sz val="11.0"/>
      <color theme="1"/>
      <name val="Arial"/>
    </font>
    <font>
      <b/>
      <sz val="11.0"/>
      <color rgb="FFFFFFFF"/>
      <name val="Arial"/>
    </font>
    <font>
      <b/>
      <sz val="18.0"/>
      <color rgb="FF747474"/>
      <name val="Arial"/>
    </font>
    <font>
      <i/>
      <sz val="11.0"/>
      <color rgb="FF505050"/>
      <name val="Arial"/>
    </font>
    <font>
      <b/>
      <sz val="9.0"/>
      <color rgb="FF2F3B52"/>
      <name val="Arial"/>
    </font>
    <font>
      <b/>
      <sz val="10.0"/>
      <color rgb="FF0B3D2E"/>
      <name val="Arial"/>
    </font>
    <font>
      <b/>
      <sz val="9.0"/>
      <color rgb="FFFFFFFF"/>
      <name val="Arial"/>
    </font>
    <font>
      <b/>
      <sz val="14.0"/>
      <color rgb="FF0B3D2E"/>
      <name val="Arial"/>
    </font>
    <font>
      <b/>
      <sz val="12.0"/>
      <color rgb="FFFFFFFF"/>
      <name val="Arial"/>
    </font>
    <font>
      <sz val="10.0"/>
      <color rgb="FF1A1A1A"/>
      <name val="Arial"/>
    </font>
    <font>
      <b/>
      <sz val="8.0"/>
      <color rgb="FFFFFFFF"/>
      <name val="Arial"/>
    </font>
    <font>
      <sz val="9.0"/>
      <color rgb="FF555555"/>
      <name val="Arial"/>
    </font>
    <font>
      <sz val="9.0"/>
      <color theme="1"/>
      <name val="Arial"/>
    </font>
    <font>
      <b/>
      <sz val="9.0"/>
      <color rgb="FF0F2318"/>
      <name val="Consolas"/>
    </font>
    <font>
      <b/>
      <sz val="13.0"/>
      <color rgb="FF2F3B52"/>
      <name val="Arial"/>
    </font>
    <font>
      <b/>
      <sz val="7.0"/>
      <color rgb="FFFFFFFF"/>
      <name val="Arial"/>
    </font>
    <font>
      <b/>
      <sz val="11.0"/>
      <color rgb="FF0B3D2E"/>
      <name val="Arial"/>
    </font>
    <font>
      <sz val="9.0"/>
      <color rgb="FF000000"/>
      <name val="Arial"/>
    </font>
    <font>
      <b/>
      <sz val="10.0"/>
      <color rgb="FF4A8A5C"/>
      <name val="Arial"/>
    </font>
    <font>
      <b/>
      <sz val="10.0"/>
      <color rgb="FFCCCCCC"/>
      <name val="Arial"/>
    </font>
    <font>
      <b/>
      <sz val="8.0"/>
      <color rgb="FF4A8A5C"/>
      <name val="Arial"/>
    </font>
    <font>
      <i/>
      <sz val="10.0"/>
      <color rgb="FF0B3D2E"/>
      <name val="Arial"/>
    </font>
    <font>
      <b/>
      <sz val="10.0"/>
      <color rgb="FF2F3B52"/>
      <name val="Consolas"/>
    </font>
    <font>
      <i/>
      <sz val="9.0"/>
      <color rgb="FF6B6B6B"/>
      <name val="Arial"/>
    </font>
    <font>
      <b/>
      <sz val="10.0"/>
      <color rgb="FFFFFFFF"/>
      <name val="Consolas"/>
    </font>
    <font>
      <sz val="9.0"/>
      <color rgb="FF0F2318"/>
      <name val="Arial"/>
    </font>
    <font>
      <b/>
      <sz val="9.0"/>
      <color rgb="FFC00000"/>
      <name val="Arial"/>
    </font>
    <font>
      <sz val="10.0"/>
      <color rgb="FF0B3D2E"/>
      <name val="Arial"/>
    </font>
    <font>
      <b/>
      <sz val="8.0"/>
      <color rgb="FF0F2318"/>
      <name val="Arial"/>
    </font>
    <font>
      <b/>
      <sz val="9.0"/>
      <color rgb="FF000000"/>
      <name val="Arial"/>
    </font>
    <font>
      <i/>
      <sz val="9.0"/>
      <color rgb="FF333333"/>
      <name val="Arial"/>
    </font>
    <font>
      <b/>
      <sz val="9.0"/>
      <color rgb="FF747474"/>
      <name val="Arial"/>
    </font>
    <font>
      <b/>
      <sz val="9.0"/>
      <color theme="1"/>
      <name val="Arial"/>
    </font>
    <font>
      <sz val="9.0"/>
      <color theme="1"/>
      <name val="Consolas"/>
    </font>
    <font>
      <sz val="9.0"/>
      <color rgb="FF747474"/>
      <name val="Arial"/>
    </font>
    <font>
      <b/>
      <sz val="10.0"/>
      <color rgb="FF747474"/>
      <name val="Arial"/>
    </font>
    <font>
      <b/>
      <sz val="11.0"/>
      <color theme="1"/>
      <name val="Arial"/>
    </font>
    <font>
      <b/>
      <sz val="12.0"/>
      <color rgb="FF2F3B52"/>
      <name val="Arial"/>
    </font>
    <font>
      <sz val="11.0"/>
      <color rgb="FF0000FF"/>
      <name val="Arial"/>
    </font>
    <font>
      <sz val="11.0"/>
      <color rgb="FF000000"/>
      <name val="Arial"/>
    </font>
    <font>
      <b/>
      <sz val="8.0"/>
      <color rgb="FFBF9000"/>
      <name val="Arial"/>
    </font>
    <font>
      <b/>
      <sz val="11.0"/>
      <color rgb="FFBF9000"/>
      <name val="Arial"/>
    </font>
    <font>
      <b/>
      <sz val="11.0"/>
      <color rgb="FFFFFFFF"/>
      <name val="Consolas"/>
    </font>
    <font>
      <b/>
      <sz val="10.0"/>
      <color rgb="FFFFFFFF"/>
      <name val="Arial"/>
    </font>
    <font>
      <b/>
      <sz val="10.0"/>
      <color theme="1"/>
      <name val="Arial"/>
    </font>
    <font>
      <b/>
      <sz val="11.0"/>
      <color rgb="FF0F2318"/>
      <name val="Consolas"/>
    </font>
    <font>
      <i/>
      <sz val="11.0"/>
      <color rgb="FF333333"/>
      <name val="Arial"/>
    </font>
    <font>
      <sz val="9.0"/>
      <color rgb="FF0000FF"/>
      <name val="Arial"/>
    </font>
    <font>
      <b/>
      <sz val="11.0"/>
      <color rgb="FF0F2318"/>
      <name val="Arial"/>
    </font>
    <font>
      <color theme="1"/>
      <name val="Arial"/>
      <scheme val="minor"/>
    </font>
    <font>
      <sz val="11.0"/>
      <color rgb="FF555555"/>
      <name val="Arial"/>
    </font>
    <font>
      <i/>
      <sz val="11.0"/>
      <color rgb="FF0000FF"/>
      <name val="Arial"/>
    </font>
    <font>
      <i/>
      <sz val="11.0"/>
      <color rgb="FF808080"/>
      <name val="Arial"/>
    </font>
    <font>
      <b/>
      <sz val="9.0"/>
      <color theme="0"/>
      <name val="Arial"/>
    </font>
    <font>
      <i/>
      <sz val="9.0"/>
      <color rgb="FF0B3D2E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F3B52"/>
        <bgColor rgb="FF2F3B52"/>
      </patternFill>
    </fill>
    <fill>
      <patternFill patternType="solid">
        <fgColor rgb="FF44546A"/>
        <bgColor rgb="FF44546A"/>
      </patternFill>
    </fill>
    <fill>
      <patternFill patternType="solid">
        <fgColor rgb="FFF2F2F2"/>
        <bgColor rgb="FFF2F2F2"/>
      </patternFill>
    </fill>
    <fill>
      <patternFill patternType="solid">
        <fgColor rgb="FFFFE699"/>
        <bgColor rgb="FFFFE699"/>
      </patternFill>
    </fill>
    <fill>
      <patternFill patternType="solid">
        <fgColor rgb="FFFBD9C4"/>
        <bgColor rgb="FFFBD9C4"/>
      </patternFill>
    </fill>
    <fill>
      <patternFill patternType="solid">
        <fgColor rgb="FFD6EAD9"/>
        <bgColor rgb="FFD6EAD9"/>
      </patternFill>
    </fill>
    <fill>
      <patternFill patternType="solid">
        <fgColor theme="5"/>
        <bgColor theme="5"/>
      </patternFill>
    </fill>
    <fill>
      <patternFill patternType="solid">
        <fgColor rgb="FFEAF3EC"/>
        <bgColor rgb="FFEAF3EC"/>
      </patternFill>
    </fill>
  </fills>
  <borders count="47">
    <border/>
    <border>
      <left/>
      <top/>
      <bottom/>
    </border>
    <border>
      <top/>
      <bottom/>
    </border>
    <border>
      <left/>
      <right/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medium">
        <color rgb="FF0B3D2E"/>
      </left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/>
    </border>
    <border>
      <left style="thin">
        <color rgb="FFD9D9D9"/>
      </left>
      <right style="thin">
        <color rgb="FFD9D9D9"/>
      </right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</border>
    <border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DDDDDD"/>
      </top>
    </border>
    <border>
      <left style="thin">
        <color rgb="FFC9A961"/>
      </left>
      <top style="thin">
        <color rgb="FFC9A961"/>
      </top>
      <bottom style="thin">
        <color rgb="FFC9A961"/>
      </bottom>
    </border>
    <border>
      <top style="thin">
        <color rgb="FFC9A961"/>
      </top>
      <bottom style="thin">
        <color rgb="FFC9A961"/>
      </bottom>
    </border>
    <border>
      <right style="thin">
        <color rgb="FFC9A961"/>
      </right>
      <top style="thin">
        <color rgb="FFC9A961"/>
      </top>
      <bottom style="thin">
        <color rgb="FFC9A961"/>
      </bottom>
    </border>
    <border>
      <left style="thin">
        <color rgb="FFCCCCCC"/>
      </left>
    </border>
    <border>
      <left style="thin">
        <color rgb="FFD9D9D9"/>
      </left>
      <right style="thin">
        <color rgb="FFD9D9D9"/>
      </right>
    </border>
    <border>
      <left style="thin">
        <color rgb="FFBBBBBB"/>
      </left>
      <right style="thin">
        <color rgb="FFBBBBBB"/>
      </right>
      <top style="thin">
        <color rgb="FFDDDDDD"/>
      </top>
      <bottom style="thin">
        <color rgb="FFDDDDDD"/>
      </bottom>
    </border>
    <border>
      <left style="thin">
        <color rgb="FFD9D9D9"/>
      </left>
    </border>
    <border>
      <left/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/>
      <right style="thin">
        <color rgb="FFD9D9D9"/>
      </right>
      <top style="thin">
        <color rgb="FFD9D9D9"/>
      </top>
      <bottom/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/>
    </border>
    <border>
      <left style="thin">
        <color rgb="FFD9D9D9"/>
      </left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top style="thin">
        <color rgb="FFDDDDDD"/>
      </top>
      <bottom style="thin">
        <color rgb="FFDDDDDD"/>
      </bottom>
    </border>
    <border>
      <top style="thin">
        <color rgb="FFBBBBBB"/>
      </top>
    </border>
    <border>
      <top style="thin">
        <color rgb="FFBBBBBB"/>
      </top>
      <bottom style="thin">
        <color rgb="FFBBBBBB"/>
      </bottom>
    </border>
    <border>
      <top style="thin">
        <color rgb="FFDDDDDD"/>
      </top>
    </border>
    <border>
      <left/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/>
      <bottom/>
    </border>
    <border>
      <left style="thin">
        <color rgb="FFBBBBBB"/>
      </left>
      <right style="thin">
        <color rgb="FFBBBBBB"/>
      </right>
      <top/>
      <bottom style="thin">
        <color rgb="FFBBBBBB"/>
      </bottom>
    </border>
    <border>
      <right style="thin">
        <color rgb="FFBBBBBB"/>
      </right>
      <top style="thin">
        <color rgb="FFBBBBBB"/>
      </top>
    </border>
    <border>
      <left style="thin">
        <color rgb="FFBBBBBB"/>
      </left>
      <right style="thin">
        <color rgb="FFBBBBBB"/>
      </right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30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2" fillId="0" fontId="2" numFmtId="0" xfId="0" applyBorder="1" applyFont="1"/>
    <xf borderId="3" fillId="2" fontId="3" numFmtId="0" xfId="0" applyBorder="1" applyFont="1"/>
    <xf borderId="4" fillId="0" fontId="2" numFmtId="0" xfId="0" applyBorder="1" applyFont="1"/>
    <xf borderId="3" fillId="2" fontId="4" numFmtId="0" xfId="0" applyBorder="1" applyFont="1"/>
    <xf borderId="3" fillId="3" fontId="5" numFmtId="0" xfId="0" applyBorder="1" applyFill="1" applyFont="1"/>
    <xf borderId="1" fillId="2" fontId="6" numFmtId="0" xfId="0" applyAlignment="1" applyBorder="1" applyFont="1">
      <alignment horizontal="left" vertical="center"/>
    </xf>
    <xf borderId="3" fillId="3" fontId="4" numFmtId="0" xfId="0" applyBorder="1" applyFont="1"/>
    <xf borderId="3" fillId="2" fontId="1" numFmtId="0" xfId="0" applyAlignment="1" applyBorder="1" applyFont="1">
      <alignment horizontal="left" shrinkToFit="0" vertical="top" wrapText="1"/>
    </xf>
    <xf borderId="1" fillId="2" fontId="7" numFmtId="0" xfId="0" applyAlignment="1" applyBorder="1" applyFont="1">
      <alignment horizontal="left" vertical="center"/>
    </xf>
    <xf borderId="5" fillId="2" fontId="8" numFmtId="0" xfId="0" applyAlignment="1" applyBorder="1" applyFont="1">
      <alignment horizontal="center" shrinkToFit="0" vertical="center" wrapText="1"/>
    </xf>
    <xf borderId="0" fillId="0" fontId="9" numFmtId="0" xfId="0" applyFont="1"/>
    <xf borderId="0" fillId="0" fontId="4" numFmtId="0" xfId="0" applyFont="1"/>
    <xf borderId="1" fillId="4" fontId="5" numFmtId="0" xfId="0" applyAlignment="1" applyBorder="1" applyFill="1" applyFont="1">
      <alignment horizontal="left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2" fontId="11" numFmtId="0" xfId="0" applyAlignment="1" applyBorder="1" applyFont="1">
      <alignment horizontal="left" vertical="center"/>
    </xf>
    <xf borderId="3" fillId="4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top" wrapText="1"/>
    </xf>
    <xf borderId="3" fillId="4" fontId="5" numFmtId="0" xfId="0" applyAlignment="1" applyBorder="1" applyFont="1">
      <alignment horizontal="left" shrinkToFit="0" vertical="center" wrapText="1"/>
    </xf>
    <xf borderId="7" fillId="4" fontId="14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5" fillId="0" fontId="15" numFmtId="0" xfId="0" applyBorder="1" applyFont="1"/>
    <xf borderId="5" fillId="0" fontId="16" numFmtId="0" xfId="0" applyBorder="1" applyFont="1"/>
    <xf borderId="5" fillId="0" fontId="17" numFmtId="0" xfId="0" applyBorder="1" applyFont="1"/>
    <xf borderId="9" fillId="4" fontId="14" numFmtId="0" xfId="0" applyAlignment="1" applyBorder="1" applyFont="1">
      <alignment horizontal="center" shrinkToFit="0" vertical="center" wrapText="1"/>
    </xf>
    <xf borderId="1" fillId="2" fontId="18" numFmtId="0" xfId="0" applyAlignment="1" applyBorder="1" applyFont="1">
      <alignment horizontal="left" vertical="center"/>
    </xf>
    <xf borderId="9" fillId="4" fontId="19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left" vertical="center"/>
    </xf>
    <xf borderId="10" fillId="0" fontId="1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shrinkToFit="0" vertical="top" wrapText="1"/>
    </xf>
    <xf borderId="10" fillId="0" fontId="17" numFmtId="0" xfId="0" applyAlignment="1" applyBorder="1" applyFont="1">
      <alignment horizontal="left" shrinkToFit="0" vertical="center" wrapText="1"/>
    </xf>
    <xf borderId="10" fillId="0" fontId="21" numFmtId="0" xfId="0" applyAlignment="1" applyBorder="1" applyFont="1">
      <alignment horizontal="left" shrinkToFit="0" vertical="top" wrapText="1"/>
    </xf>
    <xf borderId="11" fillId="0" fontId="22" numFmtId="0" xfId="0" applyAlignment="1" applyBorder="1" applyFont="1">
      <alignment horizontal="center" shrinkToFit="0" vertical="center" wrapText="1"/>
    </xf>
    <xf borderId="5" fillId="0" fontId="21" numFmtId="0" xfId="0" applyBorder="1" applyFont="1"/>
    <xf borderId="9" fillId="0" fontId="22" numFmtId="0" xfId="0" applyAlignment="1" applyBorder="1" applyFont="1">
      <alignment horizontal="center" shrinkToFit="0" vertical="center" wrapText="1"/>
    </xf>
    <xf borderId="9" fillId="0" fontId="23" numFmtId="0" xfId="0" applyAlignment="1" applyBorder="1" applyFont="1">
      <alignment horizontal="center" shrinkToFit="0" vertical="center" wrapText="1"/>
    </xf>
    <xf borderId="9" fillId="0" fontId="24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left" shrinkToFit="0" vertical="center" wrapText="1"/>
    </xf>
    <xf borderId="13" fillId="2" fontId="25" numFmtId="0" xfId="0" applyAlignment="1" applyBorder="1" applyFont="1">
      <alignment horizontal="left" shrinkToFit="0" vertical="top" wrapText="1"/>
    </xf>
    <xf borderId="12" fillId="0" fontId="21" numFmtId="0" xfId="0" applyAlignment="1" applyBorder="1" applyFont="1">
      <alignment horizontal="left" shrinkToFit="0" vertical="top" wrapText="1"/>
    </xf>
    <xf borderId="14" fillId="0" fontId="2" numFmtId="0" xfId="0" applyBorder="1" applyFont="1"/>
    <xf borderId="15" fillId="0" fontId="2" numFmtId="0" xfId="0" applyBorder="1" applyFont="1"/>
    <xf borderId="3" fillId="2" fontId="26" numFmtId="0" xfId="0" applyAlignment="1" applyBorder="1" applyFont="1">
      <alignment horizontal="center" vertical="center"/>
    </xf>
    <xf borderId="16" fillId="0" fontId="13" numFmtId="0" xfId="0" applyAlignment="1" applyBorder="1" applyFont="1">
      <alignment horizontal="left" shrinkToFit="0" vertical="center" wrapText="1"/>
    </xf>
    <xf borderId="0" fillId="0" fontId="27" numFmtId="0" xfId="0" applyAlignment="1" applyFont="1">
      <alignment horizontal="left" shrinkToFit="0" vertical="top" wrapText="1"/>
    </xf>
    <xf borderId="17" fillId="0" fontId="16" numFmtId="0" xfId="0" applyBorder="1" applyFont="1"/>
    <xf borderId="18" fillId="0" fontId="15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left" shrinkToFit="0" vertical="center" wrapText="1"/>
    </xf>
    <xf borderId="18" fillId="0" fontId="21" numFmtId="0" xfId="0" applyAlignment="1" applyBorder="1" applyFont="1">
      <alignment horizontal="left" shrinkToFit="0" vertical="top" wrapText="1"/>
    </xf>
    <xf borderId="9" fillId="0" fontId="15" numFmtId="0" xfId="0" applyAlignment="1" applyBorder="1" applyFont="1">
      <alignment horizontal="center" shrinkToFit="0" vertical="center" wrapText="1"/>
    </xf>
    <xf borderId="0" fillId="0" fontId="28" numFmtId="0" xfId="0" applyAlignment="1" applyFont="1">
      <alignment horizontal="center" vertical="center"/>
    </xf>
    <xf borderId="9" fillId="0" fontId="17" numFmtId="0" xfId="0" applyAlignment="1" applyBorder="1" applyFont="1">
      <alignment horizontal="left" shrinkToFit="0" vertical="center" wrapText="1"/>
    </xf>
    <xf borderId="9" fillId="0" fontId="29" numFmtId="0" xfId="0" applyAlignment="1" applyBorder="1" applyFont="1">
      <alignment horizontal="left" shrinkToFit="0" vertical="top" wrapText="1"/>
    </xf>
    <xf borderId="9" fillId="0" fontId="15" numFmtId="0" xfId="0" applyAlignment="1" applyBorder="1" applyFont="1">
      <alignment horizontal="left" shrinkToFit="0" vertical="top" wrapText="1"/>
    </xf>
    <xf borderId="17" fillId="0" fontId="30" numFmtId="0" xfId="0" applyBorder="1" applyFont="1"/>
    <xf borderId="3" fillId="2" fontId="31" numFmtId="0" xfId="0" applyAlignment="1" applyBorder="1" applyFont="1">
      <alignment shrinkToFit="0" wrapText="1"/>
    </xf>
    <xf borderId="19" fillId="0" fontId="16" numFmtId="0" xfId="0" applyBorder="1" applyFont="1"/>
    <xf borderId="9" fillId="0" fontId="3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3" fillId="2" fontId="26" numFmtId="0" xfId="0" applyAlignment="1" applyBorder="1" applyFont="1">
      <alignment horizontal="left" vertical="center"/>
    </xf>
    <xf borderId="0" fillId="0" fontId="16" numFmtId="0" xfId="0" applyFont="1"/>
    <xf borderId="20" fillId="2" fontId="21" numFmtId="0" xfId="0" applyBorder="1" applyFont="1"/>
    <xf borderId="5" fillId="2" fontId="33" numFmtId="0" xfId="0" applyBorder="1" applyFont="1"/>
    <xf borderId="21" fillId="0" fontId="21" numFmtId="0" xfId="0" applyBorder="1" applyFont="1"/>
    <xf borderId="22" fillId="2" fontId="21" numFmtId="0" xfId="0" applyBorder="1" applyFont="1"/>
    <xf borderId="23" fillId="0" fontId="21" numFmtId="0" xfId="0" applyBorder="1" applyFont="1"/>
    <xf borderId="24" fillId="2" fontId="33" numFmtId="0" xfId="0" applyBorder="1" applyFont="1"/>
    <xf borderId="25" fillId="0" fontId="21" numFmtId="0" xfId="0" applyBorder="1" applyFont="1"/>
    <xf borderId="26" fillId="0" fontId="16" numFmtId="0" xfId="0" applyBorder="1" applyFont="1"/>
    <xf borderId="27" fillId="0" fontId="16" numFmtId="0" xfId="0" applyBorder="1" applyFont="1"/>
    <xf borderId="1" fillId="5" fontId="34" numFmtId="0" xfId="0" applyAlignment="1" applyBorder="1" applyFill="1" applyFont="1">
      <alignment horizontal="left" shrinkToFit="0" vertical="top" wrapText="1"/>
    </xf>
    <xf borderId="3" fillId="5" fontId="34" numFmtId="0" xfId="0" applyAlignment="1" applyBorder="1" applyFont="1">
      <alignment horizontal="left" shrinkToFit="0" vertical="top" wrapText="1"/>
    </xf>
    <xf borderId="28" fillId="0" fontId="16" numFmtId="0" xfId="0" applyBorder="1" applyFont="1"/>
    <xf borderId="21" fillId="0" fontId="16" numFmtId="0" xfId="0" applyBorder="1" applyFont="1"/>
    <xf borderId="11" fillId="0" fontId="23" numFmtId="0" xfId="0" applyAlignment="1" applyBorder="1" applyFont="1">
      <alignment horizontal="center" shrinkToFit="0" vertical="center" wrapText="1"/>
    </xf>
    <xf borderId="29" fillId="0" fontId="16" numFmtId="0" xfId="0" applyBorder="1" applyFont="1"/>
    <xf borderId="30" fillId="0" fontId="16" numFmtId="0" xfId="0" applyBorder="1" applyFont="1"/>
    <xf borderId="23" fillId="0" fontId="16" numFmtId="0" xfId="0" applyBorder="1" applyFont="1"/>
    <xf borderId="25" fillId="0" fontId="16" numFmtId="0" xfId="0" applyBorder="1" applyFont="1"/>
    <xf borderId="1" fillId="3" fontId="5" numFmtId="0" xfId="0" applyAlignment="1" applyBorder="1" applyFont="1">
      <alignment vertical="center"/>
    </xf>
    <xf borderId="5" fillId="4" fontId="10" numFmtId="0" xfId="0" applyAlignment="1" applyBorder="1" applyFont="1">
      <alignment horizontal="center" shrinkToFit="0" wrapText="1"/>
    </xf>
    <xf borderId="30" fillId="0" fontId="21" numFmtId="0" xfId="0" applyBorder="1" applyFont="1"/>
    <xf borderId="21" fillId="2" fontId="35" numFmtId="0" xfId="0" applyAlignment="1" applyBorder="1" applyFont="1">
      <alignment vertical="top"/>
    </xf>
    <xf borderId="31" fillId="0" fontId="2" numFmtId="0" xfId="0" applyBorder="1" applyFont="1"/>
    <xf borderId="32" fillId="0" fontId="2" numFmtId="0" xfId="0" applyBorder="1" applyFont="1"/>
    <xf borderId="5" fillId="0" fontId="36" numFmtId="0" xfId="0" applyAlignment="1" applyBorder="1" applyFont="1">
      <alignment vertical="top"/>
    </xf>
    <xf borderId="5" fillId="0" fontId="37" numFmtId="0" xfId="0" applyAlignment="1" applyBorder="1" applyFont="1">
      <alignment vertical="top"/>
    </xf>
    <xf borderId="5" fillId="0" fontId="16" numFmtId="0" xfId="0" applyAlignment="1" applyBorder="1" applyFont="1">
      <alignment vertical="top"/>
    </xf>
    <xf borderId="5" fillId="0" fontId="16" numFmtId="0" xfId="0" applyAlignment="1" applyBorder="1" applyFont="1">
      <alignment shrinkToFit="0" vertical="top" wrapText="1"/>
    </xf>
    <xf borderId="1" fillId="3" fontId="5" numFmtId="0" xfId="0" applyAlignment="1" applyBorder="1" applyFont="1">
      <alignment horizontal="left"/>
    </xf>
    <xf borderId="1" fillId="2" fontId="29" numFmtId="0" xfId="0" applyAlignment="1" applyBorder="1" applyFont="1">
      <alignment horizontal="left"/>
    </xf>
    <xf borderId="1" fillId="2" fontId="38" numFmtId="0" xfId="0" applyAlignment="1" applyBorder="1" applyFont="1">
      <alignment horizontal="left"/>
    </xf>
    <xf borderId="1" fillId="2" fontId="39" numFmtId="0" xfId="0" applyAlignment="1" applyBorder="1" applyFont="1">
      <alignment horizontal="left"/>
    </xf>
    <xf borderId="33" fillId="2" fontId="29" numFmtId="0" xfId="0" applyAlignment="1" applyBorder="1" applyFont="1">
      <alignment horizontal="left"/>
    </xf>
    <xf borderId="34" fillId="0" fontId="2" numFmtId="0" xfId="0" applyBorder="1" applyFont="1"/>
    <xf borderId="35" fillId="0" fontId="2" numFmtId="0" xfId="0" applyBorder="1" applyFont="1"/>
    <xf borderId="5" fillId="4" fontId="10" numFmtId="0" xfId="0" applyAlignment="1" applyBorder="1" applyFont="1">
      <alignment horizontal="center"/>
    </xf>
    <xf borderId="5" fillId="2" fontId="8" numFmtId="0" xfId="0" applyAlignment="1" applyBorder="1" applyFont="1">
      <alignment horizontal="center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shrinkToFit="0" wrapText="1"/>
    </xf>
    <xf borderId="5" fillId="0" fontId="4" numFmtId="0" xfId="0" applyBorder="1" applyFont="1"/>
    <xf borderId="5" fillId="2" fontId="4" numFmtId="1" xfId="0" applyAlignment="1" applyBorder="1" applyFont="1" applyNumberFormat="1">
      <alignment horizontal="center"/>
    </xf>
    <xf borderId="21" fillId="0" fontId="40" numFmtId="0" xfId="0" applyAlignment="1" applyBorder="1" applyFont="1">
      <alignment horizontal="left"/>
    </xf>
    <xf borderId="5" fillId="0" fontId="40" numFmtId="1" xfId="0" applyAlignment="1" applyBorder="1" applyFont="1" applyNumberFormat="1">
      <alignment horizontal="center"/>
    </xf>
    <xf borderId="0" fillId="0" fontId="4" numFmtId="0" xfId="0" applyAlignment="1" applyFont="1">
      <alignment shrinkToFit="0" wrapText="1"/>
    </xf>
    <xf borderId="33" fillId="2" fontId="1" numFmtId="0" xfId="0" applyAlignment="1" applyBorder="1" applyFont="1">
      <alignment horizontal="left"/>
    </xf>
    <xf borderId="5" fillId="2" fontId="4" numFmtId="164" xfId="0" applyAlignment="1" applyBorder="1" applyFont="1" applyNumberFormat="1">
      <alignment horizontal="center"/>
    </xf>
    <xf borderId="5" fillId="0" fontId="4" numFmtId="2" xfId="0" applyAlignment="1" applyBorder="1" applyFont="1" applyNumberFormat="1">
      <alignment shrinkToFit="0" wrapText="1"/>
    </xf>
    <xf borderId="5" fillId="0" fontId="40" numFmtId="0" xfId="0" applyAlignment="1" applyBorder="1" applyFont="1">
      <alignment horizontal="center"/>
    </xf>
    <xf borderId="5" fillId="0" fontId="40" numFmtId="2" xfId="0" applyAlignment="1" applyBorder="1" applyFont="1" applyNumberFormat="1">
      <alignment horizontal="center" shrinkToFit="0" wrapText="1"/>
    </xf>
    <xf borderId="36" fillId="0" fontId="15" numFmtId="0" xfId="0" applyAlignment="1" applyBorder="1" applyFont="1">
      <alignment horizontal="center" shrinkToFit="0" vertical="center" wrapText="1"/>
    </xf>
    <xf borderId="36" fillId="0" fontId="17" numFmtId="0" xfId="0" applyAlignment="1" applyBorder="1" applyFont="1">
      <alignment horizontal="left" shrinkToFit="0" vertical="center" wrapText="1"/>
    </xf>
    <xf borderId="36" fillId="0" fontId="21" numFmtId="0" xfId="0" applyAlignment="1" applyBorder="1" applyFont="1">
      <alignment horizontal="left" shrinkToFit="0" vertical="top" wrapText="1"/>
    </xf>
    <xf borderId="0" fillId="0" fontId="23" numFmtId="0" xfId="0" applyAlignment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32" numFmtId="0" xfId="0" applyAlignment="1" applyFont="1">
      <alignment horizontal="center" shrinkToFit="0" vertical="center" wrapText="1"/>
    </xf>
    <xf borderId="5" fillId="0" fontId="40" numFmtId="0" xfId="0" applyAlignment="1" applyBorder="1" applyFont="1">
      <alignment horizontal="center" shrinkToFit="0" wrapText="1"/>
    </xf>
    <xf borderId="33" fillId="2" fontId="39" numFmtId="0" xfId="0" applyAlignment="1" applyBorder="1" applyFont="1">
      <alignment horizontal="left"/>
    </xf>
    <xf borderId="33" fillId="2" fontId="35" numFmtId="0" xfId="0" applyAlignment="1" applyBorder="1" applyFont="1">
      <alignment horizontal="left"/>
    </xf>
    <xf borderId="5" fillId="2" fontId="4" numFmtId="0" xfId="0" applyAlignment="1" applyBorder="1" applyFont="1">
      <alignment horizontal="center"/>
    </xf>
    <xf borderId="3" fillId="2" fontId="41" numFmtId="0" xfId="0" applyAlignment="1" applyBorder="1" applyFont="1">
      <alignment vertical="top"/>
    </xf>
    <xf borderId="0" fillId="0" fontId="36" numFmtId="0" xfId="0" applyAlignment="1" applyFont="1">
      <alignment vertical="top"/>
    </xf>
    <xf borderId="0" fillId="0" fontId="37" numFmtId="0" xfId="0" applyAlignment="1" applyFont="1">
      <alignment vertical="top"/>
    </xf>
    <xf borderId="3" fillId="2" fontId="39" numFmtId="0" xfId="0" applyBorder="1" applyFont="1"/>
    <xf borderId="3" fillId="2" fontId="29" numFmtId="0" xfId="0" applyBorder="1" applyFont="1"/>
    <xf borderId="3" fillId="2" fontId="35" numFmtId="0" xfId="0" applyBorder="1" applyFont="1"/>
    <xf borderId="3" fillId="2" fontId="36" numFmtId="0" xfId="0" applyAlignment="1" applyBorder="1" applyFont="1">
      <alignment vertical="top"/>
    </xf>
    <xf borderId="5" fillId="4" fontId="10" numFmtId="0" xfId="0" applyBorder="1" applyFont="1"/>
    <xf borderId="37" fillId="0" fontId="17" numFmtId="0" xfId="0" applyAlignment="1" applyBorder="1" applyFont="1">
      <alignment horizontal="left"/>
    </xf>
    <xf borderId="37" fillId="0" fontId="21" numFmtId="0" xfId="0" applyAlignment="1" applyBorder="1" applyFont="1">
      <alignment horizontal="left"/>
    </xf>
    <xf borderId="38" fillId="0" fontId="23" numFmtId="0" xfId="0" applyAlignment="1" applyBorder="1" applyFont="1">
      <alignment horizontal="center"/>
    </xf>
    <xf borderId="38" fillId="0" fontId="22" numFmtId="0" xfId="0" applyAlignment="1" applyBorder="1" applyFont="1">
      <alignment horizontal="center"/>
    </xf>
    <xf borderId="11" fillId="0" fontId="32" numFmtId="0" xfId="0" applyAlignment="1" applyBorder="1" applyFont="1">
      <alignment horizontal="center"/>
    </xf>
    <xf borderId="39" fillId="0" fontId="17" numFmtId="0" xfId="0" applyAlignment="1" applyBorder="1" applyFont="1">
      <alignment horizontal="left"/>
    </xf>
    <xf borderId="39" fillId="0" fontId="21" numFmtId="0" xfId="0" applyAlignment="1" applyBorder="1" applyFont="1">
      <alignment horizontal="left"/>
    </xf>
    <xf borderId="5" fillId="2" fontId="35" numFmtId="0" xfId="0" applyBorder="1" applyFont="1"/>
    <xf borderId="36" fillId="0" fontId="17" numFmtId="0" xfId="0" applyAlignment="1" applyBorder="1" applyFont="1">
      <alignment horizontal="left"/>
    </xf>
    <xf borderId="36" fillId="0" fontId="21" numFmtId="0" xfId="0" applyAlignment="1" applyBorder="1" applyFont="1">
      <alignment horizontal="left"/>
    </xf>
    <xf borderId="3" fillId="3" fontId="5" numFmtId="0" xfId="0" applyAlignment="1" applyBorder="1" applyFont="1">
      <alignment horizontal="left"/>
    </xf>
    <xf borderId="3" fillId="2" fontId="29" numFmtId="0" xfId="0" applyAlignment="1" applyBorder="1" applyFont="1">
      <alignment horizontal="left"/>
    </xf>
    <xf borderId="38" fillId="0" fontId="17" numFmtId="0" xfId="0" applyAlignment="1" applyBorder="1" applyFont="1">
      <alignment horizontal="left"/>
    </xf>
    <xf borderId="3" fillId="2" fontId="38" numFmtId="0" xfId="0" applyAlignment="1" applyBorder="1" applyFont="1">
      <alignment horizontal="left"/>
    </xf>
    <xf borderId="38" fillId="0" fontId="29" numFmtId="0" xfId="0" applyAlignment="1" applyBorder="1" applyFont="1">
      <alignment horizontal="left"/>
    </xf>
    <xf borderId="0" fillId="0" fontId="40" numFmtId="0" xfId="0" applyFont="1"/>
    <xf borderId="38" fillId="0" fontId="15" numFmtId="0" xfId="0" applyAlignment="1" applyBorder="1" applyFont="1">
      <alignment horizontal="left"/>
    </xf>
    <xf borderId="3" fillId="3" fontId="5" numFmtId="0" xfId="0" applyAlignment="1" applyBorder="1" applyFont="1">
      <alignment horizontal="center"/>
    </xf>
    <xf borderId="10" fillId="0" fontId="29" numFmtId="0" xfId="0" applyAlignment="1" applyBorder="1" applyFont="1">
      <alignment horizontal="left" shrinkToFit="0" vertical="top" wrapText="1"/>
    </xf>
    <xf borderId="5" fillId="0" fontId="36" numFmtId="0" xfId="0" applyBorder="1" applyFont="1"/>
    <xf borderId="10" fillId="0" fontId="15" numFmtId="0" xfId="0" applyAlignment="1" applyBorder="1" applyFont="1">
      <alignment horizontal="left" shrinkToFit="0" vertical="top" wrapText="1"/>
    </xf>
    <xf borderId="10" fillId="0" fontId="23" numFmtId="0" xfId="0" applyAlignment="1" applyBorder="1" applyFont="1">
      <alignment horizontal="center" shrinkToFit="0" vertical="center" wrapText="1"/>
    </xf>
    <xf borderId="10" fillId="0" fontId="22" numFmtId="0" xfId="0" applyAlignment="1" applyBorder="1" applyFont="1">
      <alignment horizontal="center" shrinkToFit="0" vertical="center" wrapText="1"/>
    </xf>
    <xf borderId="10" fillId="0" fontId="32" numFmtId="0" xfId="0" applyAlignment="1" applyBorder="1" applyFont="1">
      <alignment horizontal="center" shrinkToFit="0" vertical="center" wrapText="1"/>
    </xf>
    <xf borderId="40" fillId="4" fontId="5" numFmtId="0" xfId="0" applyAlignment="1" applyBorder="1" applyFont="1">
      <alignment horizontal="left"/>
    </xf>
    <xf borderId="5" fillId="0" fontId="16" numFmtId="0" xfId="0" applyAlignment="1" applyBorder="1" applyFont="1">
      <alignment horizontal="center"/>
    </xf>
    <xf borderId="41" fillId="4" fontId="14" numFmtId="0" xfId="0" applyAlignment="1" applyBorder="1" applyFont="1">
      <alignment horizontal="center"/>
    </xf>
    <xf borderId="42" fillId="4" fontId="14" numFmtId="0" xfId="0" applyAlignment="1" applyBorder="1" applyFont="1">
      <alignment horizontal="center"/>
    </xf>
    <xf borderId="42" fillId="4" fontId="19" numFmtId="0" xfId="0" applyAlignment="1" applyBorder="1" applyFont="1">
      <alignment horizontal="center"/>
    </xf>
    <xf borderId="10" fillId="0" fontId="15" numFmtId="0" xfId="0" applyAlignment="1" applyBorder="1" applyFont="1">
      <alignment horizontal="center"/>
    </xf>
    <xf borderId="10" fillId="0" fontId="17" numFmtId="0" xfId="0" applyAlignment="1" applyBorder="1" applyFont="1">
      <alignment horizontal="left"/>
    </xf>
    <xf borderId="10" fillId="0" fontId="21" numFmtId="0" xfId="0" applyAlignment="1" applyBorder="1" applyFont="1">
      <alignment horizontal="left"/>
    </xf>
    <xf borderId="3" fillId="2" fontId="42" numFmtId="0" xfId="0" applyAlignment="1" applyBorder="1" applyFont="1">
      <alignment horizontal="center"/>
    </xf>
    <xf borderId="11" fillId="0" fontId="23" numFmtId="0" xfId="0" applyAlignment="1" applyBorder="1" applyFont="1">
      <alignment horizontal="center"/>
    </xf>
    <xf borderId="9" fillId="0" fontId="23" numFmtId="0" xfId="0" applyAlignment="1" applyBorder="1" applyFont="1">
      <alignment horizontal="center"/>
    </xf>
    <xf borderId="5" fillId="2" fontId="43" numFmtId="0" xfId="0" applyAlignment="1" applyBorder="1" applyFont="1">
      <alignment horizontal="center"/>
    </xf>
    <xf borderId="9" fillId="0" fontId="22" numFmtId="0" xfId="0" applyAlignment="1" applyBorder="1" applyFont="1">
      <alignment horizontal="center"/>
    </xf>
    <xf borderId="9" fillId="0" fontId="32" numFmtId="0" xfId="0" applyAlignment="1" applyBorder="1" applyFont="1">
      <alignment horizontal="center"/>
    </xf>
    <xf borderId="18" fillId="0" fontId="15" numFmtId="0" xfId="0" applyAlignment="1" applyBorder="1" applyFont="1">
      <alignment horizontal="center"/>
    </xf>
    <xf borderId="18" fillId="0" fontId="17" numFmtId="0" xfId="0" applyAlignment="1" applyBorder="1" applyFont="1">
      <alignment horizontal="left"/>
    </xf>
    <xf borderId="18" fillId="0" fontId="21" numFmtId="0" xfId="0" applyAlignment="1" applyBorder="1" applyFont="1">
      <alignment horizontal="left"/>
    </xf>
    <xf borderId="43" fillId="0" fontId="23" numFmtId="0" xfId="0" applyAlignment="1" applyBorder="1" applyFont="1">
      <alignment horizontal="center"/>
    </xf>
    <xf borderId="10" fillId="0" fontId="23" numFmtId="0" xfId="0" applyAlignment="1" applyBorder="1" applyFont="1">
      <alignment horizontal="center"/>
    </xf>
    <xf borderId="10" fillId="0" fontId="22" numFmtId="0" xfId="0" applyAlignment="1" applyBorder="1" applyFont="1">
      <alignment horizontal="center"/>
    </xf>
    <xf borderId="10" fillId="0" fontId="32" numFmtId="0" xfId="0" applyAlignment="1" applyBorder="1" applyFont="1">
      <alignment horizontal="center"/>
    </xf>
    <xf borderId="42" fillId="4" fontId="5" numFmtId="0" xfId="0" applyAlignment="1" applyBorder="1" applyFont="1">
      <alignment horizontal="left"/>
    </xf>
    <xf borderId="9" fillId="4" fontId="5" numFmtId="0" xfId="0" applyAlignment="1" applyBorder="1" applyFont="1">
      <alignment horizontal="left"/>
    </xf>
    <xf borderId="7" fillId="4" fontId="14" numFmtId="0" xfId="0" applyAlignment="1" applyBorder="1" applyFont="1">
      <alignment horizontal="center"/>
    </xf>
    <xf borderId="9" fillId="4" fontId="14" numFmtId="0" xfId="0" applyAlignment="1" applyBorder="1" applyFont="1">
      <alignment horizontal="center"/>
    </xf>
    <xf borderId="3" fillId="2" fontId="1" numFmtId="0" xfId="0" applyBorder="1" applyFont="1"/>
    <xf borderId="12" fillId="0" fontId="15" numFmtId="0" xfId="0" applyAlignment="1" applyBorder="1" applyFont="1">
      <alignment horizontal="center"/>
    </xf>
    <xf borderId="12" fillId="0" fontId="17" numFmtId="0" xfId="0" applyAlignment="1" applyBorder="1" applyFont="1">
      <alignment horizontal="left"/>
    </xf>
    <xf borderId="12" fillId="0" fontId="21" numFmtId="0" xfId="0" applyAlignment="1" applyBorder="1" applyFont="1">
      <alignment horizontal="left"/>
    </xf>
    <xf borderId="41" fillId="4" fontId="5" numFmtId="0" xfId="0" applyAlignment="1" applyBorder="1" applyFont="1">
      <alignment horizontal="left"/>
    </xf>
    <xf borderId="11" fillId="0" fontId="44" numFmtId="0" xfId="0" applyAlignment="1" applyBorder="1" applyFont="1">
      <alignment horizontal="center"/>
    </xf>
    <xf borderId="9" fillId="0" fontId="44" numFmtId="0" xfId="0" applyAlignment="1" applyBorder="1" applyFont="1">
      <alignment horizontal="center"/>
    </xf>
    <xf borderId="11" fillId="0" fontId="45" numFmtId="0" xfId="0" applyAlignment="1" applyBorder="1" applyFont="1">
      <alignment horizontal="left"/>
    </xf>
    <xf borderId="9" fillId="0" fontId="45" numFmtId="0" xfId="0" applyAlignment="1" applyBorder="1" applyFont="1">
      <alignment horizontal="left"/>
    </xf>
    <xf borderId="5" fillId="0" fontId="36" numFmtId="0" xfId="0" applyAlignment="1" applyBorder="1" applyFont="1">
      <alignment horizontal="center"/>
    </xf>
    <xf borderId="5" fillId="2" fontId="16" numFmtId="0" xfId="0" applyAlignment="1" applyBorder="1" applyFont="1">
      <alignment horizontal="center"/>
    </xf>
    <xf borderId="41" fillId="4" fontId="46" numFmtId="0" xfId="0" applyAlignment="1" applyBorder="1" applyFont="1">
      <alignment horizontal="left"/>
    </xf>
    <xf borderId="9" fillId="4" fontId="47" numFmtId="0" xfId="0" applyAlignment="1" applyBorder="1" applyFont="1">
      <alignment horizontal="left"/>
    </xf>
    <xf borderId="23" fillId="0" fontId="36" numFmtId="0" xfId="0" applyAlignment="1" applyBorder="1" applyFont="1">
      <alignment horizontal="center"/>
    </xf>
    <xf borderId="23" fillId="0" fontId="36" numFmtId="0" xfId="0" applyBorder="1" applyFont="1"/>
    <xf borderId="23" fillId="0" fontId="16" numFmtId="0" xfId="0" applyAlignment="1" applyBorder="1" applyFont="1">
      <alignment horizontal="center"/>
    </xf>
    <xf borderId="25" fillId="0" fontId="36" numFmtId="0" xfId="0" applyAlignment="1" applyBorder="1" applyFont="1">
      <alignment horizontal="center"/>
    </xf>
    <xf borderId="9" fillId="4" fontId="14" numFmtId="0" xfId="0" applyAlignment="1" applyBorder="1" applyFont="1">
      <alignment horizontal="left"/>
    </xf>
    <xf borderId="25" fillId="0" fontId="36" numFmtId="0" xfId="0" applyBorder="1" applyFont="1"/>
    <xf borderId="25" fillId="0" fontId="16" numFmtId="0" xfId="0" applyAlignment="1" applyBorder="1" applyFont="1">
      <alignment horizontal="center"/>
    </xf>
    <xf borderId="21" fillId="0" fontId="36" numFmtId="0" xfId="0" applyAlignment="1" applyBorder="1" applyFont="1">
      <alignment horizontal="center"/>
    </xf>
    <xf borderId="21" fillId="0" fontId="36" numFmtId="0" xfId="0" applyBorder="1" applyFont="1"/>
    <xf borderId="21" fillId="0" fontId="16" numFmtId="0" xfId="0" applyAlignment="1" applyBorder="1" applyFont="1">
      <alignment horizontal="center"/>
    </xf>
    <xf borderId="1" fillId="2" fontId="48" numFmtId="0" xfId="0" applyBorder="1" applyFont="1"/>
    <xf borderId="3" fillId="4" fontId="10" numFmtId="0" xfId="0" applyAlignment="1" applyBorder="1" applyFont="1">
      <alignment horizontal="center"/>
    </xf>
    <xf borderId="27" fillId="0" fontId="36" numFmtId="0" xfId="0" applyBorder="1" applyFont="1"/>
    <xf borderId="27" fillId="0" fontId="16" numFmtId="0" xfId="0" applyAlignment="1" applyBorder="1" applyFont="1">
      <alignment horizontal="center"/>
    </xf>
    <xf borderId="17" fillId="0" fontId="15" numFmtId="0" xfId="0" applyBorder="1" applyFont="1"/>
    <xf borderId="0" fillId="0" fontId="49" numFmtId="0" xfId="0" applyFont="1"/>
    <xf borderId="0" fillId="0" fontId="43" numFmtId="0" xfId="0" applyFont="1"/>
    <xf borderId="39" fillId="0" fontId="15" numFmtId="0" xfId="0" applyAlignment="1" applyBorder="1" applyFont="1">
      <alignment horizontal="center"/>
    </xf>
    <xf borderId="44" fillId="0" fontId="22" numFmtId="0" xfId="0" applyAlignment="1" applyBorder="1" applyFont="1">
      <alignment horizontal="center"/>
    </xf>
    <xf borderId="44" fillId="0" fontId="23" numFmtId="0" xfId="0" applyAlignment="1" applyBorder="1" applyFont="1">
      <alignment horizontal="center"/>
    </xf>
    <xf borderId="36" fillId="0" fontId="15" numFmtId="0" xfId="0" applyAlignment="1" applyBorder="1" applyFont="1">
      <alignment horizontal="center"/>
    </xf>
    <xf borderId="3" fillId="2" fontId="40" numFmtId="0" xfId="0" applyAlignment="1" applyBorder="1" applyFont="1">
      <alignment horizontal="left"/>
    </xf>
    <xf borderId="3" fillId="5" fontId="34" numFmtId="0" xfId="0" applyAlignment="1" applyBorder="1" applyFont="1">
      <alignment horizontal="left"/>
    </xf>
    <xf borderId="3" fillId="2" fontId="16" numFmtId="0" xfId="0" applyAlignment="1" applyBorder="1" applyFont="1">
      <alignment horizontal="left"/>
    </xf>
    <xf borderId="3" fillId="5" fontId="50" numFmtId="0" xfId="0" applyAlignment="1" applyBorder="1" applyFont="1">
      <alignment horizontal="left"/>
    </xf>
    <xf borderId="0" fillId="0" fontId="15" numFmtId="0" xfId="0" applyAlignment="1" applyFont="1">
      <alignment horizontal="center"/>
    </xf>
    <xf borderId="0" fillId="0" fontId="17" numFmtId="0" xfId="0" applyAlignment="1" applyFont="1">
      <alignment horizontal="left"/>
    </xf>
    <xf borderId="0" fillId="0" fontId="21" numFmtId="0" xfId="0" applyAlignment="1" applyFont="1">
      <alignment horizontal="left"/>
    </xf>
    <xf borderId="0" fillId="0" fontId="22" numFmtId="0" xfId="0" applyAlignment="1" applyFont="1">
      <alignment horizontal="center"/>
    </xf>
    <xf borderId="0" fillId="0" fontId="23" numFmtId="0" xfId="0" applyAlignment="1" applyFont="1">
      <alignment horizontal="center"/>
    </xf>
    <xf borderId="5" fillId="2" fontId="16" numFmtId="165" xfId="0" applyBorder="1" applyFont="1" applyNumberFormat="1"/>
    <xf borderId="5" fillId="2" fontId="51" numFmtId="166" xfId="0" applyBorder="1" applyFont="1" applyNumberFormat="1"/>
    <xf borderId="5" fillId="0" fontId="16" numFmtId="165" xfId="0" applyBorder="1" applyFont="1" applyNumberFormat="1"/>
    <xf borderId="5" fillId="0" fontId="36" numFmtId="165" xfId="0" applyBorder="1" applyFont="1" applyNumberFormat="1"/>
    <xf borderId="5" fillId="0" fontId="36" numFmtId="166" xfId="0" applyBorder="1" applyFont="1" applyNumberFormat="1"/>
    <xf borderId="45" fillId="2" fontId="52" numFmtId="0" xfId="0" applyBorder="1" applyFont="1"/>
    <xf borderId="46" fillId="2" fontId="4" numFmtId="0" xfId="0" applyBorder="1" applyFont="1"/>
    <xf borderId="20" fillId="2" fontId="52" numFmtId="165" xfId="0" applyBorder="1" applyFont="1" applyNumberFormat="1"/>
    <xf borderId="1" fillId="3" fontId="5" numFmtId="0" xfId="0" applyAlignment="1" applyBorder="1" applyFont="1">
      <alignment horizontal="center" vertical="center"/>
    </xf>
    <xf borderId="5" fillId="4" fontId="10" numFmtId="0" xfId="0" applyAlignment="1" applyBorder="1" applyFont="1">
      <alignment horizontal="center" shrinkToFit="0" vertical="center" wrapText="1"/>
    </xf>
    <xf borderId="3" fillId="3" fontId="5" numFmtId="0" xfId="0" applyAlignment="1" applyBorder="1" applyFont="1">
      <alignment horizontal="center" vertical="center"/>
    </xf>
    <xf borderId="21" fillId="3" fontId="5" numFmtId="0" xfId="0" applyAlignment="1" applyBorder="1" applyFont="1">
      <alignment horizontal="center" vertical="center"/>
    </xf>
    <xf borderId="3" fillId="4" fontId="10" numFmtId="0" xfId="0" applyAlignment="1" applyBorder="1" applyFont="1">
      <alignment horizontal="center" shrinkToFit="0" vertical="center" wrapText="1"/>
    </xf>
    <xf borderId="5" fillId="2" fontId="16" numFmtId="0" xfId="0" applyAlignment="1" applyBorder="1" applyFont="1">
      <alignment shrinkToFit="0" vertical="center" wrapText="1"/>
    </xf>
    <xf borderId="17" fillId="0" fontId="17" numFmtId="0" xfId="0" applyBorder="1" applyFont="1"/>
    <xf borderId="17" fillId="0" fontId="21" numFmtId="0" xfId="0" applyBorder="1" applyFont="1"/>
    <xf borderId="45" fillId="4" fontId="1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3" fillId="2" fontId="16" numFmtId="165" xfId="0" applyAlignment="1" applyBorder="1" applyFont="1" applyNumberFormat="1">
      <alignment horizontal="left" vertical="center"/>
    </xf>
    <xf borderId="3" fillId="6" fontId="16" numFmtId="0" xfId="0" applyAlignment="1" applyBorder="1" applyFill="1" applyFont="1">
      <alignment horizontal="left" vertical="center"/>
    </xf>
    <xf borderId="5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horizontal="left"/>
    </xf>
    <xf borderId="3" fillId="6" fontId="4" numFmtId="0" xfId="0" applyAlignment="1" applyBorder="1" applyFont="1">
      <alignment horizontal="left"/>
    </xf>
    <xf borderId="33" fillId="3" fontId="5" numFmtId="0" xfId="0" applyAlignment="1" applyBorder="1" applyFont="1">
      <alignment horizontal="left" vertical="center"/>
    </xf>
    <xf borderId="0" fillId="0" fontId="16" numFmtId="0" xfId="0" applyAlignment="1" applyFont="1">
      <alignment horizontal="left" shrinkToFit="0" vertical="center" wrapText="1"/>
    </xf>
    <xf borderId="5" fillId="0" fontId="16" numFmtId="49" xfId="0" applyAlignment="1" applyBorder="1" applyFont="1" applyNumberFormat="1">
      <alignment shrinkToFit="0" vertical="center" wrapText="1"/>
    </xf>
    <xf borderId="0" fillId="0" fontId="16" numFmtId="0" xfId="0" applyAlignment="1" applyFont="1">
      <alignment vertical="center"/>
    </xf>
    <xf borderId="3" fillId="2" fontId="4" numFmtId="0" xfId="0" applyAlignment="1" applyBorder="1" applyFont="1">
      <alignment horizontal="left"/>
    </xf>
    <xf borderId="3" fillId="2" fontId="16" numFmtId="0" xfId="0" applyAlignment="1" applyBorder="1" applyFont="1">
      <alignment vertical="center"/>
    </xf>
    <xf borderId="3" fillId="6" fontId="4" numFmtId="0" xfId="0" applyBorder="1" applyFont="1"/>
    <xf borderId="0" fillId="0" fontId="16" numFmtId="0" xfId="0" applyAlignment="1" applyFont="1">
      <alignment horizontal="center"/>
    </xf>
    <xf borderId="0" fillId="0" fontId="16" numFmtId="0" xfId="0" applyAlignment="1" applyFont="1">
      <alignment horizontal="left" shrinkToFit="0" wrapText="1"/>
    </xf>
    <xf borderId="0" fillId="0" fontId="4" numFmtId="165" xfId="0" applyFont="1" applyNumberFormat="1"/>
    <xf borderId="5" fillId="2" fontId="16" numFmtId="49" xfId="0" applyAlignment="1" applyBorder="1" applyFont="1" applyNumberFormat="1">
      <alignment shrinkToFit="0" vertical="center" wrapText="1"/>
    </xf>
    <xf borderId="5" fillId="4" fontId="5" numFmtId="0" xfId="0" applyAlignment="1" applyBorder="1" applyFont="1">
      <alignment horizontal="center"/>
    </xf>
    <xf borderId="3" fillId="4" fontId="5" numFmtId="0" xfId="0" applyBorder="1" applyFont="1"/>
    <xf borderId="5" fillId="0" fontId="40" numFmtId="0" xfId="0" applyBorder="1" applyFont="1"/>
    <xf borderId="5" fillId="0" fontId="4" numFmtId="49" xfId="0" applyAlignment="1" applyBorder="1" applyFont="1" applyNumberFormat="1">
      <alignment horizontal="center"/>
    </xf>
    <xf borderId="0" fillId="0" fontId="53" numFmtId="0" xfId="0" applyFont="1"/>
    <xf borderId="3" fillId="2" fontId="16" numFmtId="0" xfId="0" applyAlignment="1" applyBorder="1" applyFont="1">
      <alignment horizontal="left" vertical="center"/>
    </xf>
    <xf borderId="19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5" fillId="4" fontId="5" numFmtId="0" xfId="0" applyBorder="1" applyFont="1"/>
    <xf borderId="5" fillId="4" fontId="5" numFmtId="49" xfId="0" applyAlignment="1" applyBorder="1" applyFont="1" applyNumberFormat="1">
      <alignment horizontal="center"/>
    </xf>
    <xf borderId="0" fillId="0" fontId="54" numFmtId="0" xfId="0" applyFont="1"/>
    <xf borderId="3" fillId="7" fontId="16" numFmtId="0" xfId="0" applyAlignment="1" applyBorder="1" applyFill="1" applyFont="1">
      <alignment vertical="center"/>
    </xf>
    <xf borderId="0" fillId="0" fontId="4" numFmtId="0" xfId="0" applyAlignment="1" applyFont="1">
      <alignment shrinkToFit="0" vertical="center" wrapText="1"/>
    </xf>
    <xf borderId="3" fillId="2" fontId="4" numFmtId="167" xfId="0" applyBorder="1" applyFont="1" applyNumberFormat="1"/>
    <xf borderId="0" fillId="0" fontId="4" numFmtId="164" xfId="0" applyFont="1" applyNumberFormat="1"/>
    <xf borderId="0" fillId="0" fontId="4" numFmtId="3" xfId="0" applyFont="1" applyNumberFormat="1"/>
    <xf borderId="3" fillId="2" fontId="4" numFmtId="49" xfId="0" applyBorder="1" applyFont="1" applyNumberFormat="1"/>
    <xf borderId="5" fillId="6" fontId="16" numFmtId="0" xfId="0" applyAlignment="1" applyBorder="1" applyFont="1">
      <alignment shrinkToFit="0" vertical="center" wrapText="1"/>
    </xf>
    <xf borderId="3" fillId="8" fontId="4" numFmtId="49" xfId="0" applyBorder="1" applyFill="1" applyFont="1" applyNumberFormat="1"/>
    <xf borderId="0" fillId="0" fontId="4" numFmtId="167" xfId="0" applyFont="1" applyNumberFormat="1"/>
    <xf borderId="3" fillId="9" fontId="4" numFmtId="0" xfId="0" applyBorder="1" applyFill="1" applyFont="1"/>
    <xf borderId="3" fillId="9" fontId="43" numFmtId="0" xfId="0" applyBorder="1" applyFont="1"/>
    <xf borderId="3" fillId="7" fontId="43" numFmtId="0" xfId="0" applyBorder="1" applyFont="1"/>
    <xf borderId="3" fillId="8" fontId="4" numFmtId="49" xfId="0" applyAlignment="1" applyBorder="1" applyFont="1" applyNumberFormat="1">
      <alignment shrinkToFit="0" vertical="center" wrapText="1"/>
    </xf>
    <xf borderId="3" fillId="7" fontId="4" numFmtId="0" xfId="0" applyBorder="1" applyFont="1"/>
    <xf borderId="3" fillId="9" fontId="55" numFmtId="1" xfId="0" applyBorder="1" applyFont="1" applyNumberFormat="1"/>
    <xf borderId="0" fillId="0" fontId="16" numFmtId="1" xfId="0" applyAlignment="1" applyFont="1" applyNumberFormat="1">
      <alignment horizontal="center"/>
    </xf>
    <xf borderId="3" fillId="8" fontId="16" numFmtId="49" xfId="0" applyAlignment="1" applyBorder="1" applyFont="1" applyNumberFormat="1">
      <alignment horizontal="left" vertical="center"/>
    </xf>
    <xf borderId="0" fillId="0" fontId="4" numFmtId="49" xfId="0" applyFont="1" applyNumberFormat="1"/>
    <xf borderId="3" fillId="6" fontId="16" numFmtId="165" xfId="0" applyAlignment="1" applyBorder="1" applyFont="1" applyNumberFormat="1">
      <alignment horizontal="left" vertical="center"/>
    </xf>
    <xf borderId="3" fillId="5" fontId="56" numFmtId="0" xfId="0" applyBorder="1" applyFont="1"/>
    <xf borderId="0" fillId="0" fontId="56" numFmtId="0" xfId="0" applyFont="1"/>
    <xf borderId="3" fillId="4" fontId="57" numFmtId="0" xfId="0" applyAlignment="1" applyBorder="1" applyFont="1">
      <alignment horizontal="center" shrinkToFit="0" vertical="center" wrapText="1"/>
    </xf>
    <xf borderId="0" fillId="0" fontId="4" numFmtId="168" xfId="0" applyFont="1" applyNumberFormat="1"/>
    <xf borderId="0" fillId="0" fontId="4" numFmtId="169" xfId="0" applyFont="1" applyNumberFormat="1"/>
    <xf borderId="0" fillId="0" fontId="4" numFmtId="1" xfId="0" applyFont="1" applyNumberFormat="1"/>
    <xf borderId="1" fillId="3" fontId="47" numFmtId="0" xfId="0" applyAlignment="1" applyBorder="1" applyFont="1">
      <alignment horizontal="center" vertical="center"/>
    </xf>
    <xf borderId="0" fillId="0" fontId="16" numFmtId="170" xfId="0" applyAlignment="1" applyFont="1" applyNumberFormat="1">
      <alignment vertical="center"/>
    </xf>
    <xf borderId="1" fillId="2" fontId="41" numFmtId="0" xfId="0" applyAlignment="1" applyBorder="1" applyFont="1">
      <alignment horizontal="left" vertical="center"/>
    </xf>
    <xf borderId="0" fillId="0" fontId="25" numFmtId="0" xfId="0" applyAlignment="1" applyFont="1">
      <alignment horizontal="left"/>
    </xf>
    <xf borderId="3" fillId="6" fontId="33" numFmtId="171" xfId="0" applyBorder="1" applyFont="1" applyNumberFormat="1"/>
    <xf borderId="3" fillId="6" fontId="33" numFmtId="0" xfId="0" applyAlignment="1" applyBorder="1" applyFont="1">
      <alignment horizontal="left"/>
    </xf>
    <xf borderId="0" fillId="0" fontId="25" numFmtId="1" xfId="0" applyAlignment="1" applyFont="1" applyNumberFormat="1">
      <alignment horizontal="left"/>
    </xf>
    <xf borderId="3" fillId="6" fontId="16" numFmtId="0" xfId="0" applyAlignment="1" applyBorder="1" applyFont="1">
      <alignment vertical="center"/>
    </xf>
    <xf borderId="0" fillId="0" fontId="58" numFmtId="0" xfId="0" applyAlignment="1" applyFont="1">
      <alignment horizontal="right"/>
    </xf>
    <xf borderId="3" fillId="10" fontId="36" numFmtId="165" xfId="0" applyAlignment="1" applyBorder="1" applyFill="1" applyFont="1" applyNumberFormat="1">
      <alignment horizontal="center"/>
    </xf>
    <xf borderId="3" fillId="6" fontId="36" numFmtId="0" xfId="0" applyAlignment="1" applyBorder="1" applyFont="1">
      <alignment horizontal="center"/>
    </xf>
    <xf borderId="0" fillId="0" fontId="33" numFmtId="4" xfId="0" applyFont="1" applyNumberFormat="1"/>
    <xf borderId="3" fillId="3" fontId="5" numFmtId="4" xfId="0" applyBorder="1" applyFont="1" applyNumberFormat="1"/>
  </cellXfs>
  <cellStyles count="1">
    <cellStyle xfId="0" name="Normal" builtinId="0"/>
  </cellStyles>
  <dxfs count="7">
    <dxf>
      <font/>
      <fill>
        <patternFill patternType="solid">
          <fgColor rgb="FFF4E7C3"/>
          <bgColor rgb="FFF4E7C3"/>
        </patternFill>
      </fill>
      <border/>
    </dxf>
    <dxf>
      <font/>
      <fill>
        <patternFill patternType="solid">
          <fgColor rgb="FFEDE6F2"/>
          <bgColor rgb="FFEDE6F2"/>
        </patternFill>
      </fill>
      <border/>
    </dxf>
    <dxf>
      <font/>
      <fill>
        <patternFill patternType="solid">
          <fgColor rgb="FFE2E8F0"/>
          <bgColor rgb="FFE2E8F0"/>
        </patternFill>
      </fill>
      <border/>
    </dxf>
    <dxf>
      <font/>
      <fill>
        <patternFill patternType="solid">
          <fgColor rgb="FFE7EFE3"/>
          <bgColor rgb="FFE7EFE3"/>
        </patternFill>
      </fill>
      <border/>
    </dxf>
    <dxf>
      <font/>
      <fill>
        <patternFill patternType="solid">
          <fgColor rgb="FFF2E3D5"/>
          <bgColor rgb="FFF2E3D5"/>
        </patternFill>
      </fill>
      <border/>
    </dxf>
    <dxf>
      <font/>
      <fill>
        <patternFill patternType="solid">
          <fgColor rgb="FFF7E0E0"/>
          <bgColor rgb="FFF7E0E0"/>
        </patternFill>
      </fill>
      <border/>
    </dxf>
    <dxf>
      <font/>
      <fill>
        <patternFill patternType="solid">
          <fgColor rgb="FFFFA500"/>
          <bgColor rgb="FFFFA5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7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comments6.xml.rels><?xml version="1.0" encoding="UTF-8" standalone="yes"?><Relationships xmlns="http://schemas.openxmlformats.org/package/2006/relationships"><Relationship Id="rId1" Type="http://customschemas.google.com/relationships/workbookmetadata" Target="commentsmeta12"/></Relationships>
</file>

<file path=xl/_rels/comments7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8.xml.rels><?xml version="1.0" encoding="UTF-8" standalone="yes"?><Relationships xmlns="http://schemas.openxmlformats.org/package/2006/relationships"><Relationship Id="rId1" Type="http://customschemas.google.com/relationships/workbookmetadata" Target="commentsmeta5"/></Relationships>
</file>

<file path=xl/_rels/comments9.xml.rels><?xml version="1.0" encoding="UTF-8" standalone="yes"?><Relationships xmlns="http://schemas.openxmlformats.org/package/2006/relationships"><Relationship Id="rId1" Type="http://customschemas.google.com/relationships/workbookmetadata" Target="commentsmeta6"/></Relationships>
</file>

<file path=xl/_rels/comments10.xml.rels><?xml version="1.0" encoding="UTF-8" standalone="yes"?><Relationships xmlns="http://schemas.openxmlformats.org/package/2006/relationships"><Relationship Id="rId1" Type="http://customschemas.google.com/relationships/workbookmetadata" Target="commentsmeta9"/></Relationships>
</file>

<file path=xl/_rels/comments11.xml.rels><?xml version="1.0" encoding="UTF-8" standalone="yes"?><Relationships xmlns="http://schemas.openxmlformats.org/package/2006/relationships"><Relationship Id="rId1" Type="http://customschemas.google.com/relationships/workbookmetadata" Target="commentsmeta8"/></Relationships>
</file>

<file path=xl/_rels/comments12.xml.rels><?xml version="1.0" encoding="UTF-8" standalone="yes"?><Relationships xmlns="http://schemas.openxmlformats.org/package/2006/relationships"><Relationship Id="rId1" Type="http://customschemas.google.com/relationships/workbookmetadata" Target="commentsmeta11"/></Relationships>
</file>

<file path=xl/_rels/comments13.xml.rels><?xml version="1.0" encoding="UTF-8" standalone="yes"?><Relationships xmlns="http://schemas.openxmlformats.org/package/2006/relationships"><Relationship Id="rId1" Type="http://customschemas.google.com/relationships/workbookmetadata" Target="commentsmeta1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3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5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6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7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8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9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0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1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2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961"/>
    <pageSetUpPr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22.75"/>
    <col customWidth="1" min="3" max="3" width="30.75"/>
    <col customWidth="1" min="4" max="4" width="60.75"/>
    <col customWidth="1" min="5" max="5" width="25.75"/>
    <col customWidth="1" min="6" max="6" width="3.75"/>
  </cols>
  <sheetData>
    <row r="1" ht="36.0" customHeight="1">
      <c r="A1" s="7" t="s">
        <v>2</v>
      </c>
      <c r="B1" s="2"/>
      <c r="C1" s="2"/>
      <c r="D1" s="2"/>
      <c r="E1" s="2"/>
      <c r="F1" s="4"/>
    </row>
    <row r="2" ht="21.75" customHeight="1">
      <c r="A2" s="10" t="s">
        <v>4</v>
      </c>
      <c r="B2" s="2"/>
      <c r="C2" s="2"/>
      <c r="D2" s="2"/>
      <c r="E2" s="2"/>
      <c r="F2" s="4"/>
    </row>
    <row r="3" ht="14.25" customHeight="1">
      <c r="A3" s="12" t="s">
        <v>7</v>
      </c>
      <c r="B3" s="13"/>
      <c r="C3" s="13"/>
      <c r="D3" s="13"/>
      <c r="E3" s="13"/>
      <c r="F3" s="13"/>
    </row>
    <row r="4" ht="18.0" customHeight="1">
      <c r="A4" s="13"/>
      <c r="B4" s="16" t="s">
        <v>12</v>
      </c>
      <c r="C4" s="2"/>
      <c r="D4" s="2"/>
      <c r="E4" s="4"/>
      <c r="F4" s="13"/>
    </row>
    <row r="5" ht="15.0" customHeight="1">
      <c r="A5" s="13"/>
      <c r="B5" s="18" t="s">
        <v>16</v>
      </c>
      <c r="F5" s="13"/>
    </row>
    <row r="6" ht="15.0" customHeight="1">
      <c r="A6" s="13"/>
      <c r="F6" s="13"/>
    </row>
    <row r="7" ht="15.0" customHeight="1">
      <c r="A7" s="13"/>
      <c r="F7" s="13"/>
    </row>
    <row r="8" ht="24.75" customHeight="1">
      <c r="A8" s="13"/>
      <c r="F8" s="13"/>
    </row>
    <row r="9" ht="14.25" customHeight="1">
      <c r="A9" s="13"/>
      <c r="B9" s="13"/>
      <c r="C9" s="13"/>
      <c r="D9" s="13"/>
      <c r="E9" s="13"/>
      <c r="F9" s="13"/>
    </row>
    <row r="10" ht="18.0" customHeight="1">
      <c r="A10" s="13"/>
      <c r="B10" s="16" t="s">
        <v>24</v>
      </c>
      <c r="C10" s="2"/>
      <c r="D10" s="2"/>
      <c r="E10" s="4"/>
      <c r="F10" s="13"/>
    </row>
    <row r="11" ht="15.0" customHeight="1">
      <c r="A11" s="13"/>
      <c r="B11" s="18" t="s">
        <v>28</v>
      </c>
      <c r="F11" s="13"/>
    </row>
    <row r="12" ht="15.0" customHeight="1">
      <c r="A12" s="13"/>
      <c r="F12" s="13"/>
    </row>
    <row r="13" ht="15.0" customHeight="1">
      <c r="A13" s="13"/>
      <c r="F13" s="13"/>
    </row>
    <row r="14" ht="15.0" customHeight="1">
      <c r="A14" s="13"/>
      <c r="F14" s="13"/>
    </row>
    <row r="15" ht="15.0" customHeight="1">
      <c r="A15" s="13"/>
      <c r="F15" s="13"/>
    </row>
    <row r="17" ht="27.75" customHeight="1">
      <c r="B17" s="26" t="s">
        <v>33</v>
      </c>
      <c r="C17" s="2"/>
      <c r="D17" s="2"/>
      <c r="E17" s="4"/>
    </row>
    <row r="18" ht="14.25" customHeight="1">
      <c r="B18" s="13"/>
      <c r="C18" s="13"/>
      <c r="D18" s="13"/>
      <c r="E18" s="13"/>
    </row>
    <row r="19" ht="15.0" customHeight="1">
      <c r="B19" s="28" t="s">
        <v>39</v>
      </c>
      <c r="C19" s="2"/>
      <c r="D19" s="2"/>
      <c r="E19" s="4"/>
    </row>
    <row r="20" ht="15.0" customHeight="1">
      <c r="B20" s="30" t="s">
        <v>42</v>
      </c>
      <c r="C20" s="18" t="s">
        <v>45</v>
      </c>
    </row>
    <row r="21" ht="31.5" customHeight="1">
      <c r="B21" s="30" t="s">
        <v>47</v>
      </c>
      <c r="C21" s="18" t="s">
        <v>50</v>
      </c>
    </row>
    <row r="22" ht="15.75" customHeight="1">
      <c r="B22" s="13"/>
      <c r="C22" s="13"/>
      <c r="D22" s="13"/>
      <c r="E22" s="13"/>
    </row>
    <row r="23" ht="15.0" customHeight="1">
      <c r="B23" s="28" t="s">
        <v>54</v>
      </c>
      <c r="C23" s="2"/>
      <c r="D23" s="2"/>
      <c r="E23" s="4"/>
    </row>
    <row r="24" ht="44.25" customHeight="1">
      <c r="B24" s="30" t="s">
        <v>42</v>
      </c>
      <c r="C24" s="18" t="s">
        <v>57</v>
      </c>
    </row>
    <row r="25" ht="15.0" customHeight="1">
      <c r="B25" s="30" t="s">
        <v>61</v>
      </c>
      <c r="C25" s="40" t="s">
        <v>63</v>
      </c>
      <c r="D25" s="42"/>
      <c r="E25" s="43"/>
    </row>
    <row r="26" ht="15.75" customHeight="1">
      <c r="B26" s="13"/>
      <c r="C26" s="13"/>
      <c r="D26" s="13"/>
      <c r="E26" s="13"/>
    </row>
    <row r="27" ht="15.0" customHeight="1">
      <c r="B27" s="28" t="s">
        <v>68</v>
      </c>
      <c r="C27" s="2"/>
      <c r="D27" s="2"/>
      <c r="E27" s="4"/>
    </row>
    <row r="28" ht="15.0" customHeight="1">
      <c r="B28" s="30" t="s">
        <v>42</v>
      </c>
      <c r="C28" s="18" t="s">
        <v>69</v>
      </c>
    </row>
    <row r="29" ht="15.0" customHeight="1">
      <c r="B29" s="44" t="s">
        <v>70</v>
      </c>
      <c r="C29" s="45" t="s">
        <v>73</v>
      </c>
    </row>
    <row r="30" ht="15.0" customHeight="1">
      <c r="B30" s="44" t="s">
        <v>78</v>
      </c>
      <c r="C30" s="45" t="s">
        <v>81</v>
      </c>
    </row>
    <row r="31" ht="44.25" customHeight="1">
      <c r="B31" s="44" t="s">
        <v>82</v>
      </c>
      <c r="C31" s="45" t="s">
        <v>84</v>
      </c>
    </row>
    <row r="32" ht="32.25" customHeight="1">
      <c r="B32" s="30" t="s">
        <v>85</v>
      </c>
      <c r="C32" s="46" t="s">
        <v>87</v>
      </c>
    </row>
    <row r="33" ht="15.75" customHeight="1"/>
    <row r="34" ht="15.0" customHeight="1">
      <c r="B34" s="28" t="s">
        <v>89</v>
      </c>
      <c r="C34" s="2"/>
      <c r="D34" s="2"/>
      <c r="E34" s="4"/>
    </row>
    <row r="35" ht="15.0" customHeight="1">
      <c r="B35" s="30" t="s">
        <v>92</v>
      </c>
      <c r="C35" s="18" t="s">
        <v>93</v>
      </c>
    </row>
    <row r="36" ht="15.0" customHeight="1">
      <c r="B36" s="44" t="s">
        <v>29</v>
      </c>
      <c r="C36" s="45" t="s">
        <v>46</v>
      </c>
    </row>
    <row r="37" ht="15.0" customHeight="1">
      <c r="B37" s="44" t="s">
        <v>64</v>
      </c>
      <c r="C37" s="45" t="s">
        <v>65</v>
      </c>
    </row>
    <row r="38" ht="15.0" customHeight="1">
      <c r="B38" s="44" t="s">
        <v>75</v>
      </c>
      <c r="C38" s="45" t="s">
        <v>77</v>
      </c>
    </row>
    <row r="39" ht="15.0" customHeight="1">
      <c r="B39" s="44" t="s">
        <v>91</v>
      </c>
      <c r="C39" s="45" t="s">
        <v>94</v>
      </c>
    </row>
    <row r="40" ht="15.0" customHeight="1">
      <c r="B40" s="44" t="s">
        <v>99</v>
      </c>
      <c r="C40" s="45" t="s">
        <v>100</v>
      </c>
    </row>
    <row r="41" ht="15.75" customHeight="1">
      <c r="B41" s="13"/>
      <c r="C41" s="13"/>
      <c r="D41" s="13"/>
      <c r="E41" s="13"/>
    </row>
    <row r="42" ht="15.0" customHeight="1">
      <c r="B42" s="28" t="s">
        <v>101</v>
      </c>
      <c r="C42" s="2"/>
      <c r="D42" s="2"/>
      <c r="E42" s="4"/>
    </row>
    <row r="43" ht="15.0" customHeight="1">
      <c r="B43" s="30" t="s">
        <v>102</v>
      </c>
      <c r="C43" s="18" t="s">
        <v>103</v>
      </c>
    </row>
    <row r="44" ht="15.0" customHeight="1">
      <c r="B44" s="30" t="s">
        <v>104</v>
      </c>
      <c r="C44" s="40" t="s">
        <v>106</v>
      </c>
      <c r="D44" s="42"/>
      <c r="E44" s="43"/>
    </row>
    <row r="45" ht="15.0" customHeight="1">
      <c r="B45" s="30" t="s">
        <v>108</v>
      </c>
      <c r="C45" s="40" t="s">
        <v>109</v>
      </c>
      <c r="D45" s="42"/>
      <c r="E45" s="43"/>
    </row>
    <row r="46" ht="15.75" customHeight="1">
      <c r="B46" s="13"/>
      <c r="C46" s="13"/>
      <c r="D46" s="13"/>
      <c r="E46" s="13"/>
    </row>
    <row r="47" ht="15.0" customHeight="1">
      <c r="B47" s="30" t="s">
        <v>112</v>
      </c>
      <c r="C47" s="28" t="s">
        <v>113</v>
      </c>
      <c r="D47" s="2"/>
      <c r="E47" s="4"/>
    </row>
    <row r="48" ht="83.25" customHeight="1">
      <c r="B48" s="30" t="s">
        <v>116</v>
      </c>
      <c r="C48" s="18" t="s">
        <v>117</v>
      </c>
    </row>
    <row r="49" ht="65.25" customHeight="1">
      <c r="B49" s="30" t="s">
        <v>118</v>
      </c>
      <c r="C49" s="46" t="s">
        <v>119</v>
      </c>
    </row>
    <row r="50" ht="15.75" customHeight="1">
      <c r="B50" s="13"/>
      <c r="C50" s="13"/>
      <c r="D50" s="13"/>
      <c r="E50" s="13"/>
    </row>
    <row r="51" ht="15.0" customHeight="1">
      <c r="B51" s="30" t="s">
        <v>121</v>
      </c>
      <c r="C51" s="28" t="s">
        <v>122</v>
      </c>
      <c r="D51" s="2"/>
      <c r="E51" s="4"/>
    </row>
    <row r="52" ht="15.0" customHeight="1">
      <c r="B52" s="30" t="s">
        <v>92</v>
      </c>
      <c r="C52" s="18" t="s">
        <v>124</v>
      </c>
    </row>
    <row r="53" ht="15.0" customHeight="1">
      <c r="B53" s="44" t="s">
        <v>125</v>
      </c>
      <c r="C53" s="45" t="s">
        <v>127</v>
      </c>
    </row>
    <row r="54" ht="15.0" customHeight="1">
      <c r="B54" s="44" t="s">
        <v>129</v>
      </c>
      <c r="C54" s="45" t="s">
        <v>130</v>
      </c>
    </row>
    <row r="55" ht="15.0" customHeight="1">
      <c r="B55" s="44" t="s">
        <v>134</v>
      </c>
      <c r="C55" s="45" t="s">
        <v>135</v>
      </c>
    </row>
    <row r="56" ht="15.0" customHeight="1">
      <c r="B56" s="44" t="s">
        <v>137</v>
      </c>
      <c r="C56" s="45" t="s">
        <v>139</v>
      </c>
    </row>
    <row r="57" ht="15.0" customHeight="1">
      <c r="B57" s="44" t="s">
        <v>140</v>
      </c>
      <c r="C57" s="45" t="s">
        <v>141</v>
      </c>
    </row>
    <row r="58" ht="15.0" customHeight="1">
      <c r="B58" s="44" t="s">
        <v>143</v>
      </c>
      <c r="C58" s="45" t="s">
        <v>145</v>
      </c>
    </row>
    <row r="59" ht="15.75" customHeight="1">
      <c r="B59" s="13"/>
      <c r="C59" s="13"/>
      <c r="D59" s="13"/>
      <c r="E59" s="13"/>
    </row>
    <row r="60" ht="15.0" customHeight="1">
      <c r="B60" s="30" t="s">
        <v>147</v>
      </c>
      <c r="C60" s="28" t="s">
        <v>148</v>
      </c>
      <c r="D60" s="2"/>
      <c r="E60" s="4"/>
    </row>
    <row r="61" ht="15.0" customHeight="1">
      <c r="B61" s="44" t="s">
        <v>153</v>
      </c>
      <c r="C61" s="45" t="s">
        <v>154</v>
      </c>
    </row>
    <row r="62" ht="15.0" customHeight="1">
      <c r="B62" s="44" t="s">
        <v>158</v>
      </c>
      <c r="C62" s="45" t="s">
        <v>159</v>
      </c>
    </row>
    <row r="63" ht="15.0" customHeight="1">
      <c r="B63" s="44" t="s">
        <v>161</v>
      </c>
      <c r="C63" s="45" t="s">
        <v>163</v>
      </c>
    </row>
    <row r="64" ht="15.0" customHeight="1">
      <c r="B64" s="44" t="s">
        <v>164</v>
      </c>
      <c r="C64" s="45" t="s">
        <v>166</v>
      </c>
    </row>
    <row r="65" ht="15.0" customHeight="1">
      <c r="B65" s="44" t="s">
        <v>167</v>
      </c>
      <c r="C65" s="45" t="s">
        <v>169</v>
      </c>
    </row>
    <row r="66" ht="15.0" customHeight="1">
      <c r="B66" s="44" t="s">
        <v>171</v>
      </c>
      <c r="C66" s="45" t="s">
        <v>172</v>
      </c>
    </row>
    <row r="67" ht="15.75" customHeight="1">
      <c r="B67" s="13"/>
      <c r="C67" s="13"/>
      <c r="D67" s="13"/>
      <c r="E67" s="13"/>
    </row>
    <row r="68" ht="23.25" customHeight="1">
      <c r="B68" s="30" t="s">
        <v>175</v>
      </c>
      <c r="C68" s="40" t="s">
        <v>178</v>
      </c>
      <c r="D68" s="42"/>
      <c r="E68" s="43"/>
    </row>
    <row r="69" ht="15.75" customHeight="1">
      <c r="B69" s="13"/>
      <c r="C69" s="13"/>
      <c r="D69" s="13"/>
      <c r="E69" s="13"/>
    </row>
    <row r="70" ht="15.75" customHeight="1">
      <c r="B70" s="13"/>
      <c r="C70" s="13"/>
      <c r="D70" s="13"/>
      <c r="E70" s="13"/>
    </row>
    <row r="71" ht="27.75" customHeight="1">
      <c r="B71" s="26" t="s">
        <v>185</v>
      </c>
      <c r="C71" s="2"/>
      <c r="D71" s="2"/>
      <c r="E71" s="4"/>
    </row>
    <row r="72" ht="15.75" customHeight="1">
      <c r="B72" s="13"/>
      <c r="C72" s="13"/>
      <c r="D72" s="13"/>
      <c r="E72" s="13"/>
    </row>
    <row r="73" ht="15.0" customHeight="1">
      <c r="B73" s="28" t="s">
        <v>189</v>
      </c>
      <c r="C73" s="2"/>
      <c r="D73" s="2"/>
      <c r="E73" s="4"/>
    </row>
    <row r="74" ht="15.0" customHeight="1">
      <c r="B74" s="30" t="s">
        <v>102</v>
      </c>
      <c r="C74" s="18" t="s">
        <v>191</v>
      </c>
    </row>
    <row r="75" ht="15.0" customHeight="1">
      <c r="B75" s="30" t="s">
        <v>108</v>
      </c>
      <c r="C75" s="40" t="s">
        <v>193</v>
      </c>
      <c r="D75" s="42"/>
      <c r="E75" s="43"/>
    </row>
    <row r="76" ht="15.0" customHeight="1">
      <c r="B76" s="30" t="s">
        <v>104</v>
      </c>
      <c r="C76" s="40" t="s">
        <v>194</v>
      </c>
      <c r="D76" s="42"/>
      <c r="E76" s="43"/>
    </row>
    <row r="77" ht="15.75" customHeight="1">
      <c r="B77" s="13"/>
      <c r="C77" s="13"/>
      <c r="D77" s="13"/>
      <c r="E77" s="13"/>
    </row>
    <row r="78" ht="15.0" customHeight="1">
      <c r="B78" s="30" t="s">
        <v>196</v>
      </c>
      <c r="C78" s="18" t="s">
        <v>197</v>
      </c>
    </row>
    <row r="79" ht="15.0" customHeight="1">
      <c r="B79" s="44" t="s">
        <v>200</v>
      </c>
      <c r="C79" s="45" t="s">
        <v>201</v>
      </c>
    </row>
    <row r="80" ht="27.0" customHeight="1">
      <c r="B80" s="44" t="s">
        <v>203</v>
      </c>
      <c r="C80" s="45" t="s">
        <v>205</v>
      </c>
    </row>
    <row r="81" ht="15.0" customHeight="1">
      <c r="B81" s="52"/>
      <c r="C81" s="45"/>
    </row>
    <row r="82" ht="15.0" customHeight="1">
      <c r="B82" s="44" t="s">
        <v>210</v>
      </c>
      <c r="C82" s="45" t="s">
        <v>212</v>
      </c>
    </row>
    <row r="83" ht="15.0" customHeight="1">
      <c r="B83" s="44" t="s">
        <v>215</v>
      </c>
      <c r="C83" s="45" t="s">
        <v>216</v>
      </c>
    </row>
    <row r="84" ht="15.0" customHeight="1">
      <c r="B84" s="44" t="s">
        <v>219</v>
      </c>
      <c r="C84" s="45" t="s">
        <v>220</v>
      </c>
    </row>
    <row r="85" ht="15.0" customHeight="1">
      <c r="B85" s="44" t="s">
        <v>221</v>
      </c>
      <c r="C85" s="45" t="s">
        <v>223</v>
      </c>
    </row>
    <row r="86" ht="15.0" customHeight="1">
      <c r="B86" s="30" t="s">
        <v>225</v>
      </c>
      <c r="C86" s="40" t="s">
        <v>227</v>
      </c>
      <c r="D86" s="42"/>
      <c r="E86" s="43"/>
    </row>
    <row r="87" ht="373.5" customHeight="1">
      <c r="B87" s="30" t="s">
        <v>230</v>
      </c>
      <c r="C87" s="40" t="s">
        <v>233</v>
      </c>
      <c r="D87" s="42"/>
      <c r="E87" s="43"/>
    </row>
    <row r="88" ht="15.75" customHeight="1">
      <c r="B88" s="13"/>
      <c r="C88" s="13"/>
      <c r="D88" s="13"/>
      <c r="E88" s="13"/>
    </row>
    <row r="89" ht="15.0" customHeight="1">
      <c r="B89" s="28" t="s">
        <v>239</v>
      </c>
      <c r="C89" s="2"/>
      <c r="D89" s="2"/>
      <c r="E89" s="4"/>
    </row>
    <row r="90" ht="69.0" customHeight="1">
      <c r="B90" s="30" t="s">
        <v>241</v>
      </c>
      <c r="C90" s="18" t="s">
        <v>243</v>
      </c>
    </row>
    <row r="91" ht="45.75" customHeight="1">
      <c r="B91" s="30" t="s">
        <v>244</v>
      </c>
      <c r="C91" s="40" t="s">
        <v>246</v>
      </c>
      <c r="D91" s="42"/>
      <c r="E91" s="43"/>
    </row>
    <row r="92" ht="80.25" customHeight="1">
      <c r="B92" s="30" t="s">
        <v>248</v>
      </c>
      <c r="C92" s="57" t="s">
        <v>249</v>
      </c>
      <c r="D92" s="13"/>
      <c r="E92" s="13"/>
    </row>
    <row r="93" ht="15.0" customHeight="1">
      <c r="B93" s="28" t="s">
        <v>252</v>
      </c>
      <c r="C93" s="2"/>
      <c r="D93" s="2"/>
      <c r="E93" s="4"/>
    </row>
    <row r="94" ht="31.5" customHeight="1">
      <c r="B94" s="30" t="s">
        <v>255</v>
      </c>
      <c r="C94" s="18" t="s">
        <v>257</v>
      </c>
    </row>
    <row r="95" ht="46.5" customHeight="1">
      <c r="B95" s="30" t="s">
        <v>259</v>
      </c>
      <c r="C95" s="40" t="s">
        <v>260</v>
      </c>
      <c r="D95" s="42"/>
      <c r="E95" s="43"/>
    </row>
    <row r="96" ht="15.75" customHeight="1"/>
    <row r="97" ht="15.0" customHeight="1">
      <c r="B97" s="28" t="s">
        <v>263</v>
      </c>
      <c r="C97" s="2"/>
      <c r="D97" s="2"/>
      <c r="E97" s="4"/>
    </row>
    <row r="98" ht="113.25" customHeight="1">
      <c r="B98" s="40" t="s">
        <v>266</v>
      </c>
      <c r="C98" s="42"/>
      <c r="D98" s="42"/>
      <c r="E98" s="43"/>
    </row>
    <row r="99" ht="15.75" customHeight="1">
      <c r="B99" s="13"/>
      <c r="C99" s="13"/>
      <c r="D99" s="13"/>
      <c r="E99" s="13"/>
    </row>
    <row r="100" ht="15.0" customHeight="1">
      <c r="B100" s="28" t="s">
        <v>269</v>
      </c>
      <c r="C100" s="2"/>
      <c r="D100" s="2"/>
      <c r="E100" s="4"/>
    </row>
    <row r="101" ht="15.0" customHeight="1">
      <c r="B101" s="44" t="s">
        <v>272</v>
      </c>
      <c r="C101" s="45" t="s">
        <v>273</v>
      </c>
    </row>
    <row r="102" ht="15.0" customHeight="1">
      <c r="B102" s="44" t="s">
        <v>275</v>
      </c>
      <c r="C102" s="45" t="s">
        <v>277</v>
      </c>
    </row>
    <row r="103" ht="15.0" customHeight="1">
      <c r="B103" s="44" t="s">
        <v>279</v>
      </c>
      <c r="C103" s="45" t="s">
        <v>281</v>
      </c>
    </row>
    <row r="104" ht="15.0" customHeight="1">
      <c r="B104" s="44" t="s">
        <v>284</v>
      </c>
      <c r="C104" s="45" t="s">
        <v>286</v>
      </c>
    </row>
    <row r="105" ht="15.0" customHeight="1">
      <c r="B105" s="44" t="s">
        <v>289</v>
      </c>
      <c r="C105" s="45" t="s">
        <v>290</v>
      </c>
    </row>
    <row r="106" ht="15.0" customHeight="1">
      <c r="B106" s="44" t="s">
        <v>292</v>
      </c>
      <c r="C106" s="45" t="s">
        <v>295</v>
      </c>
    </row>
    <row r="107" ht="15.0" customHeight="1">
      <c r="B107" s="44" t="s">
        <v>296</v>
      </c>
      <c r="C107" s="45" t="s">
        <v>298</v>
      </c>
    </row>
    <row r="108" ht="15.75" customHeight="1">
      <c r="B108" s="13"/>
      <c r="C108" s="13"/>
      <c r="D108" s="13"/>
      <c r="E108" s="13"/>
    </row>
    <row r="109" ht="15.0" customHeight="1">
      <c r="B109" s="28" t="s">
        <v>301</v>
      </c>
      <c r="C109" s="2"/>
      <c r="D109" s="2"/>
      <c r="E109" s="4"/>
    </row>
    <row r="110" ht="15.0" customHeight="1">
      <c r="B110" s="44" t="s">
        <v>304</v>
      </c>
      <c r="C110" s="45" t="s">
        <v>306</v>
      </c>
    </row>
    <row r="111" ht="15.0" customHeight="1">
      <c r="B111" s="44" t="s">
        <v>308</v>
      </c>
      <c r="C111" s="45" t="s">
        <v>309</v>
      </c>
    </row>
    <row r="112" ht="15.0" customHeight="1">
      <c r="B112" s="44" t="s">
        <v>313</v>
      </c>
      <c r="C112" s="45" t="s">
        <v>314</v>
      </c>
    </row>
    <row r="113" ht="15.0" customHeight="1">
      <c r="B113" s="44" t="s">
        <v>319</v>
      </c>
      <c r="C113" s="45" t="s">
        <v>320</v>
      </c>
    </row>
    <row r="114" ht="15.0" customHeight="1">
      <c r="B114" s="44" t="s">
        <v>322</v>
      </c>
      <c r="C114" s="45" t="s">
        <v>324</v>
      </c>
    </row>
    <row r="115" ht="15.0" customHeight="1">
      <c r="B115" s="44" t="s">
        <v>325</v>
      </c>
      <c r="C115" s="45" t="s">
        <v>327</v>
      </c>
    </row>
    <row r="116" ht="15.0" customHeight="1">
      <c r="B116" s="44" t="s">
        <v>329</v>
      </c>
      <c r="C116" s="45" t="s">
        <v>331</v>
      </c>
    </row>
    <row r="117" ht="15.75" customHeight="1">
      <c r="B117" s="13"/>
      <c r="C117" s="13"/>
      <c r="D117" s="13"/>
      <c r="E117" s="13"/>
    </row>
    <row r="118" ht="15.0" customHeight="1">
      <c r="B118" s="28" t="s">
        <v>335</v>
      </c>
      <c r="C118" s="2"/>
      <c r="D118" s="2"/>
      <c r="E118" s="4"/>
    </row>
    <row r="119" ht="15.0" customHeight="1">
      <c r="B119" s="44" t="s">
        <v>279</v>
      </c>
      <c r="C119" s="45" t="s">
        <v>281</v>
      </c>
    </row>
    <row r="120" ht="15.0" customHeight="1">
      <c r="B120" s="44" t="s">
        <v>284</v>
      </c>
      <c r="C120" s="45" t="s">
        <v>286</v>
      </c>
    </row>
    <row r="121" ht="15.0" customHeight="1">
      <c r="B121" s="44" t="s">
        <v>289</v>
      </c>
      <c r="C121" s="45" t="s">
        <v>290</v>
      </c>
    </row>
    <row r="122" ht="15.0" customHeight="1">
      <c r="B122" s="44" t="s">
        <v>275</v>
      </c>
      <c r="C122" s="45" t="s">
        <v>277</v>
      </c>
    </row>
    <row r="123" ht="15.0" customHeight="1">
      <c r="B123" s="44" t="s">
        <v>292</v>
      </c>
      <c r="C123" s="45" t="s">
        <v>295</v>
      </c>
    </row>
    <row r="124" ht="15.0" customHeight="1">
      <c r="B124" s="44" t="s">
        <v>351</v>
      </c>
      <c r="C124" s="45" t="s">
        <v>352</v>
      </c>
    </row>
    <row r="125" ht="15.75" customHeight="1">
      <c r="B125" s="13"/>
      <c r="C125" s="13"/>
      <c r="D125" s="13"/>
      <c r="E125" s="13"/>
    </row>
    <row r="126" ht="15.0" customHeight="1">
      <c r="B126" s="28" t="s">
        <v>356</v>
      </c>
      <c r="C126" s="2"/>
      <c r="D126" s="2"/>
      <c r="E126" s="4"/>
    </row>
    <row r="127" ht="15.0" customHeight="1">
      <c r="B127" s="44" t="s">
        <v>359</v>
      </c>
      <c r="C127" s="45" t="s">
        <v>360</v>
      </c>
    </row>
    <row r="128" ht="15.0" customHeight="1">
      <c r="B128" s="44" t="s">
        <v>363</v>
      </c>
      <c r="C128" s="45" t="s">
        <v>365</v>
      </c>
    </row>
    <row r="129" ht="15.0" customHeight="1">
      <c r="B129" s="44" t="s">
        <v>367</v>
      </c>
      <c r="C129" s="45" t="s">
        <v>369</v>
      </c>
    </row>
    <row r="130" ht="15.0" customHeight="1">
      <c r="B130" s="44" t="s">
        <v>371</v>
      </c>
      <c r="C130" s="45" t="s">
        <v>373</v>
      </c>
    </row>
    <row r="131" ht="15.0" customHeight="1">
      <c r="B131" s="44" t="s">
        <v>375</v>
      </c>
      <c r="C131" s="45" t="s">
        <v>377</v>
      </c>
    </row>
    <row r="132" ht="15.0" customHeight="1">
      <c r="B132" s="44" t="s">
        <v>379</v>
      </c>
      <c r="C132" s="45" t="s">
        <v>381</v>
      </c>
    </row>
    <row r="133" ht="15.0" customHeight="1">
      <c r="B133" s="44" t="s">
        <v>329</v>
      </c>
      <c r="C133" s="45" t="s">
        <v>331</v>
      </c>
    </row>
    <row r="134" ht="15.75" customHeight="1">
      <c r="B134" s="13"/>
      <c r="C134" s="13"/>
      <c r="D134" s="13"/>
      <c r="E134" s="13"/>
    </row>
    <row r="135" ht="15.0" customHeight="1">
      <c r="B135" s="28" t="s">
        <v>394</v>
      </c>
      <c r="C135" s="2"/>
      <c r="D135" s="2"/>
      <c r="E135" s="4"/>
    </row>
    <row r="136" ht="15.0" customHeight="1">
      <c r="B136" s="44" t="s">
        <v>399</v>
      </c>
      <c r="C136" s="45" t="s">
        <v>400</v>
      </c>
    </row>
    <row r="137" ht="15.0" customHeight="1">
      <c r="B137" s="44" t="s">
        <v>402</v>
      </c>
      <c r="C137" s="45" t="s">
        <v>403</v>
      </c>
    </row>
    <row r="138" ht="15.0" customHeight="1">
      <c r="B138" s="44" t="s">
        <v>405</v>
      </c>
      <c r="C138" s="45" t="s">
        <v>407</v>
      </c>
    </row>
    <row r="139" ht="15.0" customHeight="1">
      <c r="B139" s="44" t="s">
        <v>408</v>
      </c>
      <c r="C139" s="45" t="s">
        <v>410</v>
      </c>
    </row>
    <row r="140" ht="15.0" customHeight="1">
      <c r="B140" s="44" t="s">
        <v>412</v>
      </c>
      <c r="C140" s="45" t="s">
        <v>413</v>
      </c>
    </row>
    <row r="141" ht="15.75" customHeight="1">
      <c r="B141" s="13"/>
      <c r="C141" s="13"/>
      <c r="D141" s="13"/>
      <c r="E141" s="13"/>
    </row>
    <row r="142" ht="15.0" customHeight="1">
      <c r="B142" s="28" t="s">
        <v>420</v>
      </c>
      <c r="C142" s="2"/>
      <c r="D142" s="2"/>
      <c r="E142" s="4"/>
    </row>
    <row r="143" ht="15.0" customHeight="1">
      <c r="B143" s="44" t="s">
        <v>427</v>
      </c>
      <c r="C143" s="45" t="s">
        <v>431</v>
      </c>
    </row>
    <row r="144" ht="15.0" customHeight="1">
      <c r="B144" s="44" t="s">
        <v>433</v>
      </c>
      <c r="C144" s="45" t="s">
        <v>435</v>
      </c>
    </row>
    <row r="145" ht="15.0" customHeight="1">
      <c r="B145" s="44" t="s">
        <v>437</v>
      </c>
      <c r="C145" s="45" t="s">
        <v>439</v>
      </c>
    </row>
    <row r="146" ht="15.0" customHeight="1">
      <c r="B146" s="44" t="s">
        <v>445</v>
      </c>
      <c r="C146" s="45" t="s">
        <v>447</v>
      </c>
    </row>
    <row r="147" ht="15.0" customHeight="1">
      <c r="B147" s="44" t="s">
        <v>449</v>
      </c>
      <c r="C147" s="45" t="s">
        <v>451</v>
      </c>
    </row>
    <row r="148" ht="15.75" customHeight="1">
      <c r="B148" s="13"/>
      <c r="C148" s="13"/>
      <c r="D148" s="13"/>
      <c r="E148" s="13"/>
    </row>
    <row r="149" ht="15.0" customHeight="1">
      <c r="B149" s="28" t="s">
        <v>455</v>
      </c>
      <c r="C149" s="2"/>
      <c r="D149" s="2"/>
      <c r="E149" s="4"/>
    </row>
    <row r="150" ht="15.0" customHeight="1">
      <c r="B150" s="44" t="s">
        <v>462</v>
      </c>
      <c r="C150" s="45" t="s">
        <v>464</v>
      </c>
    </row>
    <row r="151" ht="15.0" customHeight="1">
      <c r="B151" s="44" t="s">
        <v>466</v>
      </c>
      <c r="C151" s="45" t="s">
        <v>468</v>
      </c>
    </row>
    <row r="152" ht="15.0" customHeight="1">
      <c r="B152" s="30" t="s">
        <v>471</v>
      </c>
    </row>
    <row r="153" ht="15.0" customHeight="1">
      <c r="B153" s="44" t="s">
        <v>475</v>
      </c>
      <c r="C153" s="45" t="s">
        <v>476</v>
      </c>
    </row>
    <row r="154" ht="15.0" customHeight="1">
      <c r="B154" s="44" t="s">
        <v>478</v>
      </c>
      <c r="C154" s="45" t="s">
        <v>480</v>
      </c>
    </row>
    <row r="155" ht="15.0" customHeight="1">
      <c r="B155" s="44" t="s">
        <v>482</v>
      </c>
      <c r="C155" s="45" t="s">
        <v>485</v>
      </c>
    </row>
    <row r="156" ht="15.75" customHeight="1">
      <c r="B156" s="13"/>
      <c r="C156" s="13"/>
      <c r="D156" s="13"/>
      <c r="E156" s="13"/>
    </row>
    <row r="157" ht="15.0" customHeight="1">
      <c r="B157" s="28" t="s">
        <v>490</v>
      </c>
      <c r="C157" s="2"/>
      <c r="D157" s="2"/>
      <c r="E157" s="4"/>
    </row>
    <row r="158" ht="15.0" customHeight="1">
      <c r="B158" s="30" t="s">
        <v>102</v>
      </c>
      <c r="C158" s="18" t="s">
        <v>497</v>
      </c>
    </row>
    <row r="159" ht="15.0" customHeight="1">
      <c r="B159" s="30" t="s">
        <v>499</v>
      </c>
      <c r="C159" s="40" t="s">
        <v>500</v>
      </c>
      <c r="D159" s="42"/>
      <c r="E159" s="43"/>
    </row>
    <row r="160" ht="15.0" customHeight="1">
      <c r="B160" s="44" t="s">
        <v>504</v>
      </c>
      <c r="C160" s="45" t="s">
        <v>506</v>
      </c>
    </row>
    <row r="161" ht="15.0" customHeight="1">
      <c r="B161" s="44" t="s">
        <v>510</v>
      </c>
      <c r="C161" s="45" t="s">
        <v>511</v>
      </c>
    </row>
    <row r="162" ht="15.0" customHeight="1">
      <c r="B162" s="44" t="s">
        <v>513</v>
      </c>
      <c r="C162" s="45" t="s">
        <v>514</v>
      </c>
    </row>
    <row r="163" ht="15.0" customHeight="1">
      <c r="B163" s="44" t="s">
        <v>518</v>
      </c>
      <c r="C163" s="45" t="s">
        <v>520</v>
      </c>
    </row>
    <row r="164" ht="15.0" customHeight="1">
      <c r="B164" s="44" t="s">
        <v>524</v>
      </c>
      <c r="C164" s="45" t="s">
        <v>526</v>
      </c>
    </row>
    <row r="165" ht="15.0" customHeight="1">
      <c r="B165" s="40" t="s">
        <v>531</v>
      </c>
      <c r="C165" s="42"/>
      <c r="D165" s="42"/>
      <c r="E165" s="43"/>
    </row>
    <row r="166" ht="15.75" customHeight="1">
      <c r="B166" s="13"/>
      <c r="C166" s="13"/>
      <c r="D166" s="13"/>
      <c r="E166" s="13"/>
    </row>
    <row r="167" ht="15.0" customHeight="1">
      <c r="B167" s="28" t="s">
        <v>538</v>
      </c>
      <c r="C167" s="2"/>
      <c r="D167" s="2"/>
      <c r="E167" s="4"/>
    </row>
    <row r="168" ht="15.0" customHeight="1">
      <c r="B168" s="30" t="s">
        <v>102</v>
      </c>
      <c r="C168" s="18" t="s">
        <v>544</v>
      </c>
    </row>
    <row r="169" ht="48.75" customHeight="1">
      <c r="B169" s="30" t="s">
        <v>549</v>
      </c>
      <c r="C169" s="40" t="s">
        <v>552</v>
      </c>
      <c r="D169" s="42"/>
      <c r="E169" s="43"/>
    </row>
    <row r="170" ht="15.0" customHeight="1">
      <c r="B170" s="30" t="s">
        <v>499</v>
      </c>
      <c r="C170" s="18" t="s">
        <v>560</v>
      </c>
    </row>
    <row r="171" ht="15.0" customHeight="1">
      <c r="B171" s="44" t="s">
        <v>563</v>
      </c>
      <c r="C171" s="45" t="s">
        <v>566</v>
      </c>
    </row>
    <row r="172" ht="15.0" customHeight="1">
      <c r="B172" s="44" t="s">
        <v>570</v>
      </c>
      <c r="C172" s="45" t="s">
        <v>571</v>
      </c>
    </row>
    <row r="173" ht="15.0" customHeight="1">
      <c r="B173" s="44" t="s">
        <v>573</v>
      </c>
      <c r="C173" s="45" t="s">
        <v>576</v>
      </c>
    </row>
    <row r="174" ht="15.0" customHeight="1">
      <c r="B174" s="44" t="s">
        <v>578</v>
      </c>
      <c r="C174" s="45" t="s">
        <v>579</v>
      </c>
    </row>
    <row r="175" ht="15.75" customHeight="1">
      <c r="B175" s="13"/>
      <c r="C175" s="13"/>
      <c r="D175" s="13"/>
      <c r="E175" s="13"/>
    </row>
    <row r="176" ht="15.0" customHeight="1">
      <c r="B176" s="30" t="s">
        <v>585</v>
      </c>
      <c r="C176" s="40" t="s">
        <v>587</v>
      </c>
      <c r="D176" s="42"/>
      <c r="E176" s="43"/>
    </row>
    <row r="177" ht="15.75" customHeight="1"/>
    <row r="178" ht="15.75" customHeight="1"/>
    <row r="179" ht="27.75" customHeight="1">
      <c r="B179" s="26" t="s">
        <v>590</v>
      </c>
      <c r="C179" s="2"/>
      <c r="D179" s="2"/>
      <c r="E179" s="4"/>
    </row>
    <row r="180" ht="15.75" customHeight="1">
      <c r="B180" s="13"/>
      <c r="C180" s="13"/>
      <c r="D180" s="13"/>
      <c r="E180" s="13"/>
    </row>
    <row r="181" ht="15.0" customHeight="1">
      <c r="B181" s="40" t="s">
        <v>596</v>
      </c>
      <c r="C181" s="42"/>
      <c r="D181" s="42"/>
      <c r="E181" s="43"/>
    </row>
    <row r="182" ht="15.75" customHeight="1">
      <c r="B182" s="13"/>
      <c r="C182" s="13"/>
      <c r="D182" s="13"/>
      <c r="E182" s="13"/>
    </row>
    <row r="183" ht="15.0" customHeight="1">
      <c r="B183" s="28" t="s">
        <v>602</v>
      </c>
      <c r="C183" s="2"/>
      <c r="D183" s="2"/>
      <c r="E183" s="4"/>
    </row>
    <row r="184" ht="15.0" customHeight="1">
      <c r="B184" s="30" t="s">
        <v>606</v>
      </c>
      <c r="C184" s="18" t="s">
        <v>607</v>
      </c>
    </row>
    <row r="185" ht="15.0" customHeight="1">
      <c r="B185" s="30" t="s">
        <v>609</v>
      </c>
      <c r="C185" s="40" t="s">
        <v>612</v>
      </c>
      <c r="D185" s="42"/>
      <c r="E185" s="43"/>
    </row>
    <row r="186" ht="15.0" customHeight="1">
      <c r="B186" s="44" t="s">
        <v>616</v>
      </c>
      <c r="C186" s="45" t="s">
        <v>617</v>
      </c>
    </row>
    <row r="187" ht="15.0" customHeight="1">
      <c r="B187" s="44" t="s">
        <v>620</v>
      </c>
      <c r="C187" s="45" t="s">
        <v>621</v>
      </c>
    </row>
    <row r="188" ht="15.0" customHeight="1">
      <c r="B188" s="44" t="s">
        <v>624</v>
      </c>
      <c r="C188" s="45" t="s">
        <v>626</v>
      </c>
    </row>
    <row r="189" ht="15.0" customHeight="1">
      <c r="B189" s="44" t="s">
        <v>630</v>
      </c>
      <c r="C189" s="45" t="s">
        <v>633</v>
      </c>
    </row>
    <row r="190" ht="15.0" customHeight="1">
      <c r="B190" s="44" t="s">
        <v>230</v>
      </c>
      <c r="C190" s="45" t="s">
        <v>637</v>
      </c>
    </row>
    <row r="191" ht="15.0" customHeight="1">
      <c r="B191" s="44" t="s">
        <v>639</v>
      </c>
      <c r="C191" s="45" t="s">
        <v>641</v>
      </c>
    </row>
    <row r="192" ht="15.0" customHeight="1">
      <c r="B192" s="44" t="s">
        <v>643</v>
      </c>
      <c r="C192" s="45" t="s">
        <v>645</v>
      </c>
    </row>
    <row r="193" ht="15.0" customHeight="1">
      <c r="B193" s="46" t="s">
        <v>647</v>
      </c>
    </row>
    <row r="194" ht="15.75" customHeight="1">
      <c r="B194" s="13"/>
      <c r="C194" s="13"/>
      <c r="D194" s="13"/>
      <c r="E194" s="13"/>
    </row>
    <row r="195" ht="15.0" customHeight="1">
      <c r="B195" s="30" t="s">
        <v>651</v>
      </c>
      <c r="C195" s="40" t="s">
        <v>653</v>
      </c>
      <c r="D195" s="42"/>
      <c r="E195" s="43"/>
    </row>
    <row r="196" ht="117.0" customHeight="1">
      <c r="B196" s="44" t="s">
        <v>657</v>
      </c>
      <c r="C196" s="45" t="s">
        <v>659</v>
      </c>
    </row>
    <row r="197" ht="14.25" customHeight="1">
      <c r="B197" s="44" t="s">
        <v>661</v>
      </c>
      <c r="C197" s="45" t="s">
        <v>663</v>
      </c>
    </row>
    <row r="198" ht="15.0" customHeight="1">
      <c r="B198" s="46" t="s">
        <v>666</v>
      </c>
    </row>
    <row r="199" ht="15.75" customHeight="1">
      <c r="B199" s="13"/>
      <c r="C199" s="13"/>
      <c r="D199" s="13"/>
      <c r="E199" s="13"/>
    </row>
    <row r="200" ht="15.0" customHeight="1">
      <c r="B200" s="28" t="s">
        <v>671</v>
      </c>
      <c r="C200" s="2"/>
      <c r="D200" s="2"/>
      <c r="E200" s="4"/>
    </row>
    <row r="201" ht="102.0" customHeight="1">
      <c r="B201" s="40" t="s">
        <v>676</v>
      </c>
      <c r="C201" s="42"/>
      <c r="D201" s="42"/>
      <c r="E201" s="43"/>
    </row>
    <row r="202" ht="15.75" customHeight="1">
      <c r="B202" s="13"/>
      <c r="C202" s="13"/>
      <c r="D202" s="13"/>
      <c r="E202" s="13"/>
    </row>
    <row r="203" ht="15.75" customHeight="1">
      <c r="B203" s="13"/>
      <c r="C203" s="13"/>
      <c r="D203" s="13"/>
      <c r="E203" s="13"/>
    </row>
    <row r="204" ht="15.0" customHeight="1">
      <c r="B204" s="28" t="s">
        <v>683</v>
      </c>
      <c r="C204" s="2"/>
      <c r="D204" s="2"/>
      <c r="E204" s="4"/>
    </row>
    <row r="205" ht="46.5" customHeight="1">
      <c r="B205" s="18" t="s">
        <v>688</v>
      </c>
    </row>
    <row r="206" ht="15.75" customHeight="1">
      <c r="B206" s="13"/>
      <c r="C206" s="13"/>
      <c r="D206" s="13"/>
      <c r="E206" s="13"/>
    </row>
    <row r="207" ht="15.0" customHeight="1">
      <c r="B207" s="28" t="s">
        <v>690</v>
      </c>
      <c r="C207" s="2"/>
      <c r="D207" s="2"/>
      <c r="E207" s="4"/>
    </row>
    <row r="208" ht="15.0" customHeight="1">
      <c r="B208" s="30" t="s">
        <v>694</v>
      </c>
      <c r="C208" s="18" t="s">
        <v>696</v>
      </c>
    </row>
    <row r="209" ht="15.0" customHeight="1">
      <c r="B209" s="30" t="s">
        <v>698</v>
      </c>
      <c r="C209" s="18" t="s">
        <v>700</v>
      </c>
    </row>
    <row r="210" ht="15.0" customHeight="1">
      <c r="B210" s="30" t="s">
        <v>702</v>
      </c>
      <c r="C210" s="18" t="s">
        <v>704</v>
      </c>
    </row>
    <row r="211" ht="15.75" customHeight="1">
      <c r="B211" s="13"/>
      <c r="C211" s="13"/>
      <c r="D211" s="13"/>
      <c r="E211" s="13"/>
    </row>
    <row r="212" ht="15.0" customHeight="1">
      <c r="B212" s="28" t="s">
        <v>709</v>
      </c>
      <c r="C212" s="2"/>
      <c r="D212" s="2"/>
      <c r="E212" s="4"/>
    </row>
    <row r="213" ht="23.25" customHeight="1">
      <c r="B213" s="44" t="s">
        <v>716</v>
      </c>
      <c r="C213" s="45" t="s">
        <v>719</v>
      </c>
    </row>
    <row r="214" ht="15.0" customHeight="1">
      <c r="B214" s="44" t="s">
        <v>721</v>
      </c>
      <c r="C214" s="45" t="s">
        <v>724</v>
      </c>
    </row>
    <row r="215" ht="15.0" customHeight="1">
      <c r="B215" s="44" t="s">
        <v>728</v>
      </c>
      <c r="C215" s="45" t="s">
        <v>731</v>
      </c>
    </row>
    <row r="216" ht="15.0" customHeight="1">
      <c r="B216" s="44" t="s">
        <v>733</v>
      </c>
      <c r="C216" s="45" t="s">
        <v>736</v>
      </c>
    </row>
    <row r="217" ht="15.0" customHeight="1">
      <c r="B217" s="46" t="s">
        <v>740</v>
      </c>
    </row>
    <row r="218" ht="15.75" customHeight="1">
      <c r="B218" s="13"/>
      <c r="C218" s="13"/>
      <c r="D218" s="13"/>
      <c r="E218" s="13"/>
    </row>
    <row r="219" ht="15.0" customHeight="1">
      <c r="B219" s="28" t="s">
        <v>747</v>
      </c>
      <c r="C219" s="2"/>
      <c r="D219" s="2"/>
      <c r="E219" s="4"/>
    </row>
    <row r="220" ht="102.0" customHeight="1">
      <c r="B220" s="40" t="s">
        <v>753</v>
      </c>
      <c r="C220" s="42"/>
      <c r="D220" s="42"/>
      <c r="E220" s="43"/>
    </row>
    <row r="221" ht="15.75" customHeight="1">
      <c r="B221" s="13"/>
      <c r="C221" s="13"/>
      <c r="D221" s="13"/>
      <c r="E221" s="13"/>
    </row>
    <row r="222" ht="15.75" customHeight="1">
      <c r="B222" s="13"/>
      <c r="C222" s="13"/>
      <c r="D222" s="13"/>
      <c r="E222" s="13"/>
    </row>
    <row r="223" ht="27.75" customHeight="1">
      <c r="B223" s="26" t="s">
        <v>761</v>
      </c>
      <c r="C223" s="2"/>
      <c r="D223" s="2"/>
      <c r="E223" s="4"/>
    </row>
    <row r="224" ht="15.75" customHeight="1"/>
    <row r="225" ht="15.0" customHeight="1">
      <c r="B225" s="46" t="s">
        <v>763</v>
      </c>
    </row>
    <row r="226" ht="15.75" customHeight="1">
      <c r="B226" s="13"/>
      <c r="C226" s="13"/>
      <c r="D226" s="13"/>
      <c r="E226" s="13"/>
    </row>
    <row r="227" ht="15.0" customHeight="1">
      <c r="B227" s="28" t="s">
        <v>768</v>
      </c>
      <c r="C227" s="2"/>
      <c r="D227" s="2"/>
      <c r="E227" s="4"/>
    </row>
    <row r="228" ht="15.0" customHeight="1">
      <c r="B228" s="44" t="s">
        <v>770</v>
      </c>
      <c r="C228" s="45" t="s">
        <v>771</v>
      </c>
    </row>
    <row r="229" ht="15.0" customHeight="1">
      <c r="B229" s="44" t="s">
        <v>772</v>
      </c>
      <c r="C229" s="45" t="s">
        <v>773</v>
      </c>
    </row>
    <row r="230" ht="15.0" customHeight="1">
      <c r="B230" s="44" t="s">
        <v>775</v>
      </c>
      <c r="C230" s="45" t="s">
        <v>777</v>
      </c>
    </row>
    <row r="231" ht="15.0" customHeight="1">
      <c r="B231" s="44" t="s">
        <v>779</v>
      </c>
      <c r="C231" s="45" t="s">
        <v>780</v>
      </c>
    </row>
    <row r="232" ht="15.0" customHeight="1">
      <c r="B232" s="44" t="s">
        <v>782</v>
      </c>
      <c r="C232" s="45" t="s">
        <v>784</v>
      </c>
    </row>
    <row r="233" ht="15.75" customHeight="1">
      <c r="B233" s="13"/>
      <c r="C233" s="13"/>
      <c r="D233" s="13"/>
      <c r="E233" s="13"/>
    </row>
    <row r="234" ht="15.0" customHeight="1">
      <c r="B234" s="28" t="s">
        <v>787</v>
      </c>
      <c r="C234" s="2"/>
      <c r="D234" s="2"/>
      <c r="E234" s="4"/>
    </row>
    <row r="235" ht="23.25" customHeight="1">
      <c r="B235" s="40" t="s">
        <v>791</v>
      </c>
      <c r="C235" s="42"/>
      <c r="D235" s="42"/>
      <c r="E235" s="43"/>
    </row>
    <row r="236" ht="15.75" customHeight="1">
      <c r="B236" s="13"/>
      <c r="C236" s="13"/>
      <c r="D236" s="13"/>
      <c r="E236" s="13"/>
    </row>
    <row r="237" ht="15.0" customHeight="1">
      <c r="B237" s="28" t="s">
        <v>797</v>
      </c>
      <c r="C237" s="2"/>
      <c r="D237" s="2"/>
      <c r="E237" s="4"/>
    </row>
    <row r="238" ht="15.0" customHeight="1">
      <c r="B238" s="44" t="s">
        <v>799</v>
      </c>
      <c r="C238" s="45" t="s">
        <v>801</v>
      </c>
    </row>
    <row r="239" ht="15.0" customHeight="1">
      <c r="B239" s="61" t="s">
        <v>806</v>
      </c>
      <c r="C239" s="45" t="s">
        <v>809</v>
      </c>
    </row>
    <row r="240" ht="15.75" customHeight="1">
      <c r="B240" s="13"/>
      <c r="C240" s="13" t="s">
        <v>811</v>
      </c>
      <c r="D240" s="13"/>
      <c r="E240" s="13"/>
    </row>
    <row r="241" ht="15.0" customHeight="1">
      <c r="B241" s="28" t="s">
        <v>814</v>
      </c>
      <c r="C241" s="2"/>
      <c r="D241" s="2"/>
      <c r="E241" s="4"/>
    </row>
    <row r="242" ht="15.0" customHeight="1">
      <c r="B242" s="46" t="s">
        <v>819</v>
      </c>
    </row>
    <row r="243" ht="15.0" customHeight="1">
      <c r="B243" s="44" t="s">
        <v>822</v>
      </c>
      <c r="C243" s="45" t="s">
        <v>823</v>
      </c>
    </row>
    <row r="244" ht="15.0" customHeight="1">
      <c r="B244" s="44" t="s">
        <v>824</v>
      </c>
      <c r="C244" s="45" t="s">
        <v>827</v>
      </c>
    </row>
    <row r="245" ht="23.25" customHeight="1">
      <c r="B245" s="44" t="s">
        <v>828</v>
      </c>
      <c r="C245" s="45" t="s">
        <v>831</v>
      </c>
    </row>
    <row r="246" ht="15.0" customHeight="1">
      <c r="B246" s="44" t="s">
        <v>833</v>
      </c>
      <c r="C246" s="45" t="s">
        <v>834</v>
      </c>
    </row>
    <row r="247" ht="15.0" customHeight="1">
      <c r="B247" s="30" t="s">
        <v>836</v>
      </c>
      <c r="C247" s="46" t="s">
        <v>838</v>
      </c>
    </row>
    <row r="248" ht="15.0" customHeight="1">
      <c r="B248" s="30" t="s">
        <v>845</v>
      </c>
      <c r="C248" s="46" t="s">
        <v>846</v>
      </c>
    </row>
    <row r="249" ht="15.0" customHeight="1">
      <c r="B249" s="44" t="s">
        <v>847</v>
      </c>
      <c r="C249" s="45" t="s">
        <v>848</v>
      </c>
    </row>
    <row r="250" ht="15.75" customHeight="1">
      <c r="B250" s="13"/>
      <c r="C250" s="13"/>
      <c r="D250" s="13"/>
      <c r="E250" s="13"/>
    </row>
    <row r="251" ht="15.0" customHeight="1">
      <c r="B251" s="28" t="s">
        <v>852</v>
      </c>
      <c r="C251" s="2"/>
      <c r="D251" s="2"/>
      <c r="E251" s="4"/>
    </row>
    <row r="252" ht="15.0" customHeight="1">
      <c r="B252" s="44" t="s">
        <v>854</v>
      </c>
      <c r="C252" s="45" t="s">
        <v>855</v>
      </c>
    </row>
    <row r="253" ht="15.0" customHeight="1">
      <c r="B253" s="44" t="s">
        <v>859</v>
      </c>
      <c r="C253" s="45" t="s">
        <v>861</v>
      </c>
    </row>
    <row r="254" ht="15.0" customHeight="1">
      <c r="B254" s="46" t="s">
        <v>864</v>
      </c>
    </row>
    <row r="255" ht="15.0" customHeight="1">
      <c r="B255" s="46" t="s">
        <v>865</v>
      </c>
    </row>
    <row r="256" ht="15.75" customHeight="1"/>
    <row r="257" ht="15.0" customHeight="1">
      <c r="B257" s="28" t="s">
        <v>866</v>
      </c>
      <c r="C257" s="2"/>
      <c r="D257" s="2"/>
      <c r="E257" s="4"/>
    </row>
    <row r="258" ht="15.75" customHeight="1">
      <c r="B258" s="13"/>
      <c r="C258" s="13"/>
      <c r="D258" s="13"/>
      <c r="E258" s="13"/>
    </row>
    <row r="259" ht="27.75" customHeight="1">
      <c r="B259" s="26" t="s">
        <v>869</v>
      </c>
      <c r="C259" s="2"/>
      <c r="D259" s="2"/>
      <c r="E259" s="4"/>
    </row>
    <row r="260" ht="15.75" customHeight="1">
      <c r="B260" s="13"/>
      <c r="C260" s="13"/>
      <c r="D260" s="13"/>
      <c r="E260" s="13"/>
    </row>
    <row r="261" ht="15.0" customHeight="1">
      <c r="B261" s="28" t="s">
        <v>874</v>
      </c>
      <c r="C261" s="2"/>
      <c r="D261" s="2"/>
      <c r="E261" s="4"/>
    </row>
    <row r="262" ht="34.5" customHeight="1">
      <c r="B262" s="30" t="s">
        <v>876</v>
      </c>
      <c r="C262" s="18" t="s">
        <v>878</v>
      </c>
    </row>
    <row r="263" ht="66.75" customHeight="1">
      <c r="B263" s="30" t="s">
        <v>880</v>
      </c>
      <c r="C263" s="18" t="s">
        <v>882</v>
      </c>
    </row>
    <row r="264" ht="15.75" customHeight="1">
      <c r="B264" s="13"/>
      <c r="C264" s="13"/>
      <c r="D264" s="13"/>
      <c r="E264" s="13"/>
    </row>
    <row r="265" ht="15.0" customHeight="1">
      <c r="B265" s="28" t="s">
        <v>888</v>
      </c>
      <c r="C265" s="2"/>
      <c r="D265" s="2"/>
      <c r="E265" s="4"/>
    </row>
    <row r="266" ht="54.0" customHeight="1">
      <c r="B266" s="30" t="s">
        <v>876</v>
      </c>
      <c r="C266" s="18" t="s">
        <v>892</v>
      </c>
    </row>
    <row r="267" ht="59.25" customHeight="1">
      <c r="B267" s="30" t="s">
        <v>896</v>
      </c>
      <c r="C267" s="18" t="s">
        <v>897</v>
      </c>
    </row>
    <row r="268" ht="60.75" customHeight="1">
      <c r="B268" s="30" t="s">
        <v>900</v>
      </c>
      <c r="C268" s="40" t="s">
        <v>901</v>
      </c>
      <c r="D268" s="42"/>
      <c r="E268" s="43"/>
    </row>
    <row r="269" ht="102.0" customHeight="1">
      <c r="B269" s="30" t="s">
        <v>903</v>
      </c>
      <c r="C269" s="40" t="s">
        <v>904</v>
      </c>
      <c r="D269" s="42"/>
      <c r="E269" s="43"/>
    </row>
    <row r="270" ht="15.75" customHeight="1">
      <c r="B270" s="13"/>
      <c r="C270" s="13"/>
      <c r="D270" s="13"/>
      <c r="E270" s="13"/>
    </row>
    <row r="271" ht="27.75" customHeight="1">
      <c r="B271" s="26" t="s">
        <v>909</v>
      </c>
      <c r="C271" s="2"/>
      <c r="D271" s="2"/>
      <c r="E271" s="4"/>
    </row>
    <row r="272" ht="15.75" customHeight="1"/>
    <row r="273" ht="15.0" customHeight="1">
      <c r="B273" s="28" t="s">
        <v>913</v>
      </c>
      <c r="C273" s="2"/>
      <c r="D273" s="2"/>
      <c r="E273" s="4"/>
    </row>
    <row r="274" ht="15.0" customHeight="1">
      <c r="B274" s="44" t="s">
        <v>917</v>
      </c>
      <c r="C274" s="45" t="s">
        <v>918</v>
      </c>
    </row>
    <row r="275" ht="15.0" customHeight="1">
      <c r="B275" s="44" t="s">
        <v>921</v>
      </c>
      <c r="C275" s="45" t="s">
        <v>922</v>
      </c>
    </row>
    <row r="276" ht="15.0" customHeight="1">
      <c r="B276" s="44" t="s">
        <v>924</v>
      </c>
      <c r="C276" s="45" t="s">
        <v>928</v>
      </c>
    </row>
    <row r="277" ht="15.75" customHeight="1">
      <c r="B277" s="13"/>
      <c r="C277" s="13"/>
      <c r="D277" s="13"/>
      <c r="E277" s="13"/>
    </row>
    <row r="278" ht="15.0" customHeight="1">
      <c r="B278" s="28" t="s">
        <v>932</v>
      </c>
      <c r="C278" s="2"/>
      <c r="D278" s="2"/>
      <c r="E278" s="4"/>
    </row>
    <row r="279" ht="15.0" customHeight="1">
      <c r="B279" s="44" t="s">
        <v>935</v>
      </c>
      <c r="C279" s="44" t="s">
        <v>937</v>
      </c>
      <c r="D279" s="44" t="s">
        <v>939</v>
      </c>
      <c r="E279" s="44" t="s">
        <v>940</v>
      </c>
    </row>
    <row r="280" ht="15.0" customHeight="1">
      <c r="B280" s="44" t="s">
        <v>943</v>
      </c>
      <c r="C280" s="45" t="s">
        <v>944</v>
      </c>
      <c r="D280" s="45" t="s">
        <v>946</v>
      </c>
      <c r="E280" s="45" t="s">
        <v>947</v>
      </c>
    </row>
    <row r="281" ht="15.0" customHeight="1">
      <c r="B281" s="44" t="s">
        <v>949</v>
      </c>
      <c r="C281" s="45" t="s">
        <v>951</v>
      </c>
      <c r="D281" s="45" t="s">
        <v>953</v>
      </c>
      <c r="E281" s="45" t="s">
        <v>955</v>
      </c>
    </row>
    <row r="282" ht="15.0" customHeight="1">
      <c r="B282" s="44" t="s">
        <v>957</v>
      </c>
      <c r="C282" s="45" t="s">
        <v>958</v>
      </c>
      <c r="D282" s="45" t="s">
        <v>960</v>
      </c>
      <c r="E282" s="45" t="s">
        <v>955</v>
      </c>
    </row>
    <row r="283" ht="15.0" customHeight="1">
      <c r="B283" s="44" t="s">
        <v>964</v>
      </c>
      <c r="C283" s="45" t="s">
        <v>965</v>
      </c>
      <c r="D283" s="45" t="s">
        <v>967</v>
      </c>
      <c r="E283" s="45" t="s">
        <v>968</v>
      </c>
    </row>
    <row r="284" ht="15.75" customHeight="1">
      <c r="B284" s="13"/>
      <c r="C284" s="13"/>
      <c r="D284" s="13"/>
      <c r="E284" s="13"/>
    </row>
    <row r="285" ht="15.0" customHeight="1">
      <c r="B285" s="46" t="s">
        <v>972</v>
      </c>
    </row>
    <row r="286" ht="15.75" customHeight="1">
      <c r="B286" s="13"/>
      <c r="C286" s="13"/>
      <c r="D286" s="13"/>
      <c r="E286" s="13"/>
    </row>
    <row r="287" ht="15.0" customHeight="1">
      <c r="B287" s="28" t="s">
        <v>975</v>
      </c>
      <c r="C287" s="2"/>
      <c r="D287" s="2"/>
      <c r="E287" s="4"/>
    </row>
    <row r="288" ht="15.0" customHeight="1">
      <c r="B288" s="44" t="s">
        <v>978</v>
      </c>
      <c r="C288" s="45" t="s">
        <v>979</v>
      </c>
    </row>
    <row r="289" ht="15.0" customHeight="1">
      <c r="B289" s="44" t="s">
        <v>982</v>
      </c>
      <c r="C289" s="45" t="s">
        <v>984</v>
      </c>
    </row>
    <row r="290" ht="15.0" customHeight="1">
      <c r="B290" s="44" t="s">
        <v>986</v>
      </c>
      <c r="C290" s="45" t="s">
        <v>987</v>
      </c>
    </row>
    <row r="291" ht="15.0" customHeight="1">
      <c r="B291" s="44" t="s">
        <v>989</v>
      </c>
      <c r="C291" s="45" t="s">
        <v>991</v>
      </c>
    </row>
    <row r="292" ht="15.0" customHeight="1">
      <c r="B292" s="44" t="s">
        <v>993</v>
      </c>
      <c r="C292" s="45" t="s">
        <v>995</v>
      </c>
    </row>
    <row r="293" ht="15.0" customHeight="1">
      <c r="B293" s="44" t="s">
        <v>997</v>
      </c>
      <c r="C293" s="45" t="s">
        <v>999</v>
      </c>
    </row>
    <row r="294" ht="15.0" customHeight="1">
      <c r="B294" s="44" t="s">
        <v>1003</v>
      </c>
      <c r="C294" s="45" t="s">
        <v>1005</v>
      </c>
    </row>
    <row r="295" ht="23.25" customHeight="1">
      <c r="B295" s="40" t="s">
        <v>1008</v>
      </c>
      <c r="C295" s="42"/>
      <c r="D295" s="42"/>
      <c r="E295" s="43"/>
    </row>
    <row r="296" ht="15.75" customHeight="1">
      <c r="B296" s="13"/>
      <c r="C296" s="13"/>
      <c r="D296" s="13"/>
      <c r="E296" s="13"/>
    </row>
    <row r="297" ht="15.75" customHeight="1">
      <c r="B297" s="13"/>
      <c r="C297" s="13"/>
      <c r="D297" s="13"/>
      <c r="E297" s="13"/>
    </row>
    <row r="298" ht="17.25" customHeight="1">
      <c r="B298" s="16" t="s">
        <v>1025</v>
      </c>
      <c r="C298" s="2"/>
      <c r="D298" s="2"/>
      <c r="E298" s="4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7">
    <mergeCell ref="C252:E252"/>
    <mergeCell ref="C253:E253"/>
    <mergeCell ref="B254:E254"/>
    <mergeCell ref="B255:E255"/>
    <mergeCell ref="B257:E257"/>
    <mergeCell ref="B259:E259"/>
    <mergeCell ref="B261:E261"/>
    <mergeCell ref="C262:E262"/>
    <mergeCell ref="C263:E263"/>
    <mergeCell ref="B265:E265"/>
    <mergeCell ref="C266:E266"/>
    <mergeCell ref="C267:E267"/>
    <mergeCell ref="C268:E268"/>
    <mergeCell ref="C269:E269"/>
    <mergeCell ref="B179:E179"/>
    <mergeCell ref="B181:E181"/>
    <mergeCell ref="B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B193:E193"/>
    <mergeCell ref="C195:E195"/>
    <mergeCell ref="C196:E196"/>
    <mergeCell ref="C197:E197"/>
    <mergeCell ref="B198:E198"/>
    <mergeCell ref="B200:E200"/>
    <mergeCell ref="B201:E201"/>
    <mergeCell ref="B204:E204"/>
    <mergeCell ref="B205:E205"/>
    <mergeCell ref="B207:E207"/>
    <mergeCell ref="C208:E208"/>
    <mergeCell ref="C209:E209"/>
    <mergeCell ref="C210:E210"/>
    <mergeCell ref="B212:E212"/>
    <mergeCell ref="C213:E213"/>
    <mergeCell ref="C214:E214"/>
    <mergeCell ref="C215:E215"/>
    <mergeCell ref="C216:E216"/>
    <mergeCell ref="B217:E217"/>
    <mergeCell ref="B219:E219"/>
    <mergeCell ref="B220:E220"/>
    <mergeCell ref="B223:E223"/>
    <mergeCell ref="B225:E225"/>
    <mergeCell ref="B227:E227"/>
    <mergeCell ref="C228:E228"/>
    <mergeCell ref="C229:E229"/>
    <mergeCell ref="C230:E230"/>
    <mergeCell ref="C231:E231"/>
    <mergeCell ref="C232:E232"/>
    <mergeCell ref="B234:E234"/>
    <mergeCell ref="B271:E271"/>
    <mergeCell ref="B273:E273"/>
    <mergeCell ref="C274:E274"/>
    <mergeCell ref="C275:E275"/>
    <mergeCell ref="C276:E276"/>
    <mergeCell ref="B278:E278"/>
    <mergeCell ref="B285:E285"/>
    <mergeCell ref="A1:F1"/>
    <mergeCell ref="A2:F2"/>
    <mergeCell ref="B4:E4"/>
    <mergeCell ref="B5:E8"/>
    <mergeCell ref="B10:E10"/>
    <mergeCell ref="B11:E15"/>
    <mergeCell ref="B17:E17"/>
    <mergeCell ref="B19:E19"/>
    <mergeCell ref="C20:E20"/>
    <mergeCell ref="C21:E21"/>
    <mergeCell ref="B23:E23"/>
    <mergeCell ref="C24:E24"/>
    <mergeCell ref="C25:E25"/>
    <mergeCell ref="B27:E27"/>
    <mergeCell ref="C28:E28"/>
    <mergeCell ref="C29:E29"/>
    <mergeCell ref="C30:E30"/>
    <mergeCell ref="C31:E31"/>
    <mergeCell ref="C32:E32"/>
    <mergeCell ref="B34:E34"/>
    <mergeCell ref="C35:E35"/>
    <mergeCell ref="C36:E36"/>
    <mergeCell ref="C37:E37"/>
    <mergeCell ref="C38:E38"/>
    <mergeCell ref="C39:E39"/>
    <mergeCell ref="C40:E40"/>
    <mergeCell ref="B42:E42"/>
    <mergeCell ref="C43:E43"/>
    <mergeCell ref="C44:E44"/>
    <mergeCell ref="C45:E45"/>
    <mergeCell ref="C47:E47"/>
    <mergeCell ref="C48:E48"/>
    <mergeCell ref="C49:E49"/>
    <mergeCell ref="C51:E51"/>
    <mergeCell ref="C52:E52"/>
    <mergeCell ref="C53:E53"/>
    <mergeCell ref="C54:E54"/>
    <mergeCell ref="C55:E55"/>
    <mergeCell ref="C56:E56"/>
    <mergeCell ref="C57:E57"/>
    <mergeCell ref="C58:E58"/>
    <mergeCell ref="C60:E60"/>
    <mergeCell ref="C61:E61"/>
    <mergeCell ref="C62:E62"/>
    <mergeCell ref="C63:E63"/>
    <mergeCell ref="C64:E64"/>
    <mergeCell ref="C65:E65"/>
    <mergeCell ref="C66:E66"/>
    <mergeCell ref="C68:E68"/>
    <mergeCell ref="C121:E121"/>
    <mergeCell ref="C122:E122"/>
    <mergeCell ref="C123:E123"/>
    <mergeCell ref="C124:E124"/>
    <mergeCell ref="B126:E126"/>
    <mergeCell ref="C127:E127"/>
    <mergeCell ref="C128:E128"/>
    <mergeCell ref="C129:E129"/>
    <mergeCell ref="C130:E130"/>
    <mergeCell ref="C131:E131"/>
    <mergeCell ref="C132:E132"/>
    <mergeCell ref="C133:E133"/>
    <mergeCell ref="B135:E135"/>
    <mergeCell ref="C136:E136"/>
    <mergeCell ref="C137:E137"/>
    <mergeCell ref="C138:E138"/>
    <mergeCell ref="C139:E139"/>
    <mergeCell ref="C140:E140"/>
    <mergeCell ref="B142:E142"/>
    <mergeCell ref="C143:E143"/>
    <mergeCell ref="C144:E144"/>
    <mergeCell ref="C145:E145"/>
    <mergeCell ref="C146:E146"/>
    <mergeCell ref="C147:E147"/>
    <mergeCell ref="B149:E149"/>
    <mergeCell ref="C150:E150"/>
    <mergeCell ref="C151:E151"/>
    <mergeCell ref="B152:E152"/>
    <mergeCell ref="C153:E153"/>
    <mergeCell ref="C154:E154"/>
    <mergeCell ref="C155:E155"/>
    <mergeCell ref="B157:E157"/>
    <mergeCell ref="C158:E158"/>
    <mergeCell ref="C159:E159"/>
    <mergeCell ref="C160:E160"/>
    <mergeCell ref="C161:E161"/>
    <mergeCell ref="C162:E162"/>
    <mergeCell ref="C163:E163"/>
    <mergeCell ref="C164:E164"/>
    <mergeCell ref="B165:E165"/>
    <mergeCell ref="B167:E167"/>
    <mergeCell ref="C168:E168"/>
    <mergeCell ref="B71:E71"/>
    <mergeCell ref="B73:E73"/>
    <mergeCell ref="C74:E74"/>
    <mergeCell ref="C75:E75"/>
    <mergeCell ref="C76:E76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B89:E89"/>
    <mergeCell ref="C90:E90"/>
    <mergeCell ref="C91:E91"/>
    <mergeCell ref="B93:E93"/>
    <mergeCell ref="C94:E94"/>
    <mergeCell ref="C95:E95"/>
    <mergeCell ref="B97:E97"/>
    <mergeCell ref="B98:E98"/>
    <mergeCell ref="B100:E100"/>
    <mergeCell ref="C101:E101"/>
    <mergeCell ref="C102:E102"/>
    <mergeCell ref="C103:E103"/>
    <mergeCell ref="C104:E104"/>
    <mergeCell ref="C105:E105"/>
    <mergeCell ref="C106:E106"/>
    <mergeCell ref="C107:E107"/>
    <mergeCell ref="B109:E109"/>
    <mergeCell ref="C110:E110"/>
    <mergeCell ref="C111:E111"/>
    <mergeCell ref="C112:E112"/>
    <mergeCell ref="C113:E113"/>
    <mergeCell ref="C114:E114"/>
    <mergeCell ref="C115:E115"/>
    <mergeCell ref="C116:E116"/>
    <mergeCell ref="B118:E118"/>
    <mergeCell ref="C119:E119"/>
    <mergeCell ref="C120:E120"/>
    <mergeCell ref="C169:E169"/>
    <mergeCell ref="C170:E170"/>
    <mergeCell ref="C171:E171"/>
    <mergeCell ref="C172:E172"/>
    <mergeCell ref="C173:E173"/>
    <mergeCell ref="C174:E174"/>
    <mergeCell ref="C176:E176"/>
    <mergeCell ref="B235:E235"/>
    <mergeCell ref="B237:E237"/>
    <mergeCell ref="C238:E238"/>
    <mergeCell ref="C239:E239"/>
    <mergeCell ref="B241:E241"/>
    <mergeCell ref="B242:E242"/>
    <mergeCell ref="C243:E243"/>
    <mergeCell ref="C244:E244"/>
    <mergeCell ref="C245:E245"/>
    <mergeCell ref="C246:E246"/>
    <mergeCell ref="C247:E247"/>
    <mergeCell ref="C248:E248"/>
    <mergeCell ref="C249:E249"/>
    <mergeCell ref="B251:E251"/>
    <mergeCell ref="C294:E294"/>
    <mergeCell ref="B295:E295"/>
    <mergeCell ref="B298:E298"/>
    <mergeCell ref="B287:E287"/>
    <mergeCell ref="C288:E288"/>
    <mergeCell ref="C289:E289"/>
    <mergeCell ref="C290:E290"/>
    <mergeCell ref="C291:E291"/>
    <mergeCell ref="C292:E292"/>
    <mergeCell ref="C293:E29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961"/>
    <pageSetUpPr/>
  </sheetPr>
  <sheetViews>
    <sheetView showGridLines="0" workbookViewId="0"/>
  </sheetViews>
  <sheetFormatPr customHeight="1" defaultColWidth="12.63" defaultRowHeight="15.0"/>
  <cols>
    <col customWidth="1" min="1" max="1" width="12.5"/>
    <col customWidth="1" min="2" max="2" width="21.38"/>
    <col customWidth="1" min="3" max="3" width="42.63"/>
    <col customWidth="1" min="4" max="4" width="71.13"/>
    <col customWidth="1" min="5" max="6" width="7.38"/>
    <col customWidth="1" min="7" max="7" width="10.0"/>
    <col customWidth="1" min="8" max="8" width="7.38"/>
    <col customWidth="1" min="9" max="9" width="14.0"/>
    <col customWidth="1" min="10" max="10" width="15.38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4"/>
      <c r="J1" s="9"/>
    </row>
    <row r="2" ht="36.0" customHeight="1">
      <c r="A2" s="1" t="s">
        <v>5</v>
      </c>
      <c r="B2" s="2"/>
      <c r="C2" s="2"/>
      <c r="D2" s="2"/>
      <c r="E2" s="2"/>
      <c r="F2" s="2"/>
      <c r="G2" s="2"/>
      <c r="H2" s="2"/>
      <c r="I2" s="4"/>
      <c r="J2" s="9"/>
    </row>
    <row r="3" ht="14.25" customHeight="1">
      <c r="A3" s="14" t="s">
        <v>9</v>
      </c>
      <c r="B3" s="2"/>
      <c r="C3" s="2"/>
      <c r="D3" s="2"/>
      <c r="E3" s="2"/>
      <c r="F3" s="2"/>
      <c r="G3" s="2"/>
      <c r="H3" s="2"/>
      <c r="I3" s="4"/>
      <c r="J3" s="17"/>
    </row>
    <row r="4" ht="14.25" customHeight="1">
      <c r="A4" s="14" t="s">
        <v>17</v>
      </c>
      <c r="B4" s="2"/>
      <c r="C4" s="2"/>
      <c r="D4" s="2"/>
      <c r="E4" s="2"/>
      <c r="F4" s="2"/>
      <c r="G4" s="2"/>
      <c r="H4" s="2"/>
      <c r="I4" s="4"/>
      <c r="J4" s="19"/>
    </row>
    <row r="5" ht="14.25" customHeight="1">
      <c r="A5" s="20" t="s">
        <v>6</v>
      </c>
      <c r="B5" s="20" t="s">
        <v>8</v>
      </c>
      <c r="C5" s="20" t="s">
        <v>10</v>
      </c>
      <c r="D5" s="20" t="s">
        <v>11</v>
      </c>
      <c r="E5" s="25" t="s">
        <v>13</v>
      </c>
      <c r="F5" s="25" t="s">
        <v>15</v>
      </c>
      <c r="G5" s="27" t="s">
        <v>18</v>
      </c>
      <c r="H5" s="25" t="s">
        <v>20</v>
      </c>
      <c r="I5" s="25" t="s">
        <v>22</v>
      </c>
      <c r="J5" s="25" t="s">
        <v>40</v>
      </c>
    </row>
    <row r="6" ht="14.25" customHeight="1">
      <c r="A6" s="29" t="s">
        <v>26</v>
      </c>
      <c r="B6" s="31" t="s">
        <v>29</v>
      </c>
      <c r="C6" s="32" t="s">
        <v>46</v>
      </c>
      <c r="D6" s="32" t="s">
        <v>49</v>
      </c>
      <c r="E6" s="33" t="s">
        <v>51</v>
      </c>
      <c r="F6" s="35" t="s">
        <v>51</v>
      </c>
      <c r="G6" s="35" t="s">
        <v>51</v>
      </c>
      <c r="H6" s="36" t="s">
        <v>56</v>
      </c>
      <c r="I6" s="37" t="s">
        <v>58</v>
      </c>
      <c r="J6" s="37" t="s">
        <v>59</v>
      </c>
    </row>
    <row r="7" ht="14.25" customHeight="1">
      <c r="A7" s="38" t="s">
        <v>26</v>
      </c>
      <c r="B7" s="39" t="s">
        <v>64</v>
      </c>
      <c r="C7" s="41" t="s">
        <v>65</v>
      </c>
      <c r="D7" s="41" t="s">
        <v>67</v>
      </c>
      <c r="E7" s="33" t="s">
        <v>51</v>
      </c>
      <c r="F7" s="35" t="s">
        <v>51</v>
      </c>
      <c r="G7" s="35" t="s">
        <v>51</v>
      </c>
      <c r="H7" s="36" t="s">
        <v>56</v>
      </c>
      <c r="I7" s="37" t="s">
        <v>58</v>
      </c>
      <c r="J7" s="37" t="s">
        <v>59</v>
      </c>
    </row>
    <row r="8" ht="14.25" customHeight="1">
      <c r="A8" s="38" t="s">
        <v>26</v>
      </c>
      <c r="B8" s="39" t="s">
        <v>75</v>
      </c>
      <c r="C8" s="41" t="s">
        <v>77</v>
      </c>
      <c r="D8" s="41" t="s">
        <v>79</v>
      </c>
      <c r="E8" s="33" t="s">
        <v>51</v>
      </c>
      <c r="F8" s="35" t="s">
        <v>51</v>
      </c>
      <c r="G8" s="35" t="s">
        <v>51</v>
      </c>
      <c r="H8" s="36" t="s">
        <v>56</v>
      </c>
      <c r="I8" s="37" t="s">
        <v>58</v>
      </c>
      <c r="J8" s="37" t="s">
        <v>59</v>
      </c>
    </row>
    <row r="9" ht="14.25" customHeight="1">
      <c r="A9" s="38" t="s">
        <v>26</v>
      </c>
      <c r="B9" s="39" t="s">
        <v>91</v>
      </c>
      <c r="C9" s="41" t="s">
        <v>94</v>
      </c>
      <c r="D9" s="41" t="s">
        <v>95</v>
      </c>
      <c r="E9" s="33" t="s">
        <v>51</v>
      </c>
      <c r="F9" s="35" t="s">
        <v>51</v>
      </c>
      <c r="G9" s="35" t="s">
        <v>51</v>
      </c>
      <c r="H9" s="36" t="s">
        <v>56</v>
      </c>
      <c r="I9" s="37" t="s">
        <v>58</v>
      </c>
      <c r="J9" s="37" t="s">
        <v>59</v>
      </c>
    </row>
    <row r="10" ht="14.25" customHeight="1">
      <c r="A10" s="48" t="s">
        <v>26</v>
      </c>
      <c r="B10" s="49" t="s">
        <v>99</v>
      </c>
      <c r="C10" s="50" t="s">
        <v>100</v>
      </c>
      <c r="D10" s="50" t="s">
        <v>107</v>
      </c>
      <c r="E10" s="33" t="s">
        <v>51</v>
      </c>
      <c r="F10" s="35" t="s">
        <v>51</v>
      </c>
      <c r="G10" s="35" t="s">
        <v>51</v>
      </c>
      <c r="H10" s="36" t="s">
        <v>56</v>
      </c>
      <c r="I10" s="37" t="s">
        <v>58</v>
      </c>
      <c r="J10" s="37" t="s">
        <v>59</v>
      </c>
    </row>
    <row r="11" ht="14.25" customHeight="1">
      <c r="A11" s="14" t="s">
        <v>114</v>
      </c>
      <c r="B11" s="2"/>
      <c r="C11" s="2"/>
      <c r="D11" s="2"/>
      <c r="E11" s="2"/>
      <c r="F11" s="2"/>
      <c r="G11" s="2"/>
      <c r="H11" s="2"/>
      <c r="I11" s="4"/>
      <c r="J11" s="19"/>
    </row>
    <row r="12" ht="14.25" customHeight="1">
      <c r="A12" s="20" t="s">
        <v>6</v>
      </c>
      <c r="B12" s="20" t="s">
        <v>8</v>
      </c>
      <c r="C12" s="20" t="s">
        <v>10</v>
      </c>
      <c r="D12" s="20" t="s">
        <v>11</v>
      </c>
      <c r="E12" s="25" t="s">
        <v>13</v>
      </c>
      <c r="F12" s="25" t="s">
        <v>15</v>
      </c>
      <c r="G12" s="27" t="s">
        <v>18</v>
      </c>
      <c r="H12" s="25" t="s">
        <v>20</v>
      </c>
      <c r="I12" s="25" t="s">
        <v>22</v>
      </c>
      <c r="J12" s="25" t="s">
        <v>40</v>
      </c>
    </row>
    <row r="13" ht="14.25" customHeight="1">
      <c r="A13" s="29" t="s">
        <v>131</v>
      </c>
      <c r="B13" s="31" t="s">
        <v>125</v>
      </c>
      <c r="C13" s="32" t="s">
        <v>127</v>
      </c>
      <c r="D13" s="32" t="s">
        <v>136</v>
      </c>
      <c r="E13" s="33" t="s">
        <v>51</v>
      </c>
      <c r="F13" s="35" t="s">
        <v>51</v>
      </c>
      <c r="G13" s="35" t="s">
        <v>51</v>
      </c>
      <c r="H13" s="36" t="s">
        <v>56</v>
      </c>
      <c r="I13" s="37" t="s">
        <v>58</v>
      </c>
      <c r="J13" s="37" t="s">
        <v>59</v>
      </c>
    </row>
    <row r="14" ht="14.25" customHeight="1">
      <c r="A14" s="38" t="s">
        <v>131</v>
      </c>
      <c r="B14" s="39" t="s">
        <v>129</v>
      </c>
      <c r="C14" s="41" t="s">
        <v>130</v>
      </c>
      <c r="D14" s="41" t="s">
        <v>144</v>
      </c>
      <c r="E14" s="33" t="s">
        <v>51</v>
      </c>
      <c r="F14" s="35" t="s">
        <v>51</v>
      </c>
      <c r="G14" s="35" t="s">
        <v>51</v>
      </c>
      <c r="H14" s="36" t="s">
        <v>56</v>
      </c>
      <c r="I14" s="37" t="s">
        <v>58</v>
      </c>
      <c r="J14" s="37" t="s">
        <v>59</v>
      </c>
    </row>
    <row r="15" ht="14.25" customHeight="1">
      <c r="A15" s="38" t="s">
        <v>131</v>
      </c>
      <c r="B15" s="39" t="s">
        <v>134</v>
      </c>
      <c r="C15" s="41" t="s">
        <v>135</v>
      </c>
      <c r="D15" s="41" t="s">
        <v>152</v>
      </c>
      <c r="E15" s="33" t="s">
        <v>51</v>
      </c>
      <c r="F15" s="35" t="s">
        <v>51</v>
      </c>
      <c r="G15" s="35" t="s">
        <v>51</v>
      </c>
      <c r="H15" s="36" t="s">
        <v>56</v>
      </c>
      <c r="I15" s="37" t="s">
        <v>58</v>
      </c>
      <c r="J15" s="37" t="s">
        <v>59</v>
      </c>
    </row>
    <row r="16" ht="14.25" customHeight="1">
      <c r="A16" s="38" t="s">
        <v>131</v>
      </c>
      <c r="B16" s="39" t="s">
        <v>137</v>
      </c>
      <c r="C16" s="41" t="s">
        <v>139</v>
      </c>
      <c r="D16" s="41" t="s">
        <v>162</v>
      </c>
      <c r="E16" s="33" t="s">
        <v>51</v>
      </c>
      <c r="F16" s="35" t="s">
        <v>51</v>
      </c>
      <c r="G16" s="35" t="s">
        <v>51</v>
      </c>
      <c r="H16" s="36" t="s">
        <v>56</v>
      </c>
      <c r="I16" s="37" t="s">
        <v>58</v>
      </c>
      <c r="J16" s="37" t="s">
        <v>59</v>
      </c>
    </row>
    <row r="17" ht="14.25" customHeight="1">
      <c r="A17" s="38" t="s">
        <v>131</v>
      </c>
      <c r="B17" s="39" t="s">
        <v>140</v>
      </c>
      <c r="C17" s="41" t="s">
        <v>141</v>
      </c>
      <c r="D17" s="41" t="s">
        <v>168</v>
      </c>
      <c r="E17" s="33" t="s">
        <v>51</v>
      </c>
      <c r="F17" s="35" t="s">
        <v>51</v>
      </c>
      <c r="G17" s="35" t="s">
        <v>51</v>
      </c>
      <c r="H17" s="36" t="s">
        <v>56</v>
      </c>
      <c r="I17" s="37" t="s">
        <v>58</v>
      </c>
      <c r="J17" s="37" t="s">
        <v>59</v>
      </c>
    </row>
    <row r="18" ht="14.25" customHeight="1">
      <c r="A18" s="48" t="s">
        <v>131</v>
      </c>
      <c r="B18" s="49" t="s">
        <v>143</v>
      </c>
      <c r="C18" s="50" t="s">
        <v>177</v>
      </c>
      <c r="D18" s="50" t="s">
        <v>180</v>
      </c>
      <c r="E18" s="33" t="s">
        <v>51</v>
      </c>
      <c r="F18" s="35" t="s">
        <v>51</v>
      </c>
      <c r="G18" s="35" t="s">
        <v>51</v>
      </c>
      <c r="H18" s="36" t="s">
        <v>56</v>
      </c>
      <c r="I18" s="37" t="s">
        <v>58</v>
      </c>
      <c r="J18" s="37" t="s">
        <v>59</v>
      </c>
    </row>
    <row r="19" ht="14.25" customHeight="1">
      <c r="A19" s="14" t="s">
        <v>187</v>
      </c>
      <c r="B19" s="2"/>
      <c r="C19" s="2"/>
      <c r="D19" s="2"/>
      <c r="E19" s="2"/>
      <c r="F19" s="2"/>
      <c r="G19" s="2"/>
      <c r="H19" s="2"/>
      <c r="I19" s="4"/>
      <c r="J19" s="19"/>
    </row>
    <row r="20" ht="14.25" customHeight="1">
      <c r="A20" s="25" t="s">
        <v>6</v>
      </c>
      <c r="B20" s="25" t="s">
        <v>8</v>
      </c>
      <c r="C20" s="25" t="s">
        <v>10</v>
      </c>
      <c r="D20" s="25" t="s">
        <v>11</v>
      </c>
      <c r="E20" s="25" t="s">
        <v>13</v>
      </c>
      <c r="F20" s="25" t="s">
        <v>15</v>
      </c>
      <c r="G20" s="27" t="s">
        <v>18</v>
      </c>
      <c r="H20" s="25" t="s">
        <v>20</v>
      </c>
      <c r="I20" s="25" t="s">
        <v>22</v>
      </c>
      <c r="J20" s="25" t="s">
        <v>40</v>
      </c>
    </row>
    <row r="21" ht="14.25" customHeight="1">
      <c r="A21" s="51" t="s">
        <v>150</v>
      </c>
      <c r="B21" s="53" t="s">
        <v>153</v>
      </c>
      <c r="C21" s="54" t="s">
        <v>154</v>
      </c>
      <c r="D21" s="55" t="s">
        <v>214</v>
      </c>
      <c r="E21" s="35" t="s">
        <v>51</v>
      </c>
      <c r="F21" s="35" t="s">
        <v>51</v>
      </c>
      <c r="G21" s="35" t="s">
        <v>51</v>
      </c>
      <c r="H21" s="36" t="s">
        <v>56</v>
      </c>
      <c r="I21" s="37" t="s">
        <v>58</v>
      </c>
      <c r="J21" s="37" t="s">
        <v>224</v>
      </c>
    </row>
    <row r="22" ht="14.25" customHeight="1">
      <c r="A22" s="51" t="s">
        <v>150</v>
      </c>
      <c r="B22" s="53" t="s">
        <v>158</v>
      </c>
      <c r="C22" s="54" t="s">
        <v>159</v>
      </c>
      <c r="D22" s="55" t="s">
        <v>214</v>
      </c>
      <c r="E22" s="35" t="s">
        <v>51</v>
      </c>
      <c r="F22" s="35" t="s">
        <v>51</v>
      </c>
      <c r="G22" s="35" t="s">
        <v>51</v>
      </c>
      <c r="H22" s="36" t="s">
        <v>56</v>
      </c>
      <c r="I22" s="37" t="s">
        <v>58</v>
      </c>
      <c r="J22" s="37" t="s">
        <v>224</v>
      </c>
    </row>
    <row r="23" ht="14.25" customHeight="1">
      <c r="A23" s="51" t="s">
        <v>150</v>
      </c>
      <c r="B23" s="53" t="s">
        <v>161</v>
      </c>
      <c r="C23" s="54" t="s">
        <v>163</v>
      </c>
      <c r="D23" s="55" t="s">
        <v>214</v>
      </c>
      <c r="E23" s="35" t="s">
        <v>51</v>
      </c>
      <c r="F23" s="35" t="s">
        <v>51</v>
      </c>
      <c r="G23" s="35" t="s">
        <v>51</v>
      </c>
      <c r="H23" s="36" t="s">
        <v>56</v>
      </c>
      <c r="I23" s="37" t="s">
        <v>58</v>
      </c>
      <c r="J23" s="37" t="s">
        <v>224</v>
      </c>
    </row>
    <row r="24" ht="14.25" customHeight="1">
      <c r="A24" s="51" t="s">
        <v>150</v>
      </c>
      <c r="B24" s="53" t="s">
        <v>164</v>
      </c>
      <c r="C24" s="54" t="s">
        <v>166</v>
      </c>
      <c r="D24" s="55" t="s">
        <v>214</v>
      </c>
      <c r="E24" s="35" t="s">
        <v>51</v>
      </c>
      <c r="F24" s="35" t="s">
        <v>51</v>
      </c>
      <c r="G24" s="35" t="s">
        <v>51</v>
      </c>
      <c r="H24" s="36" t="s">
        <v>56</v>
      </c>
      <c r="I24" s="37" t="s">
        <v>58</v>
      </c>
      <c r="J24" s="37" t="s">
        <v>224</v>
      </c>
    </row>
    <row r="25" ht="14.25" customHeight="1">
      <c r="A25" s="51" t="s">
        <v>150</v>
      </c>
      <c r="B25" s="53" t="s">
        <v>167</v>
      </c>
      <c r="C25" s="54" t="s">
        <v>169</v>
      </c>
      <c r="D25" s="55" t="s">
        <v>214</v>
      </c>
      <c r="E25" s="35" t="s">
        <v>51</v>
      </c>
      <c r="F25" s="35" t="s">
        <v>51</v>
      </c>
      <c r="G25" s="35" t="s">
        <v>51</v>
      </c>
      <c r="H25" s="36" t="s">
        <v>56</v>
      </c>
      <c r="I25" s="37" t="s">
        <v>58</v>
      </c>
      <c r="J25" s="37" t="s">
        <v>224</v>
      </c>
    </row>
    <row r="26" ht="14.25" customHeight="1">
      <c r="A26" s="51" t="s">
        <v>150</v>
      </c>
      <c r="B26" s="53" t="s">
        <v>171</v>
      </c>
      <c r="C26" s="54" t="s">
        <v>174</v>
      </c>
      <c r="D26" s="55" t="s">
        <v>294</v>
      </c>
      <c r="E26" s="35" t="s">
        <v>51</v>
      </c>
      <c r="F26" s="35" t="s">
        <v>51</v>
      </c>
      <c r="G26" s="35" t="s">
        <v>51</v>
      </c>
      <c r="H26" s="36" t="s">
        <v>56</v>
      </c>
      <c r="I26" s="37" t="s">
        <v>58</v>
      </c>
      <c r="J26" s="37" t="s">
        <v>224</v>
      </c>
    </row>
    <row r="27" ht="14.25" customHeight="1">
      <c r="A27" s="14" t="s">
        <v>303</v>
      </c>
      <c r="B27" s="2"/>
      <c r="C27" s="2"/>
      <c r="D27" s="2"/>
      <c r="E27" s="2"/>
      <c r="F27" s="2"/>
      <c r="G27" s="2"/>
      <c r="H27" s="2"/>
      <c r="I27" s="4"/>
      <c r="J27" s="19"/>
    </row>
    <row r="28" ht="14.25" customHeight="1">
      <c r="A28" s="29" t="s">
        <v>312</v>
      </c>
      <c r="B28" s="31" t="s">
        <v>210</v>
      </c>
      <c r="C28" s="32" t="s">
        <v>315</v>
      </c>
      <c r="D28" s="32" t="s">
        <v>317</v>
      </c>
      <c r="E28" s="33" t="s">
        <v>51</v>
      </c>
      <c r="F28" s="36" t="s">
        <v>56</v>
      </c>
      <c r="G28" s="35" t="s">
        <v>51</v>
      </c>
      <c r="H28" s="36" t="s">
        <v>56</v>
      </c>
      <c r="I28" s="59" t="s">
        <v>58</v>
      </c>
      <c r="J28" s="59" t="s">
        <v>59</v>
      </c>
    </row>
    <row r="29" ht="14.25" customHeight="1">
      <c r="A29" s="38" t="s">
        <v>312</v>
      </c>
      <c r="B29" s="39" t="s">
        <v>330</v>
      </c>
      <c r="C29" s="41" t="s">
        <v>332</v>
      </c>
      <c r="D29" s="41" t="s">
        <v>333</v>
      </c>
      <c r="E29" s="33" t="s">
        <v>51</v>
      </c>
      <c r="F29" s="36" t="s">
        <v>56</v>
      </c>
      <c r="G29" s="35" t="s">
        <v>51</v>
      </c>
      <c r="H29" s="36" t="s">
        <v>56</v>
      </c>
      <c r="I29" s="59" t="s">
        <v>58</v>
      </c>
      <c r="J29" s="59" t="s">
        <v>59</v>
      </c>
    </row>
    <row r="30" ht="14.25" customHeight="1">
      <c r="A30" s="38" t="s">
        <v>312</v>
      </c>
      <c r="B30" s="39" t="s">
        <v>200</v>
      </c>
      <c r="C30" s="41" t="s">
        <v>339</v>
      </c>
      <c r="D30" s="41" t="s">
        <v>341</v>
      </c>
      <c r="E30" s="33" t="s">
        <v>51</v>
      </c>
      <c r="F30" s="36" t="s">
        <v>56</v>
      </c>
      <c r="G30" s="35" t="s">
        <v>51</v>
      </c>
      <c r="H30" s="36" t="s">
        <v>56</v>
      </c>
      <c r="I30" s="59" t="s">
        <v>58</v>
      </c>
      <c r="J30" s="59" t="s">
        <v>59</v>
      </c>
    </row>
    <row r="31" ht="14.25" customHeight="1">
      <c r="A31" s="38" t="s">
        <v>312</v>
      </c>
      <c r="B31" s="39" t="s">
        <v>203</v>
      </c>
      <c r="C31" s="41" t="s">
        <v>347</v>
      </c>
      <c r="D31" s="41" t="s">
        <v>349</v>
      </c>
      <c r="E31" s="33" t="s">
        <v>51</v>
      </c>
      <c r="F31" s="36" t="s">
        <v>56</v>
      </c>
      <c r="G31" s="35" t="s">
        <v>51</v>
      </c>
      <c r="H31" s="36" t="s">
        <v>56</v>
      </c>
      <c r="I31" s="59" t="s">
        <v>58</v>
      </c>
      <c r="J31" s="59" t="s">
        <v>59</v>
      </c>
    </row>
    <row r="32" ht="14.25" customHeight="1">
      <c r="A32" s="38" t="s">
        <v>312</v>
      </c>
      <c r="B32" s="39" t="s">
        <v>215</v>
      </c>
      <c r="C32" s="41" t="s">
        <v>357</v>
      </c>
      <c r="D32" s="41" t="s">
        <v>358</v>
      </c>
      <c r="E32" s="33" t="s">
        <v>51</v>
      </c>
      <c r="F32" s="36" t="s">
        <v>56</v>
      </c>
      <c r="G32" s="35" t="s">
        <v>51</v>
      </c>
      <c r="H32" s="36" t="s">
        <v>56</v>
      </c>
      <c r="I32" s="59" t="s">
        <v>58</v>
      </c>
      <c r="J32" s="59" t="s">
        <v>59</v>
      </c>
    </row>
    <row r="33" ht="14.25" customHeight="1">
      <c r="A33" s="38" t="s">
        <v>312</v>
      </c>
      <c r="B33" s="39" t="s">
        <v>219</v>
      </c>
      <c r="C33" s="41" t="s">
        <v>353</v>
      </c>
      <c r="D33" s="41" t="s">
        <v>358</v>
      </c>
      <c r="E33" s="33" t="s">
        <v>51</v>
      </c>
      <c r="F33" s="36" t="s">
        <v>56</v>
      </c>
      <c r="G33" s="35" t="s">
        <v>51</v>
      </c>
      <c r="H33" s="36" t="s">
        <v>56</v>
      </c>
      <c r="I33" s="59" t="s">
        <v>58</v>
      </c>
      <c r="J33" s="59" t="s">
        <v>59</v>
      </c>
    </row>
    <row r="34" ht="14.25" customHeight="1">
      <c r="A34" s="48" t="s">
        <v>312</v>
      </c>
      <c r="B34" s="49" t="s">
        <v>221</v>
      </c>
      <c r="C34" s="50" t="s">
        <v>383</v>
      </c>
      <c r="D34" s="50" t="s">
        <v>385</v>
      </c>
      <c r="E34" s="33" t="s">
        <v>51</v>
      </c>
      <c r="F34" s="36" t="s">
        <v>56</v>
      </c>
      <c r="G34" s="35" t="s">
        <v>51</v>
      </c>
      <c r="H34" s="36" t="s">
        <v>56</v>
      </c>
      <c r="I34" s="59" t="s">
        <v>58</v>
      </c>
      <c r="J34" s="59" t="s">
        <v>59</v>
      </c>
    </row>
    <row r="35" ht="14.25" customHeight="1">
      <c r="A35" s="60" t="s">
        <v>392</v>
      </c>
      <c r="J35" s="60"/>
    </row>
    <row r="36" ht="14.25" customHeight="1">
      <c r="A36" s="14" t="s">
        <v>398</v>
      </c>
      <c r="B36" s="2"/>
      <c r="C36" s="2"/>
      <c r="D36" s="2"/>
      <c r="E36" s="2"/>
      <c r="F36" s="2"/>
      <c r="G36" s="2"/>
      <c r="H36" s="2"/>
      <c r="I36" s="4"/>
      <c r="J36" s="19"/>
    </row>
    <row r="37" ht="14.25" customHeight="1">
      <c r="A37" s="20" t="s">
        <v>6</v>
      </c>
      <c r="B37" s="20" t="s">
        <v>8</v>
      </c>
      <c r="C37" s="20" t="s">
        <v>10</v>
      </c>
      <c r="D37" s="20" t="s">
        <v>11</v>
      </c>
      <c r="E37" s="25" t="s">
        <v>13</v>
      </c>
      <c r="F37" s="25" t="s">
        <v>15</v>
      </c>
      <c r="G37" s="27" t="s">
        <v>18</v>
      </c>
      <c r="H37" s="25" t="s">
        <v>20</v>
      </c>
      <c r="I37" s="25" t="s">
        <v>22</v>
      </c>
      <c r="J37" s="25" t="s">
        <v>40</v>
      </c>
    </row>
    <row r="38" ht="14.25" customHeight="1">
      <c r="A38" s="38" t="s">
        <v>422</v>
      </c>
      <c r="B38" s="39" t="s">
        <v>272</v>
      </c>
      <c r="C38" s="41" t="s">
        <v>425</v>
      </c>
      <c r="D38" s="41" t="s">
        <v>430</v>
      </c>
      <c r="E38" s="33" t="s">
        <v>51</v>
      </c>
      <c r="F38" s="35" t="s">
        <v>51</v>
      </c>
      <c r="G38" s="35" t="s">
        <v>51</v>
      </c>
      <c r="H38" s="36" t="s">
        <v>56</v>
      </c>
      <c r="I38" s="59" t="s">
        <v>58</v>
      </c>
      <c r="J38" s="59" t="s">
        <v>59</v>
      </c>
    </row>
    <row r="39" ht="14.25" customHeight="1">
      <c r="A39" s="29" t="s">
        <v>422</v>
      </c>
      <c r="B39" s="31" t="s">
        <v>279</v>
      </c>
      <c r="C39" s="32" t="s">
        <v>442</v>
      </c>
      <c r="D39" s="32" t="s">
        <v>444</v>
      </c>
      <c r="E39" s="33" t="s">
        <v>51</v>
      </c>
      <c r="F39" s="35" t="s">
        <v>51</v>
      </c>
      <c r="G39" s="35" t="s">
        <v>51</v>
      </c>
      <c r="H39" s="36" t="s">
        <v>56</v>
      </c>
      <c r="I39" s="37" t="s">
        <v>58</v>
      </c>
      <c r="J39" s="37" t="s">
        <v>59</v>
      </c>
    </row>
    <row r="40" ht="14.25" customHeight="1">
      <c r="A40" s="38" t="s">
        <v>422</v>
      </c>
      <c r="B40" s="39" t="s">
        <v>284</v>
      </c>
      <c r="C40" s="41" t="s">
        <v>458</v>
      </c>
      <c r="D40" s="41" t="s">
        <v>461</v>
      </c>
      <c r="E40" s="33" t="s">
        <v>51</v>
      </c>
      <c r="F40" s="35" t="s">
        <v>51</v>
      </c>
      <c r="G40" s="35" t="s">
        <v>51</v>
      </c>
      <c r="H40" s="36" t="s">
        <v>56</v>
      </c>
      <c r="I40" s="37" t="s">
        <v>58</v>
      </c>
      <c r="J40" s="37" t="s">
        <v>59</v>
      </c>
    </row>
    <row r="41" ht="14.25" customHeight="1">
      <c r="A41" s="38" t="s">
        <v>422</v>
      </c>
      <c r="B41" s="39" t="s">
        <v>289</v>
      </c>
      <c r="C41" s="41" t="s">
        <v>470</v>
      </c>
      <c r="D41" s="41" t="s">
        <v>472</v>
      </c>
      <c r="E41" s="33" t="s">
        <v>51</v>
      </c>
      <c r="F41" s="35" t="s">
        <v>51</v>
      </c>
      <c r="G41" s="35" t="s">
        <v>51</v>
      </c>
      <c r="H41" s="36" t="s">
        <v>56</v>
      </c>
      <c r="I41" s="37" t="s">
        <v>58</v>
      </c>
      <c r="J41" s="37" t="s">
        <v>59</v>
      </c>
    </row>
    <row r="42" ht="14.25" customHeight="1">
      <c r="A42" s="38" t="s">
        <v>422</v>
      </c>
      <c r="B42" s="39" t="s">
        <v>275</v>
      </c>
      <c r="C42" s="41" t="s">
        <v>483</v>
      </c>
      <c r="D42" s="41" t="s">
        <v>486</v>
      </c>
      <c r="E42" s="33" t="s">
        <v>51</v>
      </c>
      <c r="F42" s="35" t="s">
        <v>51</v>
      </c>
      <c r="G42" s="35" t="s">
        <v>51</v>
      </c>
      <c r="H42" s="36" t="s">
        <v>56</v>
      </c>
      <c r="I42" s="37" t="s">
        <v>58</v>
      </c>
      <c r="J42" s="37" t="s">
        <v>59</v>
      </c>
    </row>
    <row r="43" ht="14.25" customHeight="1">
      <c r="A43" s="38" t="s">
        <v>422</v>
      </c>
      <c r="B43" s="39" t="s">
        <v>292</v>
      </c>
      <c r="C43" s="41" t="s">
        <v>493</v>
      </c>
      <c r="D43" s="41" t="s">
        <v>495</v>
      </c>
      <c r="E43" s="33" t="s">
        <v>51</v>
      </c>
      <c r="F43" s="35" t="s">
        <v>51</v>
      </c>
      <c r="G43" s="35" t="s">
        <v>51</v>
      </c>
      <c r="H43" s="36" t="s">
        <v>56</v>
      </c>
      <c r="I43" s="37" t="s">
        <v>58</v>
      </c>
      <c r="J43" s="37" t="s">
        <v>59</v>
      </c>
    </row>
    <row r="44" ht="14.25" customHeight="1">
      <c r="A44" s="48" t="s">
        <v>422</v>
      </c>
      <c r="B44" s="49" t="s">
        <v>351</v>
      </c>
      <c r="C44" s="50" t="s">
        <v>505</v>
      </c>
      <c r="D44" s="50" t="s">
        <v>508</v>
      </c>
      <c r="E44" s="33" t="s">
        <v>51</v>
      </c>
      <c r="F44" s="35" t="s">
        <v>51</v>
      </c>
      <c r="G44" s="35" t="s">
        <v>51</v>
      </c>
      <c r="H44" s="36" t="s">
        <v>56</v>
      </c>
      <c r="I44" s="59" t="s">
        <v>58</v>
      </c>
      <c r="J44" s="59" t="s">
        <v>59</v>
      </c>
    </row>
    <row r="45" ht="14.25" customHeight="1">
      <c r="A45" s="14" t="s">
        <v>517</v>
      </c>
      <c r="B45" s="2"/>
      <c r="C45" s="2"/>
      <c r="D45" s="2"/>
      <c r="E45" s="2"/>
      <c r="F45" s="2"/>
      <c r="G45" s="2"/>
      <c r="H45" s="2"/>
      <c r="I45" s="4"/>
      <c r="J45" s="19"/>
    </row>
    <row r="46" ht="14.25" customHeight="1">
      <c r="A46" s="20" t="s">
        <v>6</v>
      </c>
      <c r="B46" s="20" t="s">
        <v>8</v>
      </c>
      <c r="C46" s="20" t="s">
        <v>10</v>
      </c>
      <c r="D46" s="20" t="s">
        <v>11</v>
      </c>
      <c r="E46" s="25" t="s">
        <v>13</v>
      </c>
      <c r="F46" s="25" t="s">
        <v>15</v>
      </c>
      <c r="G46" s="27" t="s">
        <v>18</v>
      </c>
      <c r="H46" s="25" t="s">
        <v>20</v>
      </c>
      <c r="I46" s="25" t="s">
        <v>22</v>
      </c>
      <c r="J46" s="25" t="s">
        <v>40</v>
      </c>
    </row>
    <row r="47" ht="14.25" customHeight="1">
      <c r="A47" s="29" t="s">
        <v>543</v>
      </c>
      <c r="B47" s="31" t="s">
        <v>304</v>
      </c>
      <c r="C47" s="32" t="s">
        <v>546</v>
      </c>
      <c r="D47" s="32" t="s">
        <v>548</v>
      </c>
      <c r="E47" s="33" t="s">
        <v>51</v>
      </c>
      <c r="F47" s="35" t="s">
        <v>51</v>
      </c>
      <c r="G47" s="35" t="s">
        <v>51</v>
      </c>
      <c r="H47" s="36" t="s">
        <v>56</v>
      </c>
      <c r="I47" s="37" t="s">
        <v>58</v>
      </c>
      <c r="J47" s="37" t="s">
        <v>59</v>
      </c>
    </row>
    <row r="48" ht="14.25" customHeight="1">
      <c r="A48" s="38" t="s">
        <v>543</v>
      </c>
      <c r="B48" s="39" t="s">
        <v>308</v>
      </c>
      <c r="C48" s="41" t="s">
        <v>564</v>
      </c>
      <c r="D48" s="41" t="s">
        <v>567</v>
      </c>
      <c r="E48" s="33" t="s">
        <v>51</v>
      </c>
      <c r="F48" s="35" t="s">
        <v>51</v>
      </c>
      <c r="G48" s="35" t="s">
        <v>51</v>
      </c>
      <c r="H48" s="36" t="s">
        <v>56</v>
      </c>
      <c r="I48" s="37" t="s">
        <v>58</v>
      </c>
      <c r="J48" s="37" t="s">
        <v>59</v>
      </c>
    </row>
    <row r="49" ht="14.25" customHeight="1">
      <c r="A49" s="38" t="s">
        <v>543</v>
      </c>
      <c r="B49" s="39" t="s">
        <v>313</v>
      </c>
      <c r="C49" s="41" t="s">
        <v>581</v>
      </c>
      <c r="D49" s="41" t="s">
        <v>583</v>
      </c>
      <c r="E49" s="33" t="s">
        <v>51</v>
      </c>
      <c r="F49" s="35" t="s">
        <v>51</v>
      </c>
      <c r="G49" s="35" t="s">
        <v>51</v>
      </c>
      <c r="H49" s="36" t="s">
        <v>56</v>
      </c>
      <c r="I49" s="37" t="s">
        <v>58</v>
      </c>
      <c r="J49" s="37" t="s">
        <v>59</v>
      </c>
    </row>
    <row r="50" ht="14.25" customHeight="1">
      <c r="A50" s="38" t="s">
        <v>543</v>
      </c>
      <c r="B50" s="39" t="s">
        <v>319</v>
      </c>
      <c r="C50" s="41" t="s">
        <v>594</v>
      </c>
      <c r="D50" s="41" t="s">
        <v>598</v>
      </c>
      <c r="E50" s="33" t="s">
        <v>51</v>
      </c>
      <c r="F50" s="35" t="s">
        <v>51</v>
      </c>
      <c r="G50" s="35" t="s">
        <v>51</v>
      </c>
      <c r="H50" s="36" t="s">
        <v>56</v>
      </c>
      <c r="I50" s="37" t="s">
        <v>58</v>
      </c>
      <c r="J50" s="37" t="s">
        <v>59</v>
      </c>
    </row>
    <row r="51" ht="14.25" customHeight="1">
      <c r="A51" s="38" t="s">
        <v>543</v>
      </c>
      <c r="B51" s="39" t="s">
        <v>322</v>
      </c>
      <c r="C51" s="41" t="s">
        <v>610</v>
      </c>
      <c r="D51" s="41" t="s">
        <v>614</v>
      </c>
      <c r="E51" s="33" t="s">
        <v>51</v>
      </c>
      <c r="F51" s="35" t="s">
        <v>51</v>
      </c>
      <c r="G51" s="35" t="s">
        <v>51</v>
      </c>
      <c r="H51" s="36" t="s">
        <v>56</v>
      </c>
      <c r="I51" s="37" t="s">
        <v>58</v>
      </c>
      <c r="J51" s="37" t="s">
        <v>59</v>
      </c>
    </row>
    <row r="52" ht="14.25" customHeight="1">
      <c r="A52" s="48" t="s">
        <v>543</v>
      </c>
      <c r="B52" s="49" t="s">
        <v>325</v>
      </c>
      <c r="C52" s="50" t="s">
        <v>628</v>
      </c>
      <c r="D52" s="50" t="s">
        <v>632</v>
      </c>
      <c r="E52" s="33" t="s">
        <v>51</v>
      </c>
      <c r="F52" s="35" t="s">
        <v>51</v>
      </c>
      <c r="G52" s="35" t="s">
        <v>51</v>
      </c>
      <c r="H52" s="36" t="s">
        <v>56</v>
      </c>
      <c r="I52" s="37" t="s">
        <v>58</v>
      </c>
      <c r="J52" s="37" t="s">
        <v>59</v>
      </c>
    </row>
    <row r="53" ht="14.25" customHeight="1">
      <c r="A53" s="14" t="s">
        <v>648</v>
      </c>
      <c r="B53" s="2"/>
      <c r="C53" s="2"/>
      <c r="D53" s="2"/>
      <c r="E53" s="2"/>
      <c r="F53" s="2"/>
      <c r="G53" s="2"/>
      <c r="H53" s="2"/>
      <c r="I53" s="4"/>
      <c r="J53" s="19"/>
    </row>
    <row r="54" ht="14.25" customHeight="1">
      <c r="A54" s="20" t="s">
        <v>6</v>
      </c>
      <c r="B54" s="20" t="s">
        <v>8</v>
      </c>
      <c r="C54" s="20" t="s">
        <v>10</v>
      </c>
      <c r="D54" s="20" t="s">
        <v>11</v>
      </c>
      <c r="E54" s="25" t="s">
        <v>13</v>
      </c>
      <c r="F54" s="25" t="s">
        <v>15</v>
      </c>
      <c r="G54" s="27" t="s">
        <v>18</v>
      </c>
      <c r="H54" s="25" t="s">
        <v>20</v>
      </c>
      <c r="I54" s="25" t="s">
        <v>22</v>
      </c>
      <c r="J54" s="25" t="s">
        <v>40</v>
      </c>
    </row>
    <row r="55" ht="14.25" customHeight="1">
      <c r="A55" s="29" t="s">
        <v>686</v>
      </c>
      <c r="B55" s="31" t="s">
        <v>359</v>
      </c>
      <c r="C55" s="32" t="s">
        <v>689</v>
      </c>
      <c r="D55" s="32" t="s">
        <v>691</v>
      </c>
      <c r="E55" s="33" t="s">
        <v>51</v>
      </c>
      <c r="F55" s="35" t="s">
        <v>51</v>
      </c>
      <c r="G55" s="35" t="s">
        <v>51</v>
      </c>
      <c r="H55" s="36" t="s">
        <v>56</v>
      </c>
      <c r="I55" s="37" t="s">
        <v>58</v>
      </c>
      <c r="J55" s="37" t="s">
        <v>59</v>
      </c>
    </row>
    <row r="56" ht="14.25" customHeight="1">
      <c r="A56" s="38" t="s">
        <v>686</v>
      </c>
      <c r="B56" s="39" t="s">
        <v>363</v>
      </c>
      <c r="C56" s="41" t="s">
        <v>711</v>
      </c>
      <c r="D56" s="41" t="s">
        <v>712</v>
      </c>
      <c r="E56" s="33" t="s">
        <v>51</v>
      </c>
      <c r="F56" s="35" t="s">
        <v>51</v>
      </c>
      <c r="G56" s="35" t="s">
        <v>51</v>
      </c>
      <c r="H56" s="36" t="s">
        <v>56</v>
      </c>
      <c r="I56" s="37" t="s">
        <v>58</v>
      </c>
      <c r="J56" s="37" t="s">
        <v>59</v>
      </c>
    </row>
    <row r="57" ht="14.25" customHeight="1">
      <c r="A57" s="38" t="s">
        <v>686</v>
      </c>
      <c r="B57" s="39" t="s">
        <v>367</v>
      </c>
      <c r="C57" s="41" t="s">
        <v>725</v>
      </c>
      <c r="D57" s="41" t="s">
        <v>727</v>
      </c>
      <c r="E57" s="33" t="s">
        <v>51</v>
      </c>
      <c r="F57" s="35" t="s">
        <v>51</v>
      </c>
      <c r="G57" s="35" t="s">
        <v>51</v>
      </c>
      <c r="H57" s="36" t="s">
        <v>56</v>
      </c>
      <c r="I57" s="37" t="s">
        <v>58</v>
      </c>
      <c r="J57" s="37" t="s">
        <v>59</v>
      </c>
    </row>
    <row r="58" ht="14.25" customHeight="1">
      <c r="A58" s="38" t="s">
        <v>686</v>
      </c>
      <c r="B58" s="39" t="s">
        <v>371</v>
      </c>
      <c r="C58" s="41" t="s">
        <v>741</v>
      </c>
      <c r="D58" s="41" t="s">
        <v>743</v>
      </c>
      <c r="E58" s="33" t="s">
        <v>51</v>
      </c>
      <c r="F58" s="35" t="s">
        <v>51</v>
      </c>
      <c r="G58" s="35" t="s">
        <v>51</v>
      </c>
      <c r="H58" s="36" t="s">
        <v>56</v>
      </c>
      <c r="I58" s="37" t="s">
        <v>58</v>
      </c>
      <c r="J58" s="37" t="s">
        <v>59</v>
      </c>
    </row>
    <row r="59" ht="14.25" customHeight="1">
      <c r="A59" s="38" t="s">
        <v>686</v>
      </c>
      <c r="B59" s="39" t="s">
        <v>379</v>
      </c>
      <c r="C59" s="41" t="s">
        <v>754</v>
      </c>
      <c r="D59" s="41" t="s">
        <v>757</v>
      </c>
      <c r="E59" s="33" t="s">
        <v>51</v>
      </c>
      <c r="F59" s="35" t="s">
        <v>51</v>
      </c>
      <c r="G59" s="35" t="s">
        <v>51</v>
      </c>
      <c r="H59" s="36" t="s">
        <v>56</v>
      </c>
      <c r="I59" s="37" t="s">
        <v>58</v>
      </c>
      <c r="J59" s="37" t="s">
        <v>59</v>
      </c>
    </row>
    <row r="60" ht="14.25" customHeight="1">
      <c r="A60" s="48" t="s">
        <v>686</v>
      </c>
      <c r="B60" s="49" t="s">
        <v>375</v>
      </c>
      <c r="C60" s="50" t="s">
        <v>764</v>
      </c>
      <c r="D60" s="50" t="s">
        <v>766</v>
      </c>
      <c r="E60" s="33" t="s">
        <v>51</v>
      </c>
      <c r="F60" s="35" t="s">
        <v>51</v>
      </c>
      <c r="G60" s="35" t="s">
        <v>51</v>
      </c>
      <c r="H60" s="36" t="s">
        <v>56</v>
      </c>
      <c r="I60" s="37" t="s">
        <v>58</v>
      </c>
      <c r="J60" s="37" t="s">
        <v>59</v>
      </c>
    </row>
    <row r="61" ht="14.25" customHeight="1">
      <c r="A61" s="14" t="s">
        <v>781</v>
      </c>
      <c r="B61" s="2"/>
      <c r="C61" s="2"/>
      <c r="D61" s="2"/>
      <c r="E61" s="2"/>
      <c r="F61" s="2"/>
      <c r="G61" s="2"/>
      <c r="H61" s="2"/>
      <c r="I61" s="4"/>
      <c r="J61" s="19"/>
    </row>
    <row r="62" ht="14.25" customHeight="1">
      <c r="A62" s="29" t="s">
        <v>788</v>
      </c>
      <c r="B62" s="31" t="s">
        <v>399</v>
      </c>
      <c r="C62" s="32" t="s">
        <v>792</v>
      </c>
      <c r="D62" s="32" t="s">
        <v>794</v>
      </c>
      <c r="E62" s="33" t="s">
        <v>51</v>
      </c>
      <c r="F62" s="35" t="s">
        <v>51</v>
      </c>
      <c r="G62" s="35" t="s">
        <v>51</v>
      </c>
      <c r="H62" s="36" t="s">
        <v>56</v>
      </c>
      <c r="I62" s="59" t="s">
        <v>58</v>
      </c>
      <c r="J62" s="59" t="s">
        <v>59</v>
      </c>
    </row>
    <row r="63" ht="14.25" customHeight="1">
      <c r="A63" s="38" t="s">
        <v>788</v>
      </c>
      <c r="B63" s="39" t="s">
        <v>402</v>
      </c>
      <c r="C63" s="41" t="s">
        <v>802</v>
      </c>
      <c r="D63" s="41" t="s">
        <v>804</v>
      </c>
      <c r="E63" s="33" t="s">
        <v>51</v>
      </c>
      <c r="F63" s="35" t="s">
        <v>51</v>
      </c>
      <c r="G63" s="35" t="s">
        <v>51</v>
      </c>
      <c r="H63" s="36" t="s">
        <v>56</v>
      </c>
      <c r="I63" s="59" t="s">
        <v>58</v>
      </c>
      <c r="J63" s="59" t="s">
        <v>59</v>
      </c>
    </row>
    <row r="64" ht="14.25" customHeight="1">
      <c r="A64" s="38" t="s">
        <v>788</v>
      </c>
      <c r="B64" s="39" t="s">
        <v>405</v>
      </c>
      <c r="C64" s="41" t="s">
        <v>817</v>
      </c>
      <c r="D64" s="41" t="s">
        <v>820</v>
      </c>
      <c r="E64" s="33" t="s">
        <v>51</v>
      </c>
      <c r="F64" s="35" t="s">
        <v>51</v>
      </c>
      <c r="G64" s="35" t="s">
        <v>51</v>
      </c>
      <c r="H64" s="36" t="s">
        <v>56</v>
      </c>
      <c r="I64" s="59" t="s">
        <v>58</v>
      </c>
      <c r="J64" s="59" t="s">
        <v>59</v>
      </c>
    </row>
    <row r="65" ht="14.25" customHeight="1">
      <c r="A65" s="38" t="s">
        <v>788</v>
      </c>
      <c r="B65" s="39" t="s">
        <v>408</v>
      </c>
      <c r="C65" s="41" t="s">
        <v>830</v>
      </c>
      <c r="D65" s="41" t="s">
        <v>832</v>
      </c>
      <c r="E65" s="33" t="s">
        <v>51</v>
      </c>
      <c r="F65" s="35" t="s">
        <v>51</v>
      </c>
      <c r="G65" s="35" t="s">
        <v>51</v>
      </c>
      <c r="H65" s="36" t="s">
        <v>56</v>
      </c>
      <c r="I65" s="59" t="s">
        <v>58</v>
      </c>
      <c r="J65" s="59" t="s">
        <v>59</v>
      </c>
    </row>
    <row r="66" ht="14.25" customHeight="1">
      <c r="A66" s="48" t="s">
        <v>788</v>
      </c>
      <c r="B66" s="49" t="s">
        <v>412</v>
      </c>
      <c r="C66" s="50" t="s">
        <v>841</v>
      </c>
      <c r="D66" s="50" t="s">
        <v>843</v>
      </c>
      <c r="E66" s="33" t="s">
        <v>51</v>
      </c>
      <c r="F66" s="35" t="s">
        <v>51</v>
      </c>
      <c r="G66" s="35" t="s">
        <v>51</v>
      </c>
      <c r="H66" s="36" t="s">
        <v>56</v>
      </c>
      <c r="I66" s="59" t="s">
        <v>58</v>
      </c>
      <c r="J66" s="59" t="s">
        <v>59</v>
      </c>
    </row>
    <row r="67" ht="14.25" customHeight="1">
      <c r="A67" s="14" t="s">
        <v>851</v>
      </c>
      <c r="B67" s="2"/>
      <c r="C67" s="2"/>
      <c r="D67" s="2"/>
      <c r="E67" s="2"/>
      <c r="F67" s="2"/>
      <c r="G67" s="2"/>
      <c r="H67" s="2"/>
      <c r="I67" s="4"/>
      <c r="J67" s="19"/>
    </row>
    <row r="68" ht="14.25" customHeight="1">
      <c r="A68" s="29" t="s">
        <v>856</v>
      </c>
      <c r="B68" s="31" t="s">
        <v>427</v>
      </c>
      <c r="C68" s="32" t="s">
        <v>860</v>
      </c>
      <c r="D68" s="32" t="s">
        <v>862</v>
      </c>
      <c r="E68" s="33" t="s">
        <v>51</v>
      </c>
      <c r="F68" s="35" t="s">
        <v>51</v>
      </c>
      <c r="G68" s="35" t="s">
        <v>51</v>
      </c>
      <c r="H68" s="36" t="s">
        <v>56</v>
      </c>
      <c r="I68" s="59" t="s">
        <v>58</v>
      </c>
      <c r="J68" s="59" t="s">
        <v>59</v>
      </c>
    </row>
    <row r="69" ht="14.25" customHeight="1">
      <c r="A69" s="38" t="s">
        <v>856</v>
      </c>
      <c r="B69" s="39" t="s">
        <v>433</v>
      </c>
      <c r="C69" s="41" t="s">
        <v>871</v>
      </c>
      <c r="D69" s="41" t="s">
        <v>872</v>
      </c>
      <c r="E69" s="33" t="s">
        <v>51</v>
      </c>
      <c r="F69" s="35" t="s">
        <v>51</v>
      </c>
      <c r="G69" s="35" t="s">
        <v>51</v>
      </c>
      <c r="H69" s="36" t="s">
        <v>56</v>
      </c>
      <c r="I69" s="59" t="s">
        <v>58</v>
      </c>
      <c r="J69" s="59" t="s">
        <v>59</v>
      </c>
    </row>
    <row r="70" ht="14.25" customHeight="1">
      <c r="A70" s="38" t="s">
        <v>856</v>
      </c>
      <c r="B70" s="39" t="s">
        <v>437</v>
      </c>
      <c r="C70" s="41" t="s">
        <v>879</v>
      </c>
      <c r="D70" s="41" t="s">
        <v>881</v>
      </c>
      <c r="E70" s="33" t="s">
        <v>51</v>
      </c>
      <c r="F70" s="35" t="s">
        <v>51</v>
      </c>
      <c r="G70" s="35" t="s">
        <v>51</v>
      </c>
      <c r="H70" s="36" t="s">
        <v>56</v>
      </c>
      <c r="I70" s="59" t="s">
        <v>58</v>
      </c>
      <c r="J70" s="59" t="s">
        <v>59</v>
      </c>
    </row>
    <row r="71" ht="14.25" customHeight="1">
      <c r="A71" s="38" t="s">
        <v>856</v>
      </c>
      <c r="B71" s="39" t="s">
        <v>445</v>
      </c>
      <c r="C71" s="41" t="s">
        <v>894</v>
      </c>
      <c r="D71" s="41" t="s">
        <v>895</v>
      </c>
      <c r="E71" s="33" t="s">
        <v>51</v>
      </c>
      <c r="F71" s="35" t="s">
        <v>51</v>
      </c>
      <c r="G71" s="35" t="s">
        <v>51</v>
      </c>
      <c r="H71" s="36" t="s">
        <v>56</v>
      </c>
      <c r="I71" s="59" t="s">
        <v>58</v>
      </c>
      <c r="J71" s="59" t="s">
        <v>59</v>
      </c>
    </row>
    <row r="72" ht="14.25" customHeight="1">
      <c r="A72" s="48" t="s">
        <v>856</v>
      </c>
      <c r="B72" s="49" t="s">
        <v>449</v>
      </c>
      <c r="C72" s="50" t="s">
        <v>907</v>
      </c>
      <c r="D72" s="50" t="s">
        <v>911</v>
      </c>
      <c r="E72" s="33" t="s">
        <v>51</v>
      </c>
      <c r="F72" s="35" t="s">
        <v>51</v>
      </c>
      <c r="G72" s="35" t="s">
        <v>51</v>
      </c>
      <c r="H72" s="36" t="s">
        <v>56</v>
      </c>
      <c r="I72" s="59" t="s">
        <v>58</v>
      </c>
      <c r="J72" s="59" t="s">
        <v>59</v>
      </c>
    </row>
    <row r="73" ht="14.25" customHeight="1">
      <c r="A73" s="14" t="s">
        <v>926</v>
      </c>
      <c r="B73" s="2"/>
      <c r="C73" s="2"/>
      <c r="D73" s="2"/>
      <c r="E73" s="2"/>
      <c r="F73" s="2"/>
      <c r="G73" s="2"/>
      <c r="H73" s="2"/>
      <c r="I73" s="4"/>
      <c r="J73" s="19"/>
    </row>
    <row r="74" ht="14.25" customHeight="1">
      <c r="A74" s="20" t="s">
        <v>6</v>
      </c>
      <c r="B74" s="20" t="s">
        <v>8</v>
      </c>
      <c r="C74" s="20" t="s">
        <v>10</v>
      </c>
      <c r="D74" s="20" t="s">
        <v>11</v>
      </c>
      <c r="E74" s="25" t="s">
        <v>13</v>
      </c>
      <c r="F74" s="25" t="s">
        <v>15</v>
      </c>
      <c r="G74" s="27" t="s">
        <v>18</v>
      </c>
      <c r="H74" s="25" t="s">
        <v>20</v>
      </c>
      <c r="I74" s="25" t="s">
        <v>22</v>
      </c>
      <c r="J74" s="25" t="s">
        <v>40</v>
      </c>
    </row>
    <row r="75" ht="14.25" customHeight="1">
      <c r="A75" s="29" t="s">
        <v>959</v>
      </c>
      <c r="B75" s="31" t="s">
        <v>462</v>
      </c>
      <c r="C75" s="32" t="s">
        <v>464</v>
      </c>
      <c r="D75" s="32" t="s">
        <v>962</v>
      </c>
      <c r="E75" s="33" t="s">
        <v>51</v>
      </c>
      <c r="F75" s="35" t="s">
        <v>51</v>
      </c>
      <c r="G75" s="35" t="s">
        <v>51</v>
      </c>
      <c r="H75" s="36" t="s">
        <v>56</v>
      </c>
      <c r="I75" s="59" t="s">
        <v>58</v>
      </c>
      <c r="J75" s="59" t="s">
        <v>59</v>
      </c>
    </row>
    <row r="76" ht="14.25" customHeight="1">
      <c r="A76" s="48" t="s">
        <v>959</v>
      </c>
      <c r="B76" s="49" t="s">
        <v>466</v>
      </c>
      <c r="C76" s="50" t="s">
        <v>468</v>
      </c>
      <c r="D76" s="50" t="s">
        <v>973</v>
      </c>
      <c r="E76" s="33" t="s">
        <v>51</v>
      </c>
      <c r="F76" s="35" t="s">
        <v>51</v>
      </c>
      <c r="G76" s="35" t="s">
        <v>51</v>
      </c>
      <c r="H76" s="36" t="s">
        <v>56</v>
      </c>
      <c r="I76" s="59" t="s">
        <v>58</v>
      </c>
      <c r="J76" s="59" t="s">
        <v>59</v>
      </c>
    </row>
    <row r="77" ht="14.25" customHeight="1">
      <c r="A77" s="14" t="s">
        <v>980</v>
      </c>
      <c r="B77" s="2"/>
      <c r="C77" s="2"/>
      <c r="D77" s="2"/>
      <c r="E77" s="2"/>
      <c r="F77" s="2"/>
      <c r="G77" s="2"/>
      <c r="H77" s="2"/>
      <c r="I77" s="4"/>
      <c r="J77" s="19"/>
    </row>
    <row r="78" ht="14.25" customHeight="1">
      <c r="A78" s="20" t="s">
        <v>6</v>
      </c>
      <c r="B78" s="20" t="s">
        <v>8</v>
      </c>
      <c r="C78" s="20" t="s">
        <v>10</v>
      </c>
      <c r="D78" s="20" t="s">
        <v>11</v>
      </c>
      <c r="E78" s="25" t="s">
        <v>13</v>
      </c>
      <c r="F78" s="25" t="s">
        <v>15</v>
      </c>
      <c r="G78" s="27" t="s">
        <v>18</v>
      </c>
      <c r="H78" s="25" t="s">
        <v>20</v>
      </c>
      <c r="I78" s="25" t="s">
        <v>22</v>
      </c>
      <c r="J78" s="25" t="s">
        <v>40</v>
      </c>
    </row>
    <row r="79" ht="14.25" customHeight="1">
      <c r="A79" s="29" t="s">
        <v>998</v>
      </c>
      <c r="B79" s="31" t="s">
        <v>513</v>
      </c>
      <c r="C79" s="32" t="s">
        <v>514</v>
      </c>
      <c r="D79" s="32" t="s">
        <v>1002</v>
      </c>
      <c r="E79" s="33" t="s">
        <v>51</v>
      </c>
      <c r="F79" s="35" t="s">
        <v>51</v>
      </c>
      <c r="G79" s="35" t="s">
        <v>51</v>
      </c>
      <c r="H79" s="36" t="s">
        <v>56</v>
      </c>
      <c r="I79" s="37" t="s">
        <v>1007</v>
      </c>
      <c r="J79" s="37" t="s">
        <v>59</v>
      </c>
    </row>
    <row r="80" ht="14.25" customHeight="1">
      <c r="A80" s="38" t="s">
        <v>998</v>
      </c>
      <c r="B80" s="39" t="s">
        <v>504</v>
      </c>
      <c r="C80" s="41" t="s">
        <v>506</v>
      </c>
      <c r="D80" s="41" t="s">
        <v>1010</v>
      </c>
      <c r="E80" s="33" t="s">
        <v>51</v>
      </c>
      <c r="F80" s="35" t="s">
        <v>51</v>
      </c>
      <c r="G80" s="35" t="s">
        <v>51</v>
      </c>
      <c r="H80" s="36" t="s">
        <v>56</v>
      </c>
      <c r="I80" s="37" t="s">
        <v>1007</v>
      </c>
      <c r="J80" s="37" t="s">
        <v>59</v>
      </c>
    </row>
    <row r="81" ht="14.25" customHeight="1">
      <c r="A81" s="38" t="s">
        <v>998</v>
      </c>
      <c r="B81" s="39" t="s">
        <v>510</v>
      </c>
      <c r="C81" s="41" t="s">
        <v>511</v>
      </c>
      <c r="D81" s="41" t="s">
        <v>1017</v>
      </c>
      <c r="E81" s="33" t="s">
        <v>51</v>
      </c>
      <c r="F81" s="35" t="s">
        <v>51</v>
      </c>
      <c r="G81" s="35" t="s">
        <v>51</v>
      </c>
      <c r="H81" s="36" t="s">
        <v>56</v>
      </c>
      <c r="I81" s="37" t="s">
        <v>1007</v>
      </c>
      <c r="J81" s="37" t="s">
        <v>59</v>
      </c>
    </row>
    <row r="82" ht="14.25" customHeight="1">
      <c r="A82" s="38" t="s">
        <v>998</v>
      </c>
      <c r="B82" s="39" t="s">
        <v>518</v>
      </c>
      <c r="C82" s="41" t="s">
        <v>520</v>
      </c>
      <c r="D82" s="41" t="s">
        <v>1023</v>
      </c>
      <c r="E82" s="33" t="s">
        <v>51</v>
      </c>
      <c r="F82" s="35" t="s">
        <v>51</v>
      </c>
      <c r="G82" s="35" t="s">
        <v>51</v>
      </c>
      <c r="H82" s="36" t="s">
        <v>56</v>
      </c>
      <c r="I82" s="37" t="s">
        <v>1007</v>
      </c>
      <c r="J82" s="37" t="s">
        <v>59</v>
      </c>
    </row>
    <row r="83" ht="14.25" customHeight="1">
      <c r="A83" s="48" t="s">
        <v>998</v>
      </c>
      <c r="B83" s="49" t="s">
        <v>524</v>
      </c>
      <c r="C83" s="50" t="s">
        <v>526</v>
      </c>
      <c r="D83" s="50" t="s">
        <v>1029</v>
      </c>
      <c r="E83" s="33" t="s">
        <v>51</v>
      </c>
      <c r="F83" s="35" t="s">
        <v>51</v>
      </c>
      <c r="G83" s="35" t="s">
        <v>51</v>
      </c>
      <c r="H83" s="36" t="s">
        <v>56</v>
      </c>
      <c r="I83" s="37" t="s">
        <v>58</v>
      </c>
      <c r="J83" s="37" t="s">
        <v>59</v>
      </c>
    </row>
    <row r="84" ht="14.25" customHeight="1">
      <c r="A84" s="14" t="s">
        <v>1033</v>
      </c>
      <c r="B84" s="2"/>
      <c r="C84" s="2"/>
      <c r="D84" s="2"/>
      <c r="E84" s="2"/>
      <c r="F84" s="2"/>
      <c r="G84" s="2"/>
      <c r="H84" s="2"/>
      <c r="I84" s="4"/>
      <c r="J84" s="17"/>
    </row>
    <row r="85" ht="14.25" customHeight="1">
      <c r="A85" s="14" t="s">
        <v>1040</v>
      </c>
      <c r="B85" s="2"/>
      <c r="C85" s="2"/>
      <c r="D85" s="2"/>
      <c r="E85" s="2"/>
      <c r="F85" s="2"/>
      <c r="G85" s="2"/>
      <c r="H85" s="2"/>
      <c r="I85" s="4"/>
      <c r="J85" s="19"/>
    </row>
    <row r="86" ht="14.25" customHeight="1">
      <c r="A86" s="72" t="s">
        <v>1045</v>
      </c>
      <c r="B86" s="2"/>
      <c r="C86" s="2"/>
      <c r="D86" s="2"/>
      <c r="E86" s="2"/>
      <c r="F86" s="2"/>
      <c r="G86" s="2"/>
      <c r="H86" s="2"/>
      <c r="I86" s="4"/>
      <c r="J86" s="73"/>
    </row>
    <row r="87" ht="14.25" customHeight="1">
      <c r="A87" s="20" t="s">
        <v>6</v>
      </c>
      <c r="B87" s="20" t="s">
        <v>8</v>
      </c>
      <c r="C87" s="20" t="s">
        <v>10</v>
      </c>
      <c r="D87" s="20" t="s">
        <v>11</v>
      </c>
      <c r="E87" s="25" t="s">
        <v>13</v>
      </c>
      <c r="F87" s="25" t="s">
        <v>15</v>
      </c>
      <c r="G87" s="27" t="s">
        <v>18</v>
      </c>
      <c r="H87" s="25" t="s">
        <v>20</v>
      </c>
      <c r="I87" s="25" t="s">
        <v>22</v>
      </c>
      <c r="J87" s="25" t="s">
        <v>40</v>
      </c>
    </row>
    <row r="88" ht="14.25" customHeight="1">
      <c r="A88" s="29" t="s">
        <v>1053</v>
      </c>
      <c r="B88" s="31" t="s">
        <v>943</v>
      </c>
      <c r="C88" s="32" t="s">
        <v>944</v>
      </c>
      <c r="D88" s="32" t="s">
        <v>1054</v>
      </c>
      <c r="E88" s="76" t="s">
        <v>56</v>
      </c>
      <c r="F88" s="36" t="s">
        <v>56</v>
      </c>
      <c r="G88" s="35" t="s">
        <v>51</v>
      </c>
      <c r="H88" s="35" t="s">
        <v>51</v>
      </c>
      <c r="I88" s="59" t="s">
        <v>58</v>
      </c>
      <c r="J88" s="59" t="s">
        <v>1056</v>
      </c>
    </row>
    <row r="89" ht="14.25" customHeight="1">
      <c r="A89" s="38" t="s">
        <v>1053</v>
      </c>
      <c r="B89" s="39" t="s">
        <v>949</v>
      </c>
      <c r="C89" s="41" t="s">
        <v>951</v>
      </c>
      <c r="D89" s="41" t="s">
        <v>1057</v>
      </c>
      <c r="E89" s="76" t="s">
        <v>56</v>
      </c>
      <c r="F89" s="36" t="s">
        <v>56</v>
      </c>
      <c r="G89" s="35" t="s">
        <v>51</v>
      </c>
      <c r="H89" s="35" t="s">
        <v>51</v>
      </c>
      <c r="I89" s="59" t="s">
        <v>58</v>
      </c>
      <c r="J89" s="59" t="s">
        <v>1056</v>
      </c>
    </row>
    <row r="90" ht="14.25" customHeight="1">
      <c r="A90" s="38" t="s">
        <v>1053</v>
      </c>
      <c r="B90" s="39" t="s">
        <v>957</v>
      </c>
      <c r="C90" s="41" t="s">
        <v>958</v>
      </c>
      <c r="D90" s="41" t="s">
        <v>1059</v>
      </c>
      <c r="E90" s="76" t="s">
        <v>56</v>
      </c>
      <c r="F90" s="36" t="s">
        <v>56</v>
      </c>
      <c r="G90" s="35" t="s">
        <v>51</v>
      </c>
      <c r="H90" s="35" t="s">
        <v>51</v>
      </c>
      <c r="I90" s="59" t="s">
        <v>58</v>
      </c>
      <c r="J90" s="59" t="s">
        <v>1056</v>
      </c>
    </row>
    <row r="91" ht="14.25" customHeight="1">
      <c r="A91" s="48" t="s">
        <v>1053</v>
      </c>
      <c r="B91" s="49" t="s">
        <v>964</v>
      </c>
      <c r="C91" s="50" t="s">
        <v>965</v>
      </c>
      <c r="D91" s="50" t="s">
        <v>1060</v>
      </c>
      <c r="E91" s="76" t="s">
        <v>56</v>
      </c>
      <c r="F91" s="36" t="s">
        <v>56</v>
      </c>
      <c r="G91" s="35" t="s">
        <v>51</v>
      </c>
      <c r="H91" s="35" t="s">
        <v>51</v>
      </c>
      <c r="I91" s="59" t="s">
        <v>58</v>
      </c>
      <c r="J91" s="59" t="s">
        <v>1056</v>
      </c>
    </row>
    <row r="92" ht="14.25" customHeight="1">
      <c r="A92" s="14" t="s">
        <v>1061</v>
      </c>
      <c r="B92" s="2"/>
      <c r="C92" s="2"/>
      <c r="D92" s="2"/>
      <c r="E92" s="2"/>
      <c r="F92" s="2"/>
      <c r="G92" s="2"/>
      <c r="H92" s="2"/>
      <c r="I92" s="4"/>
      <c r="J92" s="19"/>
    </row>
    <row r="93" ht="14.25" customHeight="1">
      <c r="A93" s="20" t="s">
        <v>6</v>
      </c>
      <c r="B93" s="20" t="s">
        <v>8</v>
      </c>
      <c r="C93" s="20" t="s">
        <v>10</v>
      </c>
      <c r="D93" s="20" t="s">
        <v>11</v>
      </c>
      <c r="E93" s="25" t="s">
        <v>13</v>
      </c>
      <c r="F93" s="25" t="s">
        <v>15</v>
      </c>
      <c r="G93" s="27" t="s">
        <v>18</v>
      </c>
      <c r="H93" s="25" t="s">
        <v>20</v>
      </c>
      <c r="I93" s="25" t="s">
        <v>22</v>
      </c>
      <c r="J93" s="25" t="s">
        <v>40</v>
      </c>
    </row>
    <row r="94" ht="14.25" customHeight="1">
      <c r="A94" s="29" t="s">
        <v>1064</v>
      </c>
      <c r="B94" s="31" t="s">
        <v>1065</v>
      </c>
      <c r="C94" s="32" t="s">
        <v>1067</v>
      </c>
      <c r="D94" s="32" t="s">
        <v>1068</v>
      </c>
      <c r="E94" s="76" t="s">
        <v>56</v>
      </c>
      <c r="F94" s="36" t="s">
        <v>56</v>
      </c>
      <c r="G94" s="35" t="s">
        <v>51</v>
      </c>
      <c r="H94" s="35" t="s">
        <v>51</v>
      </c>
      <c r="I94" s="59" t="s">
        <v>58</v>
      </c>
      <c r="J94" s="59" t="s">
        <v>1056</v>
      </c>
    </row>
    <row r="95" ht="14.25" customHeight="1">
      <c r="A95" s="38" t="s">
        <v>1064</v>
      </c>
      <c r="B95" s="39" t="s">
        <v>1071</v>
      </c>
      <c r="C95" s="41" t="s">
        <v>1072</v>
      </c>
      <c r="D95" s="41" t="s">
        <v>1073</v>
      </c>
      <c r="E95" s="76" t="s">
        <v>56</v>
      </c>
      <c r="F95" s="36" t="s">
        <v>56</v>
      </c>
      <c r="G95" s="35" t="s">
        <v>51</v>
      </c>
      <c r="H95" s="35" t="s">
        <v>51</v>
      </c>
      <c r="I95" s="59" t="s">
        <v>58</v>
      </c>
      <c r="J95" s="59" t="s">
        <v>1056</v>
      </c>
    </row>
    <row r="96" ht="14.25" customHeight="1">
      <c r="A96" s="38" t="s">
        <v>1064</v>
      </c>
      <c r="B96" s="39" t="s">
        <v>1075</v>
      </c>
      <c r="C96" s="41" t="s">
        <v>1076</v>
      </c>
      <c r="D96" s="41" t="s">
        <v>1077</v>
      </c>
      <c r="E96" s="76" t="s">
        <v>56</v>
      </c>
      <c r="F96" s="36" t="s">
        <v>56</v>
      </c>
      <c r="G96" s="35" t="s">
        <v>51</v>
      </c>
      <c r="H96" s="35" t="s">
        <v>51</v>
      </c>
      <c r="I96" s="59" t="s">
        <v>58</v>
      </c>
      <c r="J96" s="59" t="s">
        <v>1056</v>
      </c>
    </row>
    <row r="97" ht="14.25" customHeight="1">
      <c r="A97" s="48" t="s">
        <v>1064</v>
      </c>
      <c r="B97" s="49" t="s">
        <v>1079</v>
      </c>
      <c r="C97" s="50" t="s">
        <v>1080</v>
      </c>
      <c r="D97" s="50" t="s">
        <v>1081</v>
      </c>
      <c r="E97" s="76" t="s">
        <v>56</v>
      </c>
      <c r="F97" s="36" t="s">
        <v>56</v>
      </c>
      <c r="G97" s="35" t="s">
        <v>51</v>
      </c>
      <c r="H97" s="35" t="s">
        <v>51</v>
      </c>
      <c r="I97" s="59" t="s">
        <v>58</v>
      </c>
      <c r="J97" s="59" t="s">
        <v>1056</v>
      </c>
    </row>
    <row r="98" ht="14.25" customHeight="1">
      <c r="A98" s="14" t="s">
        <v>1083</v>
      </c>
      <c r="B98" s="2"/>
      <c r="C98" s="2"/>
      <c r="D98" s="2"/>
      <c r="E98" s="2"/>
      <c r="F98" s="2"/>
      <c r="G98" s="2"/>
      <c r="H98" s="2"/>
      <c r="I98" s="4"/>
      <c r="J98" s="19"/>
    </row>
    <row r="99" ht="14.25" customHeight="1">
      <c r="A99" s="72" t="s">
        <v>1045</v>
      </c>
      <c r="B99" s="2"/>
      <c r="C99" s="2"/>
      <c r="D99" s="2"/>
      <c r="E99" s="2"/>
      <c r="F99" s="2"/>
      <c r="G99" s="2"/>
      <c r="H99" s="2"/>
      <c r="I99" s="4"/>
      <c r="J99" s="73"/>
    </row>
    <row r="100" ht="14.25" customHeight="1">
      <c r="A100" s="20" t="s">
        <v>6</v>
      </c>
      <c r="B100" s="20" t="s">
        <v>8</v>
      </c>
      <c r="C100" s="20" t="s">
        <v>10</v>
      </c>
      <c r="D100" s="20" t="s">
        <v>11</v>
      </c>
      <c r="E100" s="25" t="s">
        <v>13</v>
      </c>
      <c r="F100" s="25" t="s">
        <v>15</v>
      </c>
      <c r="G100" s="27" t="s">
        <v>18</v>
      </c>
      <c r="H100" s="25" t="s">
        <v>20</v>
      </c>
      <c r="I100" s="25" t="s">
        <v>22</v>
      </c>
      <c r="J100" s="25" t="s">
        <v>40</v>
      </c>
    </row>
    <row r="101" ht="14.25" customHeight="1">
      <c r="A101" s="29" t="s">
        <v>1090</v>
      </c>
      <c r="B101" s="31" t="s">
        <v>1091</v>
      </c>
      <c r="C101" s="32" t="s">
        <v>1092</v>
      </c>
      <c r="D101" s="32" t="s">
        <v>1093</v>
      </c>
      <c r="E101" s="76" t="s">
        <v>56</v>
      </c>
      <c r="F101" s="36" t="s">
        <v>56</v>
      </c>
      <c r="G101" s="35" t="s">
        <v>51</v>
      </c>
      <c r="H101" s="35" t="s">
        <v>51</v>
      </c>
      <c r="I101" s="59" t="s">
        <v>58</v>
      </c>
      <c r="J101" s="59" t="s">
        <v>1056</v>
      </c>
    </row>
    <row r="102" ht="14.25" customHeight="1">
      <c r="A102" s="38" t="s">
        <v>1090</v>
      </c>
      <c r="B102" s="39" t="s">
        <v>1094</v>
      </c>
      <c r="C102" s="41" t="s">
        <v>1095</v>
      </c>
      <c r="D102" s="41" t="s">
        <v>1096</v>
      </c>
      <c r="E102" s="76" t="s">
        <v>56</v>
      </c>
      <c r="F102" s="36" t="s">
        <v>56</v>
      </c>
      <c r="G102" s="35" t="s">
        <v>51</v>
      </c>
      <c r="H102" s="35" t="s">
        <v>51</v>
      </c>
      <c r="I102" s="59" t="s">
        <v>58</v>
      </c>
      <c r="J102" s="59" t="s">
        <v>1056</v>
      </c>
    </row>
    <row r="103" ht="14.25" customHeight="1">
      <c r="A103" s="38" t="s">
        <v>1090</v>
      </c>
      <c r="B103" s="39" t="s">
        <v>1099</v>
      </c>
      <c r="C103" s="41" t="s">
        <v>1100</v>
      </c>
      <c r="D103" s="41" t="s">
        <v>1101</v>
      </c>
      <c r="E103" s="76" t="s">
        <v>56</v>
      </c>
      <c r="F103" s="36" t="s">
        <v>56</v>
      </c>
      <c r="G103" s="35" t="s">
        <v>51</v>
      </c>
      <c r="H103" s="35" t="s">
        <v>51</v>
      </c>
      <c r="I103" s="59" t="s">
        <v>58</v>
      </c>
      <c r="J103" s="59" t="s">
        <v>1056</v>
      </c>
    </row>
    <row r="104" ht="14.25" customHeight="1">
      <c r="A104" s="48" t="s">
        <v>1090</v>
      </c>
      <c r="B104" s="49" t="s">
        <v>1104</v>
      </c>
      <c r="C104" s="50" t="s">
        <v>1105</v>
      </c>
      <c r="D104" s="50" t="s">
        <v>1106</v>
      </c>
      <c r="E104" s="76" t="s">
        <v>56</v>
      </c>
      <c r="F104" s="36" t="s">
        <v>56</v>
      </c>
      <c r="G104" s="35" t="s">
        <v>51</v>
      </c>
      <c r="H104" s="35" t="s">
        <v>51</v>
      </c>
      <c r="I104" s="59" t="s">
        <v>58</v>
      </c>
      <c r="J104" s="59" t="s">
        <v>1056</v>
      </c>
    </row>
    <row r="105" ht="14.25" customHeight="1">
      <c r="A105" s="14" t="s">
        <v>1109</v>
      </c>
      <c r="B105" s="2"/>
      <c r="C105" s="2"/>
      <c r="D105" s="2"/>
      <c r="E105" s="2"/>
      <c r="F105" s="2"/>
      <c r="G105" s="2"/>
      <c r="H105" s="2"/>
      <c r="I105" s="4"/>
      <c r="J105" s="17"/>
    </row>
    <row r="106" ht="14.25" customHeight="1">
      <c r="A106" s="14" t="s">
        <v>1112</v>
      </c>
      <c r="B106" s="2"/>
      <c r="C106" s="2"/>
      <c r="D106" s="2"/>
      <c r="E106" s="2"/>
      <c r="F106" s="2"/>
      <c r="G106" s="2"/>
      <c r="H106" s="2"/>
      <c r="I106" s="4"/>
      <c r="J106" s="19"/>
    </row>
    <row r="107" ht="14.25" customHeight="1">
      <c r="A107" s="20" t="s">
        <v>6</v>
      </c>
      <c r="B107" s="20" t="s">
        <v>8</v>
      </c>
      <c r="C107" s="20" t="s">
        <v>10</v>
      </c>
      <c r="D107" s="20" t="s">
        <v>11</v>
      </c>
      <c r="E107" s="25" t="s">
        <v>13</v>
      </c>
      <c r="F107" s="25" t="s">
        <v>15</v>
      </c>
      <c r="G107" s="27" t="s">
        <v>18</v>
      </c>
      <c r="H107" s="25" t="s">
        <v>20</v>
      </c>
      <c r="I107" s="25" t="s">
        <v>22</v>
      </c>
      <c r="J107" s="25" t="s">
        <v>40</v>
      </c>
    </row>
    <row r="108" ht="14.25" customHeight="1">
      <c r="A108" s="29" t="s">
        <v>181</v>
      </c>
      <c r="B108" s="31" t="s">
        <v>183</v>
      </c>
      <c r="C108" s="32" t="s">
        <v>184</v>
      </c>
      <c r="D108" s="32" t="s">
        <v>1114</v>
      </c>
      <c r="E108" s="76" t="s">
        <v>56</v>
      </c>
      <c r="F108" s="35" t="s">
        <v>51</v>
      </c>
      <c r="G108" s="35" t="s">
        <v>51</v>
      </c>
      <c r="H108" s="36" t="s">
        <v>56</v>
      </c>
      <c r="I108" s="37" t="s">
        <v>58</v>
      </c>
      <c r="J108" s="37" t="s">
        <v>1115</v>
      </c>
    </row>
    <row r="109" ht="14.25" customHeight="1">
      <c r="A109" s="38" t="s">
        <v>181</v>
      </c>
      <c r="B109" s="39" t="s">
        <v>190</v>
      </c>
      <c r="C109" s="41" t="s">
        <v>192</v>
      </c>
      <c r="D109" s="41" t="s">
        <v>1116</v>
      </c>
      <c r="E109" s="76" t="s">
        <v>56</v>
      </c>
      <c r="F109" s="35" t="s">
        <v>51</v>
      </c>
      <c r="G109" s="35" t="s">
        <v>51</v>
      </c>
      <c r="H109" s="36" t="s">
        <v>56</v>
      </c>
      <c r="I109" s="37" t="s">
        <v>58</v>
      </c>
      <c r="J109" s="37" t="s">
        <v>1115</v>
      </c>
    </row>
    <row r="110" ht="14.25" customHeight="1">
      <c r="A110" s="48" t="s">
        <v>181</v>
      </c>
      <c r="B110" s="49" t="s">
        <v>198</v>
      </c>
      <c r="C110" s="50" t="s">
        <v>199</v>
      </c>
      <c r="D110" s="50" t="s">
        <v>1118</v>
      </c>
      <c r="E110" s="76" t="s">
        <v>56</v>
      </c>
      <c r="F110" s="35" t="s">
        <v>51</v>
      </c>
      <c r="G110" s="35" t="s">
        <v>51</v>
      </c>
      <c r="H110" s="36" t="s">
        <v>56</v>
      </c>
      <c r="I110" s="37" t="s">
        <v>58</v>
      </c>
      <c r="J110" s="37" t="s">
        <v>1115</v>
      </c>
    </row>
    <row r="111" ht="14.25" customHeight="1">
      <c r="A111" s="14" t="s">
        <v>1120</v>
      </c>
      <c r="B111" s="2"/>
      <c r="C111" s="2"/>
      <c r="D111" s="2"/>
      <c r="E111" s="2"/>
      <c r="F111" s="2"/>
      <c r="G111" s="2"/>
      <c r="H111" s="2"/>
      <c r="I111" s="4"/>
      <c r="J111" s="19"/>
    </row>
    <row r="112" ht="14.25" customHeight="1">
      <c r="A112" s="20" t="s">
        <v>6</v>
      </c>
      <c r="B112" s="20" t="s">
        <v>8</v>
      </c>
      <c r="C112" s="20" t="s">
        <v>10</v>
      </c>
      <c r="D112" s="20" t="s">
        <v>11</v>
      </c>
      <c r="E112" s="25" t="s">
        <v>13</v>
      </c>
      <c r="F112" s="25" t="s">
        <v>15</v>
      </c>
      <c r="G112" s="27" t="s">
        <v>18</v>
      </c>
      <c r="H112" s="25" t="s">
        <v>20</v>
      </c>
      <c r="I112" s="25" t="s">
        <v>22</v>
      </c>
      <c r="J112" s="25" t="s">
        <v>40</v>
      </c>
    </row>
    <row r="113" ht="14.25" customHeight="1">
      <c r="A113" s="29" t="s">
        <v>76</v>
      </c>
      <c r="B113" s="31" t="s">
        <v>83</v>
      </c>
      <c r="C113" s="32" t="s">
        <v>65</v>
      </c>
      <c r="D113" s="32" t="s">
        <v>1122</v>
      </c>
      <c r="E113" s="76" t="s">
        <v>56</v>
      </c>
      <c r="F113" s="35" t="s">
        <v>51</v>
      </c>
      <c r="G113" s="35" t="s">
        <v>51</v>
      </c>
      <c r="H113" s="36" t="s">
        <v>56</v>
      </c>
      <c r="I113" s="37" t="s">
        <v>58</v>
      </c>
      <c r="J113" s="37" t="s">
        <v>1115</v>
      </c>
    </row>
    <row r="114" ht="14.25" customHeight="1">
      <c r="A114" s="38" t="s">
        <v>76</v>
      </c>
      <c r="B114" s="39" t="s">
        <v>96</v>
      </c>
      <c r="C114" s="41" t="s">
        <v>46</v>
      </c>
      <c r="D114" s="41" t="s">
        <v>1123</v>
      </c>
      <c r="E114" s="76" t="s">
        <v>56</v>
      </c>
      <c r="F114" s="35" t="s">
        <v>51</v>
      </c>
      <c r="G114" s="35" t="s">
        <v>51</v>
      </c>
      <c r="H114" s="36" t="s">
        <v>56</v>
      </c>
      <c r="I114" s="37" t="s">
        <v>58</v>
      </c>
      <c r="J114" s="37" t="s">
        <v>1115</v>
      </c>
    </row>
    <row r="115" ht="14.25" customHeight="1">
      <c r="A115" s="38" t="s">
        <v>76</v>
      </c>
      <c r="B115" s="39" t="s">
        <v>105</v>
      </c>
      <c r="C115" s="41" t="s">
        <v>94</v>
      </c>
      <c r="D115" s="41" t="s">
        <v>1124</v>
      </c>
      <c r="E115" s="76" t="s">
        <v>56</v>
      </c>
      <c r="F115" s="35" t="s">
        <v>51</v>
      </c>
      <c r="G115" s="35" t="s">
        <v>51</v>
      </c>
      <c r="H115" s="36" t="s">
        <v>56</v>
      </c>
      <c r="I115" s="37" t="s">
        <v>58</v>
      </c>
      <c r="J115" s="37" t="s">
        <v>1115</v>
      </c>
    </row>
    <row r="116" ht="14.25" customHeight="1">
      <c r="A116" s="38" t="s">
        <v>76</v>
      </c>
      <c r="B116" s="39" t="s">
        <v>115</v>
      </c>
      <c r="C116" s="41" t="s">
        <v>100</v>
      </c>
      <c r="D116" s="41" t="s">
        <v>1127</v>
      </c>
      <c r="E116" s="76" t="s">
        <v>56</v>
      </c>
      <c r="F116" s="35" t="s">
        <v>51</v>
      </c>
      <c r="G116" s="35" t="s">
        <v>51</v>
      </c>
      <c r="H116" s="36" t="s">
        <v>56</v>
      </c>
      <c r="I116" s="37" t="s">
        <v>58</v>
      </c>
      <c r="J116" s="37" t="s">
        <v>1115</v>
      </c>
    </row>
    <row r="117" ht="14.25" customHeight="1">
      <c r="A117" s="48" t="s">
        <v>76</v>
      </c>
      <c r="B117" s="49" t="s">
        <v>123</v>
      </c>
      <c r="C117" s="50" t="s">
        <v>77</v>
      </c>
      <c r="D117" s="50" t="s">
        <v>1130</v>
      </c>
      <c r="E117" s="76" t="s">
        <v>56</v>
      </c>
      <c r="F117" s="35" t="s">
        <v>51</v>
      </c>
      <c r="G117" s="35" t="s">
        <v>51</v>
      </c>
      <c r="H117" s="36" t="s">
        <v>56</v>
      </c>
      <c r="I117" s="37" t="s">
        <v>58</v>
      </c>
      <c r="J117" s="37" t="s">
        <v>1115</v>
      </c>
    </row>
    <row r="118" ht="14.25" customHeight="1">
      <c r="A118" s="14" t="s">
        <v>1131</v>
      </c>
      <c r="B118" s="2"/>
      <c r="C118" s="2"/>
      <c r="D118" s="2"/>
      <c r="E118" s="2"/>
      <c r="F118" s="2"/>
      <c r="G118" s="2"/>
      <c r="H118" s="2"/>
      <c r="I118" s="4"/>
      <c r="J118" s="19"/>
    </row>
    <row r="119" ht="14.25" customHeight="1">
      <c r="A119" s="20" t="s">
        <v>6</v>
      </c>
      <c r="B119" s="20" t="s">
        <v>8</v>
      </c>
      <c r="C119" s="20" t="s">
        <v>10</v>
      </c>
      <c r="D119" s="20" t="s">
        <v>11</v>
      </c>
      <c r="E119" s="25" t="s">
        <v>13</v>
      </c>
      <c r="F119" s="25" t="s">
        <v>15</v>
      </c>
      <c r="G119" s="27" t="s">
        <v>18</v>
      </c>
      <c r="H119" s="25" t="s">
        <v>20</v>
      </c>
      <c r="I119" s="25" t="s">
        <v>22</v>
      </c>
      <c r="J119" s="25" t="s">
        <v>40</v>
      </c>
    </row>
    <row r="120" ht="14.25" customHeight="1">
      <c r="A120" s="29" t="s">
        <v>1135</v>
      </c>
      <c r="B120" s="31" t="s">
        <v>1136</v>
      </c>
      <c r="C120" s="32" t="s">
        <v>1137</v>
      </c>
      <c r="D120" s="32" t="s">
        <v>1139</v>
      </c>
      <c r="E120" s="76" t="s">
        <v>56</v>
      </c>
      <c r="F120" s="35" t="s">
        <v>51</v>
      </c>
      <c r="G120" s="35" t="s">
        <v>51</v>
      </c>
      <c r="H120" s="36" t="s">
        <v>56</v>
      </c>
      <c r="I120" s="37" t="s">
        <v>58</v>
      </c>
      <c r="J120" s="37" t="s">
        <v>1115</v>
      </c>
    </row>
    <row r="121" ht="14.25" customHeight="1">
      <c r="A121" s="38" t="s">
        <v>1135</v>
      </c>
      <c r="B121" s="39" t="s">
        <v>1140</v>
      </c>
      <c r="C121" s="41" t="s">
        <v>1141</v>
      </c>
      <c r="D121" s="41" t="s">
        <v>1142</v>
      </c>
      <c r="E121" s="76" t="s">
        <v>56</v>
      </c>
      <c r="F121" s="35" t="s">
        <v>51</v>
      </c>
      <c r="G121" s="35" t="s">
        <v>51</v>
      </c>
      <c r="H121" s="36" t="s">
        <v>56</v>
      </c>
      <c r="I121" s="37" t="s">
        <v>58</v>
      </c>
      <c r="J121" s="37" t="s">
        <v>1115</v>
      </c>
    </row>
    <row r="122" ht="14.25" customHeight="1">
      <c r="A122" s="38" t="s">
        <v>1135</v>
      </c>
      <c r="B122" s="39" t="s">
        <v>1143</v>
      </c>
      <c r="C122" s="41" t="s">
        <v>1144</v>
      </c>
      <c r="D122" s="41" t="s">
        <v>1145</v>
      </c>
      <c r="E122" s="76" t="s">
        <v>56</v>
      </c>
      <c r="F122" s="35" t="s">
        <v>51</v>
      </c>
      <c r="G122" s="35" t="s">
        <v>51</v>
      </c>
      <c r="H122" s="36" t="s">
        <v>56</v>
      </c>
      <c r="I122" s="37" t="s">
        <v>58</v>
      </c>
      <c r="J122" s="37" t="s">
        <v>1115</v>
      </c>
    </row>
    <row r="123" ht="14.25" customHeight="1">
      <c r="A123" s="48" t="s">
        <v>1135</v>
      </c>
      <c r="B123" s="49" t="s">
        <v>1147</v>
      </c>
      <c r="C123" s="50" t="s">
        <v>1148</v>
      </c>
      <c r="D123" s="50" t="s">
        <v>1149</v>
      </c>
      <c r="E123" s="76" t="s">
        <v>56</v>
      </c>
      <c r="F123" s="35" t="s">
        <v>51</v>
      </c>
      <c r="G123" s="35" t="s">
        <v>51</v>
      </c>
      <c r="H123" s="36" t="s">
        <v>56</v>
      </c>
      <c r="I123" s="37" t="s">
        <v>58</v>
      </c>
      <c r="J123" s="37" t="s">
        <v>1115</v>
      </c>
    </row>
    <row r="124" ht="14.25" customHeight="1">
      <c r="A124" s="14" t="s">
        <v>1151</v>
      </c>
      <c r="B124" s="2"/>
      <c r="C124" s="2"/>
      <c r="D124" s="2"/>
      <c r="E124" s="2"/>
      <c r="F124" s="2"/>
      <c r="G124" s="2"/>
      <c r="H124" s="2"/>
      <c r="I124" s="4"/>
      <c r="J124" s="19"/>
    </row>
    <row r="125" ht="14.25" customHeight="1">
      <c r="A125" s="20" t="s">
        <v>6</v>
      </c>
      <c r="B125" s="20" t="s">
        <v>8</v>
      </c>
      <c r="C125" s="20" t="s">
        <v>10</v>
      </c>
      <c r="D125" s="20" t="s">
        <v>11</v>
      </c>
      <c r="E125" s="25" t="s">
        <v>13</v>
      </c>
      <c r="F125" s="25" t="s">
        <v>15</v>
      </c>
      <c r="G125" s="27" t="s">
        <v>18</v>
      </c>
      <c r="H125" s="25" t="s">
        <v>20</v>
      </c>
      <c r="I125" s="25" t="s">
        <v>22</v>
      </c>
      <c r="J125" s="25" t="s">
        <v>40</v>
      </c>
    </row>
    <row r="126" ht="14.25" customHeight="1">
      <c r="A126" s="29" t="s">
        <v>1156</v>
      </c>
      <c r="B126" s="31" t="s">
        <v>1157</v>
      </c>
      <c r="C126" s="32" t="s">
        <v>1159</v>
      </c>
      <c r="D126" s="32" t="s">
        <v>1160</v>
      </c>
      <c r="E126" s="76" t="s">
        <v>56</v>
      </c>
      <c r="F126" s="35" t="s">
        <v>51</v>
      </c>
      <c r="G126" s="35" t="s">
        <v>51</v>
      </c>
      <c r="H126" s="36" t="s">
        <v>56</v>
      </c>
      <c r="I126" s="37" t="s">
        <v>58</v>
      </c>
      <c r="J126" s="37" t="s">
        <v>1115</v>
      </c>
    </row>
    <row r="127" ht="14.25" customHeight="1">
      <c r="A127" s="38" t="s">
        <v>1156</v>
      </c>
      <c r="B127" s="39" t="s">
        <v>1162</v>
      </c>
      <c r="C127" s="41" t="s">
        <v>1163</v>
      </c>
      <c r="D127" s="41" t="s">
        <v>1160</v>
      </c>
      <c r="E127" s="76" t="s">
        <v>56</v>
      </c>
      <c r="F127" s="35" t="s">
        <v>51</v>
      </c>
      <c r="G127" s="35" t="s">
        <v>51</v>
      </c>
      <c r="H127" s="36" t="s">
        <v>56</v>
      </c>
      <c r="I127" s="37" t="s">
        <v>58</v>
      </c>
      <c r="J127" s="37" t="s">
        <v>1115</v>
      </c>
    </row>
    <row r="128" ht="14.25" customHeight="1">
      <c r="A128" s="38" t="s">
        <v>1156</v>
      </c>
      <c r="B128" s="39" t="s">
        <v>1165</v>
      </c>
      <c r="C128" s="41" t="s">
        <v>1166</v>
      </c>
      <c r="D128" s="41" t="s">
        <v>1160</v>
      </c>
      <c r="E128" s="76" t="s">
        <v>56</v>
      </c>
      <c r="F128" s="35" t="s">
        <v>51</v>
      </c>
      <c r="G128" s="35" t="s">
        <v>51</v>
      </c>
      <c r="H128" s="36" t="s">
        <v>56</v>
      </c>
      <c r="I128" s="37" t="s">
        <v>58</v>
      </c>
      <c r="J128" s="37" t="s">
        <v>1115</v>
      </c>
    </row>
    <row r="129" ht="14.25" customHeight="1">
      <c r="A129" s="38" t="s">
        <v>1156</v>
      </c>
      <c r="B129" s="39" t="s">
        <v>1168</v>
      </c>
      <c r="C129" s="41" t="s">
        <v>1169</v>
      </c>
      <c r="D129" s="41" t="s">
        <v>1170</v>
      </c>
      <c r="E129" s="76" t="s">
        <v>56</v>
      </c>
      <c r="F129" s="35" t="s">
        <v>51</v>
      </c>
      <c r="G129" s="35" t="s">
        <v>51</v>
      </c>
      <c r="H129" s="36" t="s">
        <v>56</v>
      </c>
      <c r="I129" s="37" t="s">
        <v>58</v>
      </c>
      <c r="J129" s="37" t="s">
        <v>1115</v>
      </c>
    </row>
    <row r="130" ht="14.25" customHeight="1">
      <c r="A130" s="38" t="s">
        <v>1156</v>
      </c>
      <c r="B130" s="39" t="s">
        <v>1171</v>
      </c>
      <c r="C130" s="41" t="s">
        <v>1172</v>
      </c>
      <c r="D130" s="41" t="s">
        <v>1170</v>
      </c>
      <c r="E130" s="76" t="s">
        <v>56</v>
      </c>
      <c r="F130" s="35" t="s">
        <v>51</v>
      </c>
      <c r="G130" s="35" t="s">
        <v>51</v>
      </c>
      <c r="H130" s="36" t="s">
        <v>56</v>
      </c>
      <c r="I130" s="37" t="s">
        <v>58</v>
      </c>
      <c r="J130" s="37" t="s">
        <v>1115</v>
      </c>
    </row>
    <row r="131" ht="14.25" customHeight="1">
      <c r="A131" s="38" t="s">
        <v>1156</v>
      </c>
      <c r="B131" s="39" t="s">
        <v>1176</v>
      </c>
      <c r="C131" s="41" t="s">
        <v>1177</v>
      </c>
      <c r="D131" s="41" t="s">
        <v>1170</v>
      </c>
      <c r="E131" s="76" t="s">
        <v>56</v>
      </c>
      <c r="F131" s="35" t="s">
        <v>51</v>
      </c>
      <c r="G131" s="35" t="s">
        <v>51</v>
      </c>
      <c r="H131" s="36" t="s">
        <v>56</v>
      </c>
      <c r="I131" s="37" t="s">
        <v>58</v>
      </c>
      <c r="J131" s="37" t="s">
        <v>1115</v>
      </c>
    </row>
    <row r="132" ht="14.25" customHeight="1">
      <c r="A132" s="38" t="s">
        <v>1156</v>
      </c>
      <c r="B132" s="39" t="s">
        <v>1179</v>
      </c>
      <c r="C132" s="41" t="s">
        <v>1180</v>
      </c>
      <c r="D132" s="41" t="s">
        <v>1170</v>
      </c>
      <c r="E132" s="76" t="s">
        <v>56</v>
      </c>
      <c r="F132" s="35" t="s">
        <v>51</v>
      </c>
      <c r="G132" s="35" t="s">
        <v>51</v>
      </c>
      <c r="H132" s="36" t="s">
        <v>56</v>
      </c>
      <c r="I132" s="37" t="s">
        <v>58</v>
      </c>
      <c r="J132" s="37" t="s">
        <v>1115</v>
      </c>
    </row>
    <row r="133" ht="14.25" customHeight="1">
      <c r="A133" s="38" t="s">
        <v>1156</v>
      </c>
      <c r="B133" s="39" t="s">
        <v>1183</v>
      </c>
      <c r="C133" s="41" t="s">
        <v>1184</v>
      </c>
      <c r="D133" s="41" t="s">
        <v>1170</v>
      </c>
      <c r="E133" s="76" t="s">
        <v>56</v>
      </c>
      <c r="F133" s="35" t="s">
        <v>51</v>
      </c>
      <c r="G133" s="35" t="s">
        <v>51</v>
      </c>
      <c r="H133" s="36" t="s">
        <v>56</v>
      </c>
      <c r="I133" s="37" t="s">
        <v>58</v>
      </c>
      <c r="J133" s="37" t="s">
        <v>1115</v>
      </c>
    </row>
    <row r="134" ht="14.25" customHeight="1">
      <c r="A134" s="38" t="s">
        <v>1156</v>
      </c>
      <c r="B134" s="39" t="s">
        <v>1185</v>
      </c>
      <c r="C134" s="41" t="s">
        <v>1186</v>
      </c>
      <c r="D134" s="41" t="s">
        <v>1170</v>
      </c>
      <c r="E134" s="76" t="s">
        <v>56</v>
      </c>
      <c r="F134" s="35" t="s">
        <v>51</v>
      </c>
      <c r="G134" s="35" t="s">
        <v>51</v>
      </c>
      <c r="H134" s="36" t="s">
        <v>56</v>
      </c>
      <c r="I134" s="37" t="s">
        <v>58</v>
      </c>
      <c r="J134" s="37" t="s">
        <v>1115</v>
      </c>
    </row>
    <row r="135" ht="14.25" customHeight="1">
      <c r="A135" s="38" t="s">
        <v>1156</v>
      </c>
      <c r="B135" s="39" t="s">
        <v>1190</v>
      </c>
      <c r="C135" s="41" t="s">
        <v>905</v>
      </c>
      <c r="D135" s="41" t="s">
        <v>1192</v>
      </c>
      <c r="E135" s="76" t="s">
        <v>56</v>
      </c>
      <c r="F135" s="35" t="s">
        <v>51</v>
      </c>
      <c r="G135" s="35" t="s">
        <v>51</v>
      </c>
      <c r="H135" s="36" t="s">
        <v>56</v>
      </c>
      <c r="I135" s="37" t="s">
        <v>58</v>
      </c>
      <c r="J135" s="37" t="s">
        <v>1115</v>
      </c>
    </row>
    <row r="136" ht="14.25" customHeight="1">
      <c r="A136" s="38" t="s">
        <v>1156</v>
      </c>
      <c r="B136" s="39" t="s">
        <v>1198</v>
      </c>
      <c r="C136" s="41" t="s">
        <v>1199</v>
      </c>
      <c r="D136" s="41" t="s">
        <v>1192</v>
      </c>
      <c r="E136" s="76" t="s">
        <v>56</v>
      </c>
      <c r="F136" s="35" t="s">
        <v>51</v>
      </c>
      <c r="G136" s="35" t="s">
        <v>51</v>
      </c>
      <c r="H136" s="36" t="s">
        <v>56</v>
      </c>
      <c r="I136" s="37" t="s">
        <v>58</v>
      </c>
      <c r="J136" s="37" t="s">
        <v>1115</v>
      </c>
    </row>
    <row r="137" ht="14.25" customHeight="1">
      <c r="A137" s="38" t="s">
        <v>1156</v>
      </c>
      <c r="B137" s="39" t="s">
        <v>1203</v>
      </c>
      <c r="C137" s="41" t="s">
        <v>1204</v>
      </c>
      <c r="D137" s="41" t="s">
        <v>1192</v>
      </c>
      <c r="E137" s="76" t="s">
        <v>56</v>
      </c>
      <c r="F137" s="35" t="s">
        <v>51</v>
      </c>
      <c r="G137" s="35" t="s">
        <v>51</v>
      </c>
      <c r="H137" s="36" t="s">
        <v>56</v>
      </c>
      <c r="I137" s="37" t="s">
        <v>58</v>
      </c>
      <c r="J137" s="37" t="s">
        <v>1115</v>
      </c>
    </row>
    <row r="138" ht="14.25" customHeight="1">
      <c r="A138" s="38" t="s">
        <v>1156</v>
      </c>
      <c r="B138" s="39" t="s">
        <v>1209</v>
      </c>
      <c r="C138" s="41" t="s">
        <v>1210</v>
      </c>
      <c r="D138" s="41" t="s">
        <v>1192</v>
      </c>
      <c r="E138" s="76" t="s">
        <v>56</v>
      </c>
      <c r="F138" s="35" t="s">
        <v>51</v>
      </c>
      <c r="G138" s="35" t="s">
        <v>51</v>
      </c>
      <c r="H138" s="36" t="s">
        <v>56</v>
      </c>
      <c r="I138" s="37" t="s">
        <v>58</v>
      </c>
      <c r="J138" s="37" t="s">
        <v>1115</v>
      </c>
    </row>
    <row r="139" ht="14.25" customHeight="1">
      <c r="A139" s="38" t="s">
        <v>1156</v>
      </c>
      <c r="B139" s="39" t="s">
        <v>1214</v>
      </c>
      <c r="C139" s="41" t="s">
        <v>1217</v>
      </c>
      <c r="D139" s="41" t="s">
        <v>1192</v>
      </c>
      <c r="E139" s="76" t="s">
        <v>56</v>
      </c>
      <c r="F139" s="35" t="s">
        <v>51</v>
      </c>
      <c r="G139" s="35" t="s">
        <v>51</v>
      </c>
      <c r="H139" s="36" t="s">
        <v>56</v>
      </c>
      <c r="I139" s="37" t="s">
        <v>58</v>
      </c>
      <c r="J139" s="37" t="s">
        <v>1115</v>
      </c>
    </row>
    <row r="140" ht="14.25" customHeight="1">
      <c r="A140" s="38" t="s">
        <v>1156</v>
      </c>
      <c r="B140" s="39" t="s">
        <v>1221</v>
      </c>
      <c r="C140" s="41" t="s">
        <v>1223</v>
      </c>
      <c r="D140" s="41" t="s">
        <v>1192</v>
      </c>
      <c r="E140" s="76" t="s">
        <v>56</v>
      </c>
      <c r="F140" s="35" t="s">
        <v>51</v>
      </c>
      <c r="G140" s="35" t="s">
        <v>51</v>
      </c>
      <c r="H140" s="36" t="s">
        <v>56</v>
      </c>
      <c r="I140" s="37" t="s">
        <v>58</v>
      </c>
      <c r="J140" s="37" t="s">
        <v>1115</v>
      </c>
    </row>
    <row r="141" ht="14.25" customHeight="1">
      <c r="A141" s="38" t="s">
        <v>1156</v>
      </c>
      <c r="B141" s="39" t="s">
        <v>1228</v>
      </c>
      <c r="C141" s="41" t="s">
        <v>1230</v>
      </c>
      <c r="D141" s="41" t="s">
        <v>1231</v>
      </c>
      <c r="E141" s="76" t="s">
        <v>56</v>
      </c>
      <c r="F141" s="35" t="s">
        <v>51</v>
      </c>
      <c r="G141" s="35" t="s">
        <v>51</v>
      </c>
      <c r="H141" s="36" t="s">
        <v>56</v>
      </c>
      <c r="I141" s="37" t="s">
        <v>58</v>
      </c>
      <c r="J141" s="37" t="s">
        <v>1115</v>
      </c>
    </row>
    <row r="142" ht="14.25" customHeight="1">
      <c r="A142" s="38" t="s">
        <v>1156</v>
      </c>
      <c r="B142" s="39" t="s">
        <v>1236</v>
      </c>
      <c r="C142" s="41" t="s">
        <v>1237</v>
      </c>
      <c r="D142" s="41" t="s">
        <v>1231</v>
      </c>
      <c r="E142" s="76" t="s">
        <v>56</v>
      </c>
      <c r="F142" s="35" t="s">
        <v>51</v>
      </c>
      <c r="G142" s="35" t="s">
        <v>51</v>
      </c>
      <c r="H142" s="36" t="s">
        <v>56</v>
      </c>
      <c r="I142" s="37" t="s">
        <v>58</v>
      </c>
      <c r="J142" s="37" t="s">
        <v>1115</v>
      </c>
    </row>
    <row r="143" ht="14.25" customHeight="1">
      <c r="A143" s="38" t="s">
        <v>1156</v>
      </c>
      <c r="B143" s="39" t="s">
        <v>1242</v>
      </c>
      <c r="C143" s="41" t="s">
        <v>1243</v>
      </c>
      <c r="D143" s="41" t="s">
        <v>1231</v>
      </c>
      <c r="E143" s="76" t="s">
        <v>56</v>
      </c>
      <c r="F143" s="35" t="s">
        <v>51</v>
      </c>
      <c r="G143" s="35" t="s">
        <v>51</v>
      </c>
      <c r="H143" s="36" t="s">
        <v>56</v>
      </c>
      <c r="I143" s="37" t="s">
        <v>58</v>
      </c>
      <c r="J143" s="37" t="s">
        <v>1115</v>
      </c>
    </row>
    <row r="144" ht="14.25" customHeight="1">
      <c r="A144" s="38" t="s">
        <v>1156</v>
      </c>
      <c r="B144" s="39" t="s">
        <v>1247</v>
      </c>
      <c r="C144" s="41" t="s">
        <v>1248</v>
      </c>
      <c r="D144" s="41" t="s">
        <v>1249</v>
      </c>
      <c r="E144" s="76" t="s">
        <v>56</v>
      </c>
      <c r="F144" s="35" t="s">
        <v>51</v>
      </c>
      <c r="G144" s="35" t="s">
        <v>51</v>
      </c>
      <c r="H144" s="36" t="s">
        <v>56</v>
      </c>
      <c r="I144" s="37" t="s">
        <v>58</v>
      </c>
      <c r="J144" s="37" t="s">
        <v>1115</v>
      </c>
    </row>
    <row r="145" ht="14.25" customHeight="1">
      <c r="A145" s="38" t="s">
        <v>1156</v>
      </c>
      <c r="B145" s="39" t="s">
        <v>1251</v>
      </c>
      <c r="C145" s="41" t="s">
        <v>1252</v>
      </c>
      <c r="D145" s="41" t="s">
        <v>1249</v>
      </c>
      <c r="E145" s="76" t="s">
        <v>56</v>
      </c>
      <c r="F145" s="35" t="s">
        <v>51</v>
      </c>
      <c r="G145" s="35" t="s">
        <v>51</v>
      </c>
      <c r="H145" s="36" t="s">
        <v>56</v>
      </c>
      <c r="I145" s="37" t="s">
        <v>58</v>
      </c>
      <c r="J145" s="37" t="s">
        <v>1115</v>
      </c>
    </row>
    <row r="146" ht="14.25" customHeight="1">
      <c r="A146" s="38" t="s">
        <v>1156</v>
      </c>
      <c r="B146" s="39" t="s">
        <v>1256</v>
      </c>
      <c r="C146" s="41" t="s">
        <v>1257</v>
      </c>
      <c r="D146" s="41" t="s">
        <v>1249</v>
      </c>
      <c r="E146" s="76" t="s">
        <v>56</v>
      </c>
      <c r="F146" s="35" t="s">
        <v>51</v>
      </c>
      <c r="G146" s="35" t="s">
        <v>51</v>
      </c>
      <c r="H146" s="36" t="s">
        <v>56</v>
      </c>
      <c r="I146" s="37" t="s">
        <v>58</v>
      </c>
      <c r="J146" s="37" t="s">
        <v>1115</v>
      </c>
    </row>
    <row r="147" ht="14.25" customHeight="1">
      <c r="A147" s="38" t="s">
        <v>1156</v>
      </c>
      <c r="B147" s="39" t="s">
        <v>1261</v>
      </c>
      <c r="C147" s="41" t="s">
        <v>1263</v>
      </c>
      <c r="D147" s="41" t="s">
        <v>1249</v>
      </c>
      <c r="E147" s="76" t="s">
        <v>56</v>
      </c>
      <c r="F147" s="35" t="s">
        <v>51</v>
      </c>
      <c r="G147" s="35" t="s">
        <v>51</v>
      </c>
      <c r="H147" s="36" t="s">
        <v>56</v>
      </c>
      <c r="I147" s="37" t="s">
        <v>58</v>
      </c>
      <c r="J147" s="37" t="s">
        <v>1115</v>
      </c>
    </row>
    <row r="148" ht="14.25" customHeight="1">
      <c r="A148" s="38" t="s">
        <v>1156</v>
      </c>
      <c r="B148" s="39" t="s">
        <v>1268</v>
      </c>
      <c r="C148" s="41" t="s">
        <v>1269</v>
      </c>
      <c r="D148" s="41" t="s">
        <v>1271</v>
      </c>
      <c r="E148" s="76" t="s">
        <v>56</v>
      </c>
      <c r="F148" s="35" t="s">
        <v>51</v>
      </c>
      <c r="G148" s="35" t="s">
        <v>51</v>
      </c>
      <c r="H148" s="36" t="s">
        <v>56</v>
      </c>
      <c r="I148" s="37" t="s">
        <v>58</v>
      </c>
      <c r="J148" s="37" t="s">
        <v>1115</v>
      </c>
    </row>
    <row r="149" ht="14.25" customHeight="1">
      <c r="A149" s="38" t="s">
        <v>1156</v>
      </c>
      <c r="B149" s="39" t="s">
        <v>1274</v>
      </c>
      <c r="C149" s="41" t="s">
        <v>1275</v>
      </c>
      <c r="D149" s="41" t="s">
        <v>1271</v>
      </c>
      <c r="E149" s="76" t="s">
        <v>56</v>
      </c>
      <c r="F149" s="35" t="s">
        <v>51</v>
      </c>
      <c r="G149" s="35" t="s">
        <v>51</v>
      </c>
      <c r="H149" s="36" t="s">
        <v>56</v>
      </c>
      <c r="I149" s="37" t="s">
        <v>58</v>
      </c>
      <c r="J149" s="37" t="s">
        <v>1115</v>
      </c>
    </row>
    <row r="150" ht="14.25" customHeight="1">
      <c r="A150" s="38" t="s">
        <v>1156</v>
      </c>
      <c r="B150" s="39" t="s">
        <v>1278</v>
      </c>
      <c r="C150" s="41" t="s">
        <v>1280</v>
      </c>
      <c r="D150" s="41" t="s">
        <v>1271</v>
      </c>
      <c r="E150" s="76" t="s">
        <v>56</v>
      </c>
      <c r="F150" s="35" t="s">
        <v>51</v>
      </c>
      <c r="G150" s="35" t="s">
        <v>51</v>
      </c>
      <c r="H150" s="36" t="s">
        <v>56</v>
      </c>
      <c r="I150" s="37" t="s">
        <v>58</v>
      </c>
      <c r="J150" s="37" t="s">
        <v>1115</v>
      </c>
    </row>
    <row r="151" ht="14.25" customHeight="1">
      <c r="A151" s="38" t="s">
        <v>1156</v>
      </c>
      <c r="B151" s="39" t="s">
        <v>1281</v>
      </c>
      <c r="C151" s="41" t="s">
        <v>1282</v>
      </c>
      <c r="D151" s="41" t="s">
        <v>1271</v>
      </c>
      <c r="E151" s="76" t="s">
        <v>56</v>
      </c>
      <c r="F151" s="35" t="s">
        <v>51</v>
      </c>
      <c r="G151" s="35" t="s">
        <v>51</v>
      </c>
      <c r="H151" s="36" t="s">
        <v>56</v>
      </c>
      <c r="I151" s="37" t="s">
        <v>58</v>
      </c>
      <c r="J151" s="37" t="s">
        <v>1115</v>
      </c>
    </row>
    <row r="152" ht="14.25" customHeight="1">
      <c r="A152" s="38" t="s">
        <v>1156</v>
      </c>
      <c r="B152" s="39" t="s">
        <v>1284</v>
      </c>
      <c r="C152" s="41" t="s">
        <v>1285</v>
      </c>
      <c r="D152" s="41" t="s">
        <v>1271</v>
      </c>
      <c r="E152" s="76" t="s">
        <v>56</v>
      </c>
      <c r="F152" s="35" t="s">
        <v>51</v>
      </c>
      <c r="G152" s="35" t="s">
        <v>51</v>
      </c>
      <c r="H152" s="36" t="s">
        <v>56</v>
      </c>
      <c r="I152" s="37" t="s">
        <v>58</v>
      </c>
      <c r="J152" s="37" t="s">
        <v>1115</v>
      </c>
    </row>
    <row r="153" ht="14.25" customHeight="1">
      <c r="A153" s="38" t="s">
        <v>1156</v>
      </c>
      <c r="B153" s="39" t="s">
        <v>1286</v>
      </c>
      <c r="C153" s="41" t="s">
        <v>1288</v>
      </c>
      <c r="D153" s="41" t="s">
        <v>1271</v>
      </c>
      <c r="E153" s="76" t="s">
        <v>56</v>
      </c>
      <c r="F153" s="35" t="s">
        <v>51</v>
      </c>
      <c r="G153" s="35" t="s">
        <v>51</v>
      </c>
      <c r="H153" s="36" t="s">
        <v>56</v>
      </c>
      <c r="I153" s="37" t="s">
        <v>58</v>
      </c>
      <c r="J153" s="37" t="s">
        <v>1115</v>
      </c>
    </row>
    <row r="154" ht="14.25" customHeight="1">
      <c r="A154" s="38" t="s">
        <v>1156</v>
      </c>
      <c r="B154" s="39" t="s">
        <v>1289</v>
      </c>
      <c r="C154" s="41" t="s">
        <v>1290</v>
      </c>
      <c r="D154" s="41" t="s">
        <v>1291</v>
      </c>
      <c r="E154" s="76" t="s">
        <v>56</v>
      </c>
      <c r="F154" s="35" t="s">
        <v>51</v>
      </c>
      <c r="G154" s="35" t="s">
        <v>51</v>
      </c>
      <c r="H154" s="36" t="s">
        <v>56</v>
      </c>
      <c r="I154" s="37" t="s">
        <v>58</v>
      </c>
      <c r="J154" s="37" t="s">
        <v>1115</v>
      </c>
    </row>
    <row r="155" ht="14.25" customHeight="1">
      <c r="A155" s="38" t="s">
        <v>1156</v>
      </c>
      <c r="B155" s="39" t="s">
        <v>1293</v>
      </c>
      <c r="C155" s="41" t="s">
        <v>1294</v>
      </c>
      <c r="D155" s="41" t="s">
        <v>1291</v>
      </c>
      <c r="E155" s="76" t="s">
        <v>56</v>
      </c>
      <c r="F155" s="35" t="s">
        <v>51</v>
      </c>
      <c r="G155" s="35" t="s">
        <v>51</v>
      </c>
      <c r="H155" s="36" t="s">
        <v>56</v>
      </c>
      <c r="I155" s="37" t="s">
        <v>58</v>
      </c>
      <c r="J155" s="37" t="s">
        <v>1115</v>
      </c>
    </row>
    <row r="156" ht="14.25" customHeight="1">
      <c r="A156" s="38" t="s">
        <v>1156</v>
      </c>
      <c r="B156" s="39" t="s">
        <v>1295</v>
      </c>
      <c r="C156" s="41" t="s">
        <v>1296</v>
      </c>
      <c r="D156" s="41" t="s">
        <v>1297</v>
      </c>
      <c r="E156" s="76" t="s">
        <v>56</v>
      </c>
      <c r="F156" s="35" t="s">
        <v>51</v>
      </c>
      <c r="G156" s="35" t="s">
        <v>51</v>
      </c>
      <c r="H156" s="36" t="s">
        <v>56</v>
      </c>
      <c r="I156" s="37" t="s">
        <v>58</v>
      </c>
      <c r="J156" s="37" t="s">
        <v>1115</v>
      </c>
    </row>
    <row r="157" ht="14.25" customHeight="1">
      <c r="A157" s="38" t="s">
        <v>1156</v>
      </c>
      <c r="B157" s="39" t="s">
        <v>1301</v>
      </c>
      <c r="C157" s="41" t="s">
        <v>1302</v>
      </c>
      <c r="D157" s="41" t="s">
        <v>1304</v>
      </c>
      <c r="E157" s="76" t="s">
        <v>56</v>
      </c>
      <c r="F157" s="35" t="s">
        <v>51</v>
      </c>
      <c r="G157" s="35" t="s">
        <v>51</v>
      </c>
      <c r="H157" s="36" t="s">
        <v>56</v>
      </c>
      <c r="I157" s="37" t="s">
        <v>58</v>
      </c>
      <c r="J157" s="37" t="s">
        <v>1115</v>
      </c>
    </row>
    <row r="158" ht="14.25" customHeight="1">
      <c r="A158" s="38" t="s">
        <v>1156</v>
      </c>
      <c r="B158" s="39" t="s">
        <v>1305</v>
      </c>
      <c r="C158" s="41" t="s">
        <v>1307</v>
      </c>
      <c r="D158" s="41" t="s">
        <v>1304</v>
      </c>
      <c r="E158" s="76" t="s">
        <v>56</v>
      </c>
      <c r="F158" s="35" t="s">
        <v>51</v>
      </c>
      <c r="G158" s="35" t="s">
        <v>51</v>
      </c>
      <c r="H158" s="36" t="s">
        <v>56</v>
      </c>
      <c r="I158" s="37" t="s">
        <v>58</v>
      </c>
      <c r="J158" s="37" t="s">
        <v>1115</v>
      </c>
    </row>
    <row r="159" ht="14.25" customHeight="1">
      <c r="A159" s="38" t="s">
        <v>1156</v>
      </c>
      <c r="B159" s="39" t="s">
        <v>1310</v>
      </c>
      <c r="C159" s="41" t="s">
        <v>1311</v>
      </c>
      <c r="D159" s="41" t="s">
        <v>1304</v>
      </c>
      <c r="E159" s="76" t="s">
        <v>56</v>
      </c>
      <c r="F159" s="35" t="s">
        <v>51</v>
      </c>
      <c r="G159" s="35" t="s">
        <v>51</v>
      </c>
      <c r="H159" s="36" t="s">
        <v>56</v>
      </c>
      <c r="I159" s="37" t="s">
        <v>58</v>
      </c>
      <c r="J159" s="37" t="s">
        <v>1115</v>
      </c>
    </row>
    <row r="160" ht="14.25" customHeight="1">
      <c r="A160" s="38" t="s">
        <v>1156</v>
      </c>
      <c r="B160" s="39" t="s">
        <v>1314</v>
      </c>
      <c r="C160" s="41" t="s">
        <v>1315</v>
      </c>
      <c r="D160" s="41" t="s">
        <v>1304</v>
      </c>
      <c r="E160" s="76" t="s">
        <v>56</v>
      </c>
      <c r="F160" s="35" t="s">
        <v>51</v>
      </c>
      <c r="G160" s="35" t="s">
        <v>51</v>
      </c>
      <c r="H160" s="36" t="s">
        <v>56</v>
      </c>
      <c r="I160" s="37" t="s">
        <v>58</v>
      </c>
      <c r="J160" s="37" t="s">
        <v>1115</v>
      </c>
    </row>
    <row r="161" ht="14.25" customHeight="1">
      <c r="A161" s="38" t="s">
        <v>1156</v>
      </c>
      <c r="B161" s="39" t="s">
        <v>1317</v>
      </c>
      <c r="C161" s="41" t="s">
        <v>1318</v>
      </c>
      <c r="D161" s="41" t="s">
        <v>1304</v>
      </c>
      <c r="E161" s="76" t="s">
        <v>56</v>
      </c>
      <c r="F161" s="35" t="s">
        <v>51</v>
      </c>
      <c r="G161" s="35" t="s">
        <v>51</v>
      </c>
      <c r="H161" s="36" t="s">
        <v>56</v>
      </c>
      <c r="I161" s="37" t="s">
        <v>58</v>
      </c>
      <c r="J161" s="37" t="s">
        <v>1115</v>
      </c>
    </row>
    <row r="162" ht="14.25" customHeight="1">
      <c r="A162" s="38" t="s">
        <v>1156</v>
      </c>
      <c r="B162" s="39" t="s">
        <v>1323</v>
      </c>
      <c r="C162" s="41" t="s">
        <v>1324</v>
      </c>
      <c r="D162" s="41" t="s">
        <v>1304</v>
      </c>
      <c r="E162" s="76" t="s">
        <v>56</v>
      </c>
      <c r="F162" s="35" t="s">
        <v>51</v>
      </c>
      <c r="G162" s="35" t="s">
        <v>51</v>
      </c>
      <c r="H162" s="36" t="s">
        <v>56</v>
      </c>
      <c r="I162" s="37" t="s">
        <v>58</v>
      </c>
      <c r="J162" s="37" t="s">
        <v>1115</v>
      </c>
    </row>
    <row r="163" ht="14.25" customHeight="1">
      <c r="A163" s="38" t="s">
        <v>1156</v>
      </c>
      <c r="B163" s="39" t="s">
        <v>1326</v>
      </c>
      <c r="C163" s="41" t="s">
        <v>1327</v>
      </c>
      <c r="D163" s="41" t="s">
        <v>1329</v>
      </c>
      <c r="E163" s="76" t="s">
        <v>56</v>
      </c>
      <c r="F163" s="35" t="s">
        <v>51</v>
      </c>
      <c r="G163" s="35" t="s">
        <v>51</v>
      </c>
      <c r="H163" s="36" t="s">
        <v>56</v>
      </c>
      <c r="I163" s="37" t="s">
        <v>58</v>
      </c>
      <c r="J163" s="37" t="s">
        <v>1115</v>
      </c>
    </row>
    <row r="164" ht="14.25" customHeight="1">
      <c r="A164" s="38" t="s">
        <v>1156</v>
      </c>
      <c r="B164" s="39" t="s">
        <v>1333</v>
      </c>
      <c r="C164" s="41" t="s">
        <v>1334</v>
      </c>
      <c r="D164" s="41" t="s">
        <v>1335</v>
      </c>
      <c r="E164" s="76" t="s">
        <v>56</v>
      </c>
      <c r="F164" s="35" t="s">
        <v>51</v>
      </c>
      <c r="G164" s="35" t="s">
        <v>51</v>
      </c>
      <c r="H164" s="36" t="s">
        <v>56</v>
      </c>
      <c r="I164" s="37" t="s">
        <v>58</v>
      </c>
      <c r="J164" s="37" t="s">
        <v>1115</v>
      </c>
    </row>
    <row r="165" ht="14.25" customHeight="1">
      <c r="A165" s="38" t="s">
        <v>1156</v>
      </c>
      <c r="B165" s="39" t="s">
        <v>1342</v>
      </c>
      <c r="C165" s="41" t="s">
        <v>1344</v>
      </c>
      <c r="D165" s="41" t="s">
        <v>1345</v>
      </c>
      <c r="E165" s="76" t="s">
        <v>56</v>
      </c>
      <c r="F165" s="35" t="s">
        <v>51</v>
      </c>
      <c r="G165" s="35" t="s">
        <v>51</v>
      </c>
      <c r="H165" s="36" t="s">
        <v>56</v>
      </c>
      <c r="I165" s="37" t="s">
        <v>58</v>
      </c>
      <c r="J165" s="37" t="s">
        <v>1115</v>
      </c>
    </row>
    <row r="166" ht="14.25" customHeight="1">
      <c r="A166" s="38" t="s">
        <v>1156</v>
      </c>
      <c r="B166" s="39" t="s">
        <v>1350</v>
      </c>
      <c r="C166" s="41" t="s">
        <v>1353</v>
      </c>
      <c r="D166" s="41" t="s">
        <v>1345</v>
      </c>
      <c r="E166" s="76" t="s">
        <v>56</v>
      </c>
      <c r="F166" s="35" t="s">
        <v>51</v>
      </c>
      <c r="G166" s="35" t="s">
        <v>51</v>
      </c>
      <c r="H166" s="36" t="s">
        <v>56</v>
      </c>
      <c r="I166" s="37" t="s">
        <v>58</v>
      </c>
      <c r="J166" s="37" t="s">
        <v>1115</v>
      </c>
    </row>
    <row r="167" ht="14.25" customHeight="1">
      <c r="A167" s="38" t="s">
        <v>1156</v>
      </c>
      <c r="B167" s="39" t="s">
        <v>1361</v>
      </c>
      <c r="C167" s="41" t="s">
        <v>1363</v>
      </c>
      <c r="D167" s="41" t="s">
        <v>1345</v>
      </c>
      <c r="E167" s="76" t="s">
        <v>56</v>
      </c>
      <c r="F167" s="35" t="s">
        <v>51</v>
      </c>
      <c r="G167" s="35" t="s">
        <v>51</v>
      </c>
      <c r="H167" s="36" t="s">
        <v>56</v>
      </c>
      <c r="I167" s="37" t="s">
        <v>58</v>
      </c>
      <c r="J167" s="37" t="s">
        <v>1115</v>
      </c>
    </row>
    <row r="168" ht="14.25" customHeight="1">
      <c r="A168" s="38" t="s">
        <v>1156</v>
      </c>
      <c r="B168" s="39" t="s">
        <v>1371</v>
      </c>
      <c r="C168" s="41" t="s">
        <v>1372</v>
      </c>
      <c r="D168" s="41" t="s">
        <v>1345</v>
      </c>
      <c r="E168" s="76" t="s">
        <v>56</v>
      </c>
      <c r="F168" s="35" t="s">
        <v>51</v>
      </c>
      <c r="G168" s="35" t="s">
        <v>51</v>
      </c>
      <c r="H168" s="36" t="s">
        <v>56</v>
      </c>
      <c r="I168" s="37" t="s">
        <v>58</v>
      </c>
      <c r="J168" s="37" t="s">
        <v>1115</v>
      </c>
    </row>
    <row r="169" ht="14.25" customHeight="1">
      <c r="A169" s="38" t="s">
        <v>1156</v>
      </c>
      <c r="B169" s="39" t="s">
        <v>1379</v>
      </c>
      <c r="C169" s="41" t="s">
        <v>1380</v>
      </c>
      <c r="D169" s="41" t="s">
        <v>1382</v>
      </c>
      <c r="E169" s="76" t="s">
        <v>56</v>
      </c>
      <c r="F169" s="35" t="s">
        <v>51</v>
      </c>
      <c r="G169" s="35" t="s">
        <v>51</v>
      </c>
      <c r="H169" s="36" t="s">
        <v>56</v>
      </c>
      <c r="I169" s="37" t="s">
        <v>58</v>
      </c>
      <c r="J169" s="37" t="s">
        <v>1115</v>
      </c>
    </row>
    <row r="170" ht="14.25" customHeight="1">
      <c r="A170" s="38" t="s">
        <v>1156</v>
      </c>
      <c r="B170" s="39" t="s">
        <v>1390</v>
      </c>
      <c r="C170" s="41" t="s">
        <v>1392</v>
      </c>
      <c r="D170" s="41" t="s">
        <v>1394</v>
      </c>
      <c r="E170" s="76" t="s">
        <v>56</v>
      </c>
      <c r="F170" s="35" t="s">
        <v>51</v>
      </c>
      <c r="G170" s="35" t="s">
        <v>51</v>
      </c>
      <c r="H170" s="36" t="s">
        <v>56</v>
      </c>
      <c r="I170" s="37" t="s">
        <v>58</v>
      </c>
      <c r="J170" s="37" t="s">
        <v>1115</v>
      </c>
    </row>
    <row r="171" ht="14.25" customHeight="1">
      <c r="A171" s="48" t="s">
        <v>1156</v>
      </c>
      <c r="B171" s="49" t="s">
        <v>1401</v>
      </c>
      <c r="C171" s="50" t="s">
        <v>1403</v>
      </c>
      <c r="D171" s="50" t="s">
        <v>1406</v>
      </c>
      <c r="E171" s="76" t="s">
        <v>56</v>
      </c>
      <c r="F171" s="35" t="s">
        <v>51</v>
      </c>
      <c r="G171" s="35" t="s">
        <v>51</v>
      </c>
      <c r="H171" s="36" t="s">
        <v>56</v>
      </c>
      <c r="I171" s="37" t="s">
        <v>58</v>
      </c>
      <c r="J171" s="37" t="s">
        <v>1115</v>
      </c>
    </row>
    <row r="172" ht="14.25" customHeight="1">
      <c r="A172" s="14" t="s">
        <v>1414</v>
      </c>
      <c r="B172" s="2"/>
      <c r="C172" s="2"/>
      <c r="D172" s="2"/>
      <c r="E172" s="2"/>
      <c r="F172" s="2"/>
      <c r="G172" s="2"/>
      <c r="H172" s="2"/>
      <c r="I172" s="4"/>
      <c r="J172" s="19"/>
    </row>
    <row r="173" ht="14.25" customHeight="1">
      <c r="A173" s="20" t="s">
        <v>6</v>
      </c>
      <c r="B173" s="20" t="s">
        <v>8</v>
      </c>
      <c r="C173" s="20" t="s">
        <v>10</v>
      </c>
      <c r="D173" s="20" t="s">
        <v>11</v>
      </c>
      <c r="E173" s="25" t="s">
        <v>13</v>
      </c>
      <c r="F173" s="25" t="s">
        <v>15</v>
      </c>
      <c r="G173" s="27" t="s">
        <v>18</v>
      </c>
      <c r="H173" s="25" t="s">
        <v>20</v>
      </c>
      <c r="I173" s="25" t="s">
        <v>22</v>
      </c>
      <c r="J173" s="25" t="s">
        <v>40</v>
      </c>
    </row>
    <row r="174" ht="14.25" customHeight="1">
      <c r="A174" s="29" t="s">
        <v>1432</v>
      </c>
      <c r="B174" s="31" t="s">
        <v>1434</v>
      </c>
      <c r="C174" s="32" t="s">
        <v>1436</v>
      </c>
      <c r="D174" s="32" t="s">
        <v>1437</v>
      </c>
      <c r="E174" s="76" t="s">
        <v>51</v>
      </c>
      <c r="F174" s="35" t="s">
        <v>51</v>
      </c>
      <c r="G174" s="35" t="s">
        <v>51</v>
      </c>
      <c r="H174" s="36" t="s">
        <v>51</v>
      </c>
      <c r="I174" s="59" t="s">
        <v>58</v>
      </c>
      <c r="J174" s="59" t="s">
        <v>1443</v>
      </c>
    </row>
    <row r="175" ht="14.25" customHeight="1">
      <c r="A175" s="38" t="s">
        <v>1432</v>
      </c>
      <c r="B175" s="39" t="s">
        <v>1445</v>
      </c>
      <c r="C175" s="41" t="s">
        <v>1447</v>
      </c>
      <c r="D175" s="41" t="s">
        <v>1449</v>
      </c>
      <c r="E175" s="76" t="s">
        <v>51</v>
      </c>
      <c r="F175" s="35" t="s">
        <v>51</v>
      </c>
      <c r="G175" s="35" t="s">
        <v>51</v>
      </c>
      <c r="H175" s="36" t="s">
        <v>51</v>
      </c>
      <c r="I175" s="59" t="s">
        <v>58</v>
      </c>
      <c r="J175" s="59" t="s">
        <v>1443</v>
      </c>
    </row>
    <row r="176" ht="14.25" customHeight="1">
      <c r="A176" s="38" t="s">
        <v>1432</v>
      </c>
      <c r="B176" s="39" t="s">
        <v>1456</v>
      </c>
      <c r="C176" s="41" t="s">
        <v>434</v>
      </c>
      <c r="D176" s="41" t="s">
        <v>1457</v>
      </c>
      <c r="E176" s="76" t="s">
        <v>51</v>
      </c>
      <c r="F176" s="35" t="s">
        <v>51</v>
      </c>
      <c r="G176" s="35" t="s">
        <v>51</v>
      </c>
      <c r="H176" s="36" t="s">
        <v>51</v>
      </c>
      <c r="I176" s="59" t="s">
        <v>58</v>
      </c>
      <c r="J176" s="59" t="s">
        <v>1443</v>
      </c>
    </row>
    <row r="177" ht="14.25" customHeight="1">
      <c r="A177" s="48" t="s">
        <v>1432</v>
      </c>
      <c r="B177" s="49" t="s">
        <v>1461</v>
      </c>
      <c r="C177" s="50" t="s">
        <v>440</v>
      </c>
      <c r="D177" s="50" t="s">
        <v>1449</v>
      </c>
      <c r="E177" s="76" t="s">
        <v>51</v>
      </c>
      <c r="F177" s="35" t="s">
        <v>51</v>
      </c>
      <c r="G177" s="35" t="s">
        <v>51</v>
      </c>
      <c r="H177" s="36" t="s">
        <v>51</v>
      </c>
      <c r="I177" s="59" t="s">
        <v>58</v>
      </c>
      <c r="J177" s="59" t="s">
        <v>1443</v>
      </c>
    </row>
    <row r="178" ht="14.25" customHeight="1">
      <c r="A178" s="14" t="s">
        <v>1467</v>
      </c>
      <c r="B178" s="2"/>
      <c r="C178" s="2"/>
      <c r="D178" s="2"/>
      <c r="E178" s="2"/>
      <c r="F178" s="2"/>
      <c r="G178" s="2"/>
      <c r="H178" s="2"/>
      <c r="I178" s="4"/>
      <c r="J178" s="19"/>
    </row>
    <row r="179" ht="14.25" customHeight="1">
      <c r="A179" s="20" t="s">
        <v>6</v>
      </c>
      <c r="B179" s="20" t="s">
        <v>8</v>
      </c>
      <c r="C179" s="20" t="s">
        <v>10</v>
      </c>
      <c r="D179" s="20" t="s">
        <v>11</v>
      </c>
      <c r="E179" s="25" t="s">
        <v>13</v>
      </c>
      <c r="F179" s="25" t="s">
        <v>15</v>
      </c>
      <c r="G179" s="27" t="s">
        <v>18</v>
      </c>
      <c r="H179" s="25" t="s">
        <v>20</v>
      </c>
      <c r="I179" s="25" t="s">
        <v>22</v>
      </c>
      <c r="J179" s="25" t="s">
        <v>40</v>
      </c>
    </row>
    <row r="180" ht="14.25" customHeight="1">
      <c r="A180" s="29" t="s">
        <v>1475</v>
      </c>
      <c r="B180" s="31" t="s">
        <v>1477</v>
      </c>
      <c r="C180" s="32" t="s">
        <v>1478</v>
      </c>
      <c r="D180" s="32" t="s">
        <v>1480</v>
      </c>
      <c r="E180" s="76" t="s">
        <v>51</v>
      </c>
      <c r="F180" s="35" t="s">
        <v>51</v>
      </c>
      <c r="G180" s="35" t="s">
        <v>51</v>
      </c>
      <c r="H180" s="36" t="s">
        <v>56</v>
      </c>
      <c r="I180" s="59" t="s">
        <v>58</v>
      </c>
      <c r="J180" s="59" t="s">
        <v>59</v>
      </c>
    </row>
    <row r="181" ht="14.25" customHeight="1">
      <c r="A181" s="38" t="s">
        <v>1475</v>
      </c>
      <c r="B181" s="39" t="s">
        <v>1482</v>
      </c>
      <c r="C181" s="41" t="s">
        <v>1483</v>
      </c>
      <c r="D181" s="41" t="s">
        <v>1484</v>
      </c>
      <c r="E181" s="76" t="s">
        <v>51</v>
      </c>
      <c r="F181" s="35" t="s">
        <v>51</v>
      </c>
      <c r="G181" s="35" t="s">
        <v>51</v>
      </c>
      <c r="H181" s="36" t="s">
        <v>56</v>
      </c>
      <c r="I181" s="59" t="s">
        <v>58</v>
      </c>
      <c r="J181" s="59" t="s">
        <v>59</v>
      </c>
    </row>
    <row r="182" ht="14.25" customHeight="1">
      <c r="A182" s="38" t="s">
        <v>1475</v>
      </c>
      <c r="B182" s="39" t="s">
        <v>1485</v>
      </c>
      <c r="C182" s="41" t="s">
        <v>1486</v>
      </c>
      <c r="D182" s="41" t="s">
        <v>1487</v>
      </c>
      <c r="E182" s="76" t="s">
        <v>51</v>
      </c>
      <c r="F182" s="35" t="s">
        <v>51</v>
      </c>
      <c r="G182" s="35" t="s">
        <v>51</v>
      </c>
      <c r="H182" s="36" t="s">
        <v>56</v>
      </c>
      <c r="I182" s="59" t="s">
        <v>58</v>
      </c>
      <c r="J182" s="59" t="s">
        <v>59</v>
      </c>
    </row>
    <row r="183" ht="14.25" customHeight="1">
      <c r="A183" s="38" t="s">
        <v>1475</v>
      </c>
      <c r="B183" s="39" t="s">
        <v>1489</v>
      </c>
      <c r="C183" s="41" t="s">
        <v>1490</v>
      </c>
      <c r="D183" s="41" t="s">
        <v>1491</v>
      </c>
      <c r="E183" s="76" t="s">
        <v>51</v>
      </c>
      <c r="F183" s="35" t="s">
        <v>51</v>
      </c>
      <c r="G183" s="35" t="s">
        <v>51</v>
      </c>
      <c r="H183" s="36" t="s">
        <v>56</v>
      </c>
      <c r="I183" s="59" t="s">
        <v>58</v>
      </c>
      <c r="J183" s="59" t="s">
        <v>59</v>
      </c>
    </row>
    <row r="184" ht="14.25" customHeight="1">
      <c r="A184" s="38" t="s">
        <v>1475</v>
      </c>
      <c r="B184" s="39" t="s">
        <v>1500</v>
      </c>
      <c r="C184" s="41" t="s">
        <v>1502</v>
      </c>
      <c r="D184" s="41" t="s">
        <v>1503</v>
      </c>
      <c r="E184" s="76" t="s">
        <v>51</v>
      </c>
      <c r="F184" s="35" t="s">
        <v>51</v>
      </c>
      <c r="G184" s="35" t="s">
        <v>51</v>
      </c>
      <c r="H184" s="36" t="s">
        <v>56</v>
      </c>
      <c r="I184" s="59" t="s">
        <v>58</v>
      </c>
      <c r="J184" s="59" t="s">
        <v>59</v>
      </c>
    </row>
    <row r="185" ht="14.25" customHeight="1">
      <c r="A185" s="38" t="s">
        <v>1475</v>
      </c>
      <c r="B185" s="39" t="s">
        <v>1505</v>
      </c>
      <c r="C185" s="41" t="s">
        <v>1506</v>
      </c>
      <c r="D185" s="41" t="s">
        <v>1507</v>
      </c>
      <c r="E185" s="76" t="s">
        <v>51</v>
      </c>
      <c r="F185" s="35" t="s">
        <v>51</v>
      </c>
      <c r="G185" s="35" t="s">
        <v>51</v>
      </c>
      <c r="H185" s="36" t="s">
        <v>56</v>
      </c>
      <c r="I185" s="59" t="s">
        <v>58</v>
      </c>
      <c r="J185" s="59" t="s">
        <v>59</v>
      </c>
    </row>
    <row r="186" ht="14.25" customHeight="1">
      <c r="A186" s="38" t="s">
        <v>1475</v>
      </c>
      <c r="B186" s="39" t="s">
        <v>1510</v>
      </c>
      <c r="C186" s="41" t="s">
        <v>1511</v>
      </c>
      <c r="D186" s="41" t="s">
        <v>1507</v>
      </c>
      <c r="E186" s="76" t="s">
        <v>51</v>
      </c>
      <c r="F186" s="35" t="s">
        <v>51</v>
      </c>
      <c r="G186" s="35" t="s">
        <v>51</v>
      </c>
      <c r="H186" s="36" t="s">
        <v>56</v>
      </c>
      <c r="I186" s="59" t="s">
        <v>58</v>
      </c>
      <c r="J186" s="59" t="s">
        <v>59</v>
      </c>
    </row>
    <row r="187" ht="14.25" customHeight="1">
      <c r="A187" s="38" t="s">
        <v>1475</v>
      </c>
      <c r="B187" s="39" t="s">
        <v>1519</v>
      </c>
      <c r="C187" s="41" t="s">
        <v>1520</v>
      </c>
      <c r="D187" s="41" t="s">
        <v>1522</v>
      </c>
      <c r="E187" s="76" t="s">
        <v>51</v>
      </c>
      <c r="F187" s="35" t="s">
        <v>51</v>
      </c>
      <c r="G187" s="35" t="s">
        <v>51</v>
      </c>
      <c r="H187" s="36" t="s">
        <v>56</v>
      </c>
      <c r="I187" s="59" t="s">
        <v>58</v>
      </c>
      <c r="J187" s="59" t="s">
        <v>59</v>
      </c>
    </row>
    <row r="188" ht="14.25" customHeight="1">
      <c r="A188" s="112" t="s">
        <v>1475</v>
      </c>
      <c r="B188" s="113" t="s">
        <v>1530</v>
      </c>
      <c r="C188" s="114" t="s">
        <v>1531</v>
      </c>
      <c r="D188" s="114" t="s">
        <v>1532</v>
      </c>
      <c r="E188" s="115" t="s">
        <v>51</v>
      </c>
      <c r="F188" s="116" t="s">
        <v>51</v>
      </c>
      <c r="G188" s="116" t="s">
        <v>51</v>
      </c>
      <c r="H188" s="115" t="s">
        <v>56</v>
      </c>
      <c r="I188" s="117" t="s">
        <v>58</v>
      </c>
      <c r="J188" s="117" t="s">
        <v>59</v>
      </c>
    </row>
    <row r="189" ht="14.25" customHeight="1">
      <c r="A189" s="60"/>
      <c r="J189" s="60"/>
    </row>
    <row r="190" ht="14.25" customHeight="1">
      <c r="A190" s="14" t="s">
        <v>1533</v>
      </c>
      <c r="B190" s="2"/>
      <c r="C190" s="2"/>
      <c r="D190" s="2"/>
      <c r="E190" s="2"/>
      <c r="F190" s="2"/>
      <c r="G190" s="2"/>
      <c r="H190" s="2"/>
      <c r="I190" s="4"/>
      <c r="J190" s="19"/>
    </row>
    <row r="191" ht="14.25" customHeight="1">
      <c r="A191" s="60" t="s">
        <v>1534</v>
      </c>
      <c r="J191" s="60"/>
    </row>
    <row r="192" ht="14.25" customHeight="1">
      <c r="A192" s="20" t="s">
        <v>6</v>
      </c>
      <c r="B192" s="20" t="s">
        <v>8</v>
      </c>
      <c r="C192" s="20" t="s">
        <v>10</v>
      </c>
      <c r="D192" s="20" t="s">
        <v>11</v>
      </c>
      <c r="E192" s="25" t="s">
        <v>13</v>
      </c>
      <c r="F192" s="25" t="s">
        <v>15</v>
      </c>
      <c r="G192" s="27" t="s">
        <v>18</v>
      </c>
      <c r="H192" s="25" t="s">
        <v>20</v>
      </c>
      <c r="I192" s="25" t="s">
        <v>22</v>
      </c>
      <c r="J192" s="25" t="s">
        <v>40</v>
      </c>
    </row>
    <row r="193" ht="14.25" customHeight="1">
      <c r="A193" s="29" t="s">
        <v>1541</v>
      </c>
      <c r="B193" s="31" t="s">
        <v>1544</v>
      </c>
      <c r="C193" s="32" t="s">
        <v>1545</v>
      </c>
      <c r="D193" s="32" t="s">
        <v>1548</v>
      </c>
      <c r="E193" s="76" t="s">
        <v>56</v>
      </c>
      <c r="F193" s="35" t="s">
        <v>51</v>
      </c>
      <c r="G193" s="35" t="s">
        <v>51</v>
      </c>
      <c r="H193" s="36" t="s">
        <v>56</v>
      </c>
      <c r="I193" s="37" t="s">
        <v>58</v>
      </c>
      <c r="J193" s="37" t="s">
        <v>1115</v>
      </c>
    </row>
    <row r="194" ht="14.25" customHeight="1">
      <c r="A194" s="38" t="s">
        <v>1541</v>
      </c>
      <c r="B194" s="39" t="s">
        <v>1555</v>
      </c>
      <c r="C194" s="41" t="s">
        <v>1557</v>
      </c>
      <c r="D194" s="41" t="s">
        <v>1559</v>
      </c>
      <c r="E194" s="76" t="s">
        <v>56</v>
      </c>
      <c r="F194" s="35" t="s">
        <v>51</v>
      </c>
      <c r="G194" s="35" t="s">
        <v>51</v>
      </c>
      <c r="H194" s="36" t="s">
        <v>56</v>
      </c>
      <c r="I194" s="37" t="s">
        <v>58</v>
      </c>
      <c r="J194" s="37" t="s">
        <v>1115</v>
      </c>
    </row>
    <row r="195" ht="14.25" customHeight="1">
      <c r="A195" s="38" t="s">
        <v>1541</v>
      </c>
      <c r="B195" s="39" t="s">
        <v>1567</v>
      </c>
      <c r="C195" s="41" t="s">
        <v>1568</v>
      </c>
      <c r="D195" s="41" t="s">
        <v>1569</v>
      </c>
      <c r="E195" s="76" t="s">
        <v>56</v>
      </c>
      <c r="F195" s="35" t="s">
        <v>51</v>
      </c>
      <c r="G195" s="35" t="s">
        <v>51</v>
      </c>
      <c r="H195" s="36" t="s">
        <v>56</v>
      </c>
      <c r="I195" s="37" t="s">
        <v>58</v>
      </c>
      <c r="J195" s="37" t="s">
        <v>1115</v>
      </c>
    </row>
    <row r="196" ht="14.25" customHeight="1">
      <c r="A196" s="38" t="s">
        <v>1541</v>
      </c>
      <c r="B196" s="39" t="s">
        <v>1579</v>
      </c>
      <c r="C196" s="41" t="s">
        <v>1580</v>
      </c>
      <c r="D196" s="41" t="s">
        <v>1582</v>
      </c>
      <c r="E196" s="76" t="s">
        <v>56</v>
      </c>
      <c r="F196" s="35" t="s">
        <v>51</v>
      </c>
      <c r="G196" s="35" t="s">
        <v>51</v>
      </c>
      <c r="H196" s="36" t="s">
        <v>56</v>
      </c>
      <c r="I196" s="37" t="s">
        <v>58</v>
      </c>
      <c r="J196" s="37" t="s">
        <v>1115</v>
      </c>
    </row>
    <row r="197" ht="14.25" customHeight="1">
      <c r="A197" s="38" t="s">
        <v>1541</v>
      </c>
      <c r="B197" s="39" t="s">
        <v>1586</v>
      </c>
      <c r="C197" s="41" t="s">
        <v>1588</v>
      </c>
      <c r="D197" s="41" t="s">
        <v>1589</v>
      </c>
      <c r="E197" s="76" t="s">
        <v>56</v>
      </c>
      <c r="F197" s="35" t="s">
        <v>51</v>
      </c>
      <c r="G197" s="35" t="s">
        <v>51</v>
      </c>
      <c r="H197" s="36" t="s">
        <v>56</v>
      </c>
      <c r="I197" s="37" t="s">
        <v>58</v>
      </c>
      <c r="J197" s="37" t="s">
        <v>1115</v>
      </c>
    </row>
    <row r="198" ht="14.25" customHeight="1">
      <c r="A198" s="38" t="s">
        <v>1541</v>
      </c>
      <c r="B198" s="39" t="s">
        <v>1594</v>
      </c>
      <c r="C198" s="41" t="s">
        <v>1596</v>
      </c>
      <c r="D198" s="41" t="s">
        <v>1597</v>
      </c>
      <c r="E198" s="76" t="s">
        <v>56</v>
      </c>
      <c r="F198" s="35" t="s">
        <v>51</v>
      </c>
      <c r="G198" s="35" t="s">
        <v>51</v>
      </c>
      <c r="H198" s="36" t="s">
        <v>56</v>
      </c>
      <c r="I198" s="37" t="s">
        <v>58</v>
      </c>
      <c r="J198" s="37" t="s">
        <v>1115</v>
      </c>
    </row>
    <row r="199" ht="14.25" customHeight="1">
      <c r="A199" s="38" t="s">
        <v>1541</v>
      </c>
      <c r="B199" s="39" t="s">
        <v>1601</v>
      </c>
      <c r="C199" s="41" t="s">
        <v>1602</v>
      </c>
      <c r="D199" s="41" t="s">
        <v>1603</v>
      </c>
      <c r="E199" s="76" t="s">
        <v>56</v>
      </c>
      <c r="F199" s="35" t="s">
        <v>51</v>
      </c>
      <c r="G199" s="35" t="s">
        <v>51</v>
      </c>
      <c r="H199" s="36" t="s">
        <v>56</v>
      </c>
      <c r="I199" s="37" t="s">
        <v>58</v>
      </c>
      <c r="J199" s="37" t="s">
        <v>1115</v>
      </c>
    </row>
    <row r="200" ht="14.25" customHeight="1">
      <c r="A200" s="38" t="s">
        <v>1541</v>
      </c>
      <c r="B200" s="39" t="s">
        <v>1611</v>
      </c>
      <c r="C200" s="41" t="s">
        <v>1612</v>
      </c>
      <c r="D200" s="41" t="s">
        <v>1614</v>
      </c>
      <c r="E200" s="76" t="s">
        <v>56</v>
      </c>
      <c r="F200" s="35" t="s">
        <v>51</v>
      </c>
      <c r="G200" s="35" t="s">
        <v>51</v>
      </c>
      <c r="H200" s="36" t="s">
        <v>56</v>
      </c>
      <c r="I200" s="37" t="s">
        <v>58</v>
      </c>
      <c r="J200" s="37" t="s">
        <v>1115</v>
      </c>
    </row>
    <row r="201" ht="14.25" customHeight="1">
      <c r="A201" s="38" t="s">
        <v>1541</v>
      </c>
      <c r="B201" s="39" t="s">
        <v>1620</v>
      </c>
      <c r="C201" s="41" t="s">
        <v>1622</v>
      </c>
      <c r="D201" s="41" t="s">
        <v>1624</v>
      </c>
      <c r="E201" s="76" t="s">
        <v>56</v>
      </c>
      <c r="F201" s="35" t="s">
        <v>51</v>
      </c>
      <c r="G201" s="35" t="s">
        <v>51</v>
      </c>
      <c r="H201" s="36" t="s">
        <v>56</v>
      </c>
      <c r="I201" s="37" t="s">
        <v>58</v>
      </c>
      <c r="J201" s="37" t="s">
        <v>1115</v>
      </c>
    </row>
    <row r="202" ht="14.25" customHeight="1">
      <c r="A202" s="38" t="s">
        <v>1541</v>
      </c>
      <c r="B202" s="39" t="s">
        <v>1629</v>
      </c>
      <c r="C202" s="41" t="s">
        <v>1630</v>
      </c>
      <c r="D202" s="41" t="s">
        <v>1631</v>
      </c>
      <c r="E202" s="76" t="s">
        <v>56</v>
      </c>
      <c r="F202" s="35" t="s">
        <v>51</v>
      </c>
      <c r="G202" s="35" t="s">
        <v>51</v>
      </c>
      <c r="H202" s="36" t="s">
        <v>56</v>
      </c>
      <c r="I202" s="37" t="s">
        <v>58</v>
      </c>
      <c r="J202" s="37" t="s">
        <v>1115</v>
      </c>
    </row>
    <row r="203" ht="14.25" customHeight="1">
      <c r="A203" s="38" t="s">
        <v>1541</v>
      </c>
      <c r="B203" s="39" t="s">
        <v>1635</v>
      </c>
      <c r="C203" s="41" t="s">
        <v>1637</v>
      </c>
      <c r="D203" s="41" t="s">
        <v>1639</v>
      </c>
      <c r="E203" s="76" t="s">
        <v>56</v>
      </c>
      <c r="F203" s="35" t="s">
        <v>51</v>
      </c>
      <c r="G203" s="35" t="s">
        <v>51</v>
      </c>
      <c r="H203" s="36" t="s">
        <v>56</v>
      </c>
      <c r="I203" s="37" t="s">
        <v>58</v>
      </c>
      <c r="J203" s="37" t="s">
        <v>1115</v>
      </c>
    </row>
    <row r="204" ht="14.25" customHeight="1">
      <c r="A204" s="38" t="s">
        <v>1541</v>
      </c>
      <c r="B204" s="39" t="s">
        <v>1645</v>
      </c>
      <c r="C204" s="41" t="s">
        <v>1647</v>
      </c>
      <c r="D204" s="41" t="s">
        <v>1648</v>
      </c>
      <c r="E204" s="76" t="s">
        <v>56</v>
      </c>
      <c r="F204" s="35" t="s">
        <v>51</v>
      </c>
      <c r="G204" s="35" t="s">
        <v>51</v>
      </c>
      <c r="H204" s="36" t="s">
        <v>56</v>
      </c>
      <c r="I204" s="37" t="s">
        <v>58</v>
      </c>
      <c r="J204" s="37" t="s">
        <v>1115</v>
      </c>
    </row>
    <row r="205" ht="14.25" customHeight="1">
      <c r="A205" s="38" t="s">
        <v>1541</v>
      </c>
      <c r="B205" s="39" t="s">
        <v>1655</v>
      </c>
      <c r="C205" s="41" t="s">
        <v>1657</v>
      </c>
      <c r="D205" s="41" t="s">
        <v>1659</v>
      </c>
      <c r="E205" s="76" t="s">
        <v>56</v>
      </c>
      <c r="F205" s="35" t="s">
        <v>51</v>
      </c>
      <c r="G205" s="35" t="s">
        <v>51</v>
      </c>
      <c r="H205" s="36" t="s">
        <v>56</v>
      </c>
      <c r="I205" s="37" t="s">
        <v>58</v>
      </c>
      <c r="J205" s="37" t="s">
        <v>1115</v>
      </c>
    </row>
    <row r="206" ht="14.25" customHeight="1">
      <c r="A206" s="38" t="s">
        <v>1541</v>
      </c>
      <c r="B206" s="39" t="s">
        <v>1665</v>
      </c>
      <c r="C206" s="41" t="s">
        <v>1666</v>
      </c>
      <c r="D206" s="41" t="s">
        <v>1668</v>
      </c>
      <c r="E206" s="76" t="s">
        <v>56</v>
      </c>
      <c r="F206" s="35" t="s">
        <v>51</v>
      </c>
      <c r="G206" s="35" t="s">
        <v>51</v>
      </c>
      <c r="H206" s="36" t="s">
        <v>56</v>
      </c>
      <c r="I206" s="37" t="s">
        <v>58</v>
      </c>
      <c r="J206" s="37" t="s">
        <v>1115</v>
      </c>
    </row>
    <row r="207" ht="14.25" customHeight="1">
      <c r="A207" s="38" t="s">
        <v>1541</v>
      </c>
      <c r="B207" s="39" t="s">
        <v>1673</v>
      </c>
      <c r="C207" s="41" t="s">
        <v>1675</v>
      </c>
      <c r="D207" s="41" t="s">
        <v>1676</v>
      </c>
      <c r="E207" s="76" t="s">
        <v>56</v>
      </c>
      <c r="F207" s="35" t="s">
        <v>51</v>
      </c>
      <c r="G207" s="35" t="s">
        <v>51</v>
      </c>
      <c r="H207" s="36" t="s">
        <v>56</v>
      </c>
      <c r="I207" s="37" t="s">
        <v>58</v>
      </c>
      <c r="J207" s="37" t="s">
        <v>1115</v>
      </c>
    </row>
    <row r="208" ht="14.25" customHeight="1">
      <c r="A208" s="48" t="s">
        <v>1541</v>
      </c>
      <c r="B208" s="49" t="s">
        <v>1684</v>
      </c>
      <c r="C208" s="50" t="s">
        <v>1686</v>
      </c>
      <c r="D208" s="50" t="s">
        <v>1687</v>
      </c>
      <c r="E208" s="76" t="s">
        <v>56</v>
      </c>
      <c r="F208" s="35" t="s">
        <v>51</v>
      </c>
      <c r="G208" s="35" t="s">
        <v>51</v>
      </c>
      <c r="H208" s="36" t="s">
        <v>56</v>
      </c>
      <c r="I208" s="37" t="s">
        <v>58</v>
      </c>
      <c r="J208" s="37" t="s">
        <v>1115</v>
      </c>
    </row>
    <row r="209" ht="14.25" customHeight="1">
      <c r="A209" s="14" t="s">
        <v>1694</v>
      </c>
      <c r="B209" s="2"/>
      <c r="C209" s="2"/>
      <c r="D209" s="2"/>
      <c r="E209" s="2"/>
      <c r="F209" s="2"/>
      <c r="G209" s="2"/>
      <c r="H209" s="2"/>
      <c r="I209" s="4"/>
      <c r="J209" s="17"/>
    </row>
    <row r="210" ht="14.25" customHeight="1">
      <c r="A210" s="14" t="s">
        <v>1701</v>
      </c>
      <c r="B210" s="2"/>
      <c r="C210" s="2"/>
      <c r="D210" s="2"/>
      <c r="E210" s="2"/>
      <c r="F210" s="2"/>
      <c r="G210" s="2"/>
      <c r="H210" s="2"/>
      <c r="I210" s="4"/>
      <c r="J210" s="19"/>
    </row>
    <row r="211" ht="14.25" customHeight="1">
      <c r="A211" s="72" t="s">
        <v>1045</v>
      </c>
      <c r="B211" s="2"/>
      <c r="C211" s="2"/>
      <c r="D211" s="2"/>
      <c r="E211" s="2"/>
      <c r="F211" s="2"/>
      <c r="G211" s="2"/>
      <c r="H211" s="2"/>
      <c r="I211" s="4"/>
      <c r="J211" s="73"/>
    </row>
    <row r="212" ht="14.25" customHeight="1">
      <c r="A212" s="20" t="s">
        <v>6</v>
      </c>
      <c r="B212" s="20" t="s">
        <v>8</v>
      </c>
      <c r="C212" s="20" t="s">
        <v>10</v>
      </c>
      <c r="D212" s="20" t="s">
        <v>11</v>
      </c>
      <c r="E212" s="25" t="s">
        <v>13</v>
      </c>
      <c r="F212" s="25" t="s">
        <v>15</v>
      </c>
      <c r="G212" s="27" t="s">
        <v>18</v>
      </c>
      <c r="H212" s="25" t="s">
        <v>20</v>
      </c>
      <c r="I212" s="25" t="s">
        <v>22</v>
      </c>
      <c r="J212" s="25" t="s">
        <v>40</v>
      </c>
    </row>
    <row r="213" ht="14.25" customHeight="1">
      <c r="A213" s="29" t="s">
        <v>1719</v>
      </c>
      <c r="B213" s="31" t="s">
        <v>1721</v>
      </c>
      <c r="C213" s="32" t="s">
        <v>1722</v>
      </c>
      <c r="D213" s="32" t="s">
        <v>1723</v>
      </c>
      <c r="E213" s="76" t="s">
        <v>56</v>
      </c>
      <c r="F213" s="36" t="s">
        <v>56</v>
      </c>
      <c r="G213" s="35" t="s">
        <v>51</v>
      </c>
      <c r="H213" s="36" t="s">
        <v>56</v>
      </c>
      <c r="I213" s="59" t="s">
        <v>58</v>
      </c>
      <c r="J213" s="59" t="s">
        <v>1728</v>
      </c>
    </row>
    <row r="214" ht="14.25" customHeight="1">
      <c r="A214" s="38" t="s">
        <v>1719</v>
      </c>
      <c r="B214" s="39" t="s">
        <v>1730</v>
      </c>
      <c r="C214" s="41" t="s">
        <v>1732</v>
      </c>
      <c r="D214" s="41" t="s">
        <v>1734</v>
      </c>
      <c r="E214" s="76" t="s">
        <v>56</v>
      </c>
      <c r="F214" s="36" t="s">
        <v>56</v>
      </c>
      <c r="G214" s="35" t="s">
        <v>51</v>
      </c>
      <c r="H214" s="36" t="s">
        <v>56</v>
      </c>
      <c r="I214" s="59" t="s">
        <v>58</v>
      </c>
      <c r="J214" s="59" t="s">
        <v>1728</v>
      </c>
    </row>
    <row r="215" ht="14.25" customHeight="1">
      <c r="A215" s="48" t="s">
        <v>1719</v>
      </c>
      <c r="B215" s="49" t="s">
        <v>1736</v>
      </c>
      <c r="C215" s="50" t="s">
        <v>1737</v>
      </c>
      <c r="D215" s="50" t="s">
        <v>1738</v>
      </c>
      <c r="E215" s="76" t="s">
        <v>56</v>
      </c>
      <c r="F215" s="36" t="s">
        <v>56</v>
      </c>
      <c r="G215" s="35" t="s">
        <v>51</v>
      </c>
      <c r="H215" s="36" t="s">
        <v>56</v>
      </c>
      <c r="I215" s="59" t="s">
        <v>58</v>
      </c>
      <c r="J215" s="59" t="s">
        <v>1728</v>
      </c>
    </row>
    <row r="216" ht="14.25" customHeight="1">
      <c r="A216" s="14" t="s">
        <v>1740</v>
      </c>
      <c r="B216" s="2"/>
      <c r="C216" s="2"/>
      <c r="D216" s="2"/>
      <c r="E216" s="2"/>
      <c r="F216" s="2"/>
      <c r="G216" s="2"/>
      <c r="H216" s="2"/>
      <c r="I216" s="4"/>
      <c r="J216" s="19"/>
    </row>
    <row r="217" ht="14.25" customHeight="1">
      <c r="A217" s="72" t="s">
        <v>1045</v>
      </c>
      <c r="B217" s="2"/>
      <c r="C217" s="2"/>
      <c r="D217" s="2"/>
      <c r="E217" s="2"/>
      <c r="F217" s="2"/>
      <c r="G217" s="2"/>
      <c r="H217" s="2"/>
      <c r="I217" s="4"/>
      <c r="J217" s="73"/>
    </row>
    <row r="218" ht="14.25" customHeight="1">
      <c r="A218" s="20" t="s">
        <v>6</v>
      </c>
      <c r="B218" s="20" t="s">
        <v>8</v>
      </c>
      <c r="C218" s="20" t="s">
        <v>10</v>
      </c>
      <c r="D218" s="20" t="s">
        <v>11</v>
      </c>
      <c r="E218" s="25" t="s">
        <v>13</v>
      </c>
      <c r="F218" s="25" t="s">
        <v>15</v>
      </c>
      <c r="G218" s="27" t="s">
        <v>18</v>
      </c>
      <c r="H218" s="25" t="s">
        <v>20</v>
      </c>
      <c r="I218" s="25" t="s">
        <v>22</v>
      </c>
      <c r="J218" s="25" t="s">
        <v>40</v>
      </c>
    </row>
    <row r="219" ht="14.25" customHeight="1">
      <c r="A219" s="29" t="s">
        <v>456</v>
      </c>
      <c r="B219" s="130" t="s">
        <v>459</v>
      </c>
      <c r="C219" s="131" t="s">
        <v>460</v>
      </c>
      <c r="D219" s="131" t="s">
        <v>1747</v>
      </c>
      <c r="E219" s="132" t="s">
        <v>56</v>
      </c>
      <c r="F219" s="132" t="s">
        <v>56</v>
      </c>
      <c r="G219" s="133" t="s">
        <v>51</v>
      </c>
      <c r="H219" s="132" t="s">
        <v>56</v>
      </c>
      <c r="I219" s="134" t="s">
        <v>58</v>
      </c>
      <c r="J219" s="134" t="s">
        <v>1728</v>
      </c>
    </row>
    <row r="220" ht="14.25" customHeight="1">
      <c r="A220" s="38" t="s">
        <v>456</v>
      </c>
      <c r="B220" s="135" t="s">
        <v>465</v>
      </c>
      <c r="C220" s="136" t="s">
        <v>467</v>
      </c>
      <c r="D220" s="136" t="s">
        <v>1752</v>
      </c>
      <c r="E220" s="132" t="s">
        <v>56</v>
      </c>
      <c r="F220" s="132" t="s">
        <v>56</v>
      </c>
      <c r="G220" s="133" t="s">
        <v>51</v>
      </c>
      <c r="H220" s="132" t="s">
        <v>56</v>
      </c>
      <c r="I220" s="134" t="s">
        <v>58</v>
      </c>
      <c r="J220" s="134" t="s">
        <v>1728</v>
      </c>
    </row>
    <row r="221" ht="14.25" customHeight="1">
      <c r="A221" s="38" t="s">
        <v>456</v>
      </c>
      <c r="B221" s="135" t="s">
        <v>473</v>
      </c>
      <c r="C221" s="136" t="s">
        <v>474</v>
      </c>
      <c r="D221" s="136" t="s">
        <v>1755</v>
      </c>
      <c r="E221" s="132" t="s">
        <v>56</v>
      </c>
      <c r="F221" s="132" t="s">
        <v>56</v>
      </c>
      <c r="G221" s="133" t="s">
        <v>51</v>
      </c>
      <c r="H221" s="132" t="s">
        <v>56</v>
      </c>
      <c r="I221" s="134" t="s">
        <v>58</v>
      </c>
      <c r="J221" s="134" t="s">
        <v>1728</v>
      </c>
    </row>
    <row r="222" ht="14.25" customHeight="1">
      <c r="A222" s="38" t="s">
        <v>456</v>
      </c>
      <c r="B222" s="135" t="s">
        <v>479</v>
      </c>
      <c r="C222" s="136" t="s">
        <v>481</v>
      </c>
      <c r="D222" s="136" t="s">
        <v>1756</v>
      </c>
      <c r="E222" s="132"/>
      <c r="F222" s="132"/>
      <c r="G222" s="133" t="s">
        <v>51</v>
      </c>
      <c r="H222" s="132" t="s">
        <v>56</v>
      </c>
      <c r="I222" s="134" t="s">
        <v>58</v>
      </c>
      <c r="J222" s="134"/>
    </row>
    <row r="223" ht="14.25" customHeight="1">
      <c r="A223" s="48" t="s">
        <v>456</v>
      </c>
      <c r="B223" s="138" t="s">
        <v>487</v>
      </c>
      <c r="C223" s="139" t="s">
        <v>488</v>
      </c>
      <c r="D223" s="139" t="s">
        <v>1759</v>
      </c>
      <c r="E223" s="132"/>
      <c r="F223" s="132"/>
      <c r="G223" s="133" t="s">
        <v>51</v>
      </c>
      <c r="H223" s="132" t="s">
        <v>56</v>
      </c>
      <c r="I223" s="134" t="s">
        <v>58</v>
      </c>
      <c r="J223" s="134"/>
    </row>
    <row r="224" ht="14.25" customHeight="1">
      <c r="A224" s="14" t="s">
        <v>1763</v>
      </c>
      <c r="B224" s="2"/>
      <c r="C224" s="2"/>
      <c r="D224" s="2"/>
      <c r="E224" s="2"/>
      <c r="F224" s="2"/>
      <c r="G224" s="2"/>
      <c r="H224" s="2"/>
      <c r="I224" s="4"/>
      <c r="J224" s="19"/>
    </row>
    <row r="225" ht="14.25" customHeight="1">
      <c r="A225" s="72" t="s">
        <v>1045</v>
      </c>
      <c r="B225" s="2"/>
      <c r="C225" s="2"/>
      <c r="D225" s="2"/>
      <c r="E225" s="2"/>
      <c r="F225" s="2"/>
      <c r="G225" s="2"/>
      <c r="H225" s="2"/>
      <c r="I225" s="4"/>
      <c r="J225" s="73"/>
    </row>
    <row r="226" ht="14.25" customHeight="1">
      <c r="A226" s="25" t="s">
        <v>6</v>
      </c>
      <c r="B226" s="25" t="s">
        <v>8</v>
      </c>
      <c r="C226" s="25" t="s">
        <v>10</v>
      </c>
      <c r="D226" s="25" t="s">
        <v>11</v>
      </c>
      <c r="E226" s="25" t="s">
        <v>13</v>
      </c>
      <c r="F226" s="25" t="s">
        <v>15</v>
      </c>
      <c r="G226" s="27" t="s">
        <v>18</v>
      </c>
      <c r="H226" s="25" t="s">
        <v>20</v>
      </c>
      <c r="I226" s="25" t="s">
        <v>22</v>
      </c>
      <c r="J226" s="25" t="s">
        <v>40</v>
      </c>
    </row>
    <row r="227" ht="14.25" customHeight="1">
      <c r="A227" s="51" t="s">
        <v>22</v>
      </c>
      <c r="B227" s="53" t="s">
        <v>492</v>
      </c>
      <c r="C227" s="54" t="s">
        <v>494</v>
      </c>
      <c r="D227" s="55" t="s">
        <v>1770</v>
      </c>
      <c r="E227" s="36" t="s">
        <v>56</v>
      </c>
      <c r="F227" s="36" t="s">
        <v>56</v>
      </c>
      <c r="G227" s="35" t="s">
        <v>51</v>
      </c>
      <c r="H227" s="36" t="s">
        <v>56</v>
      </c>
      <c r="I227" s="59" t="s">
        <v>58</v>
      </c>
      <c r="J227" s="59" t="s">
        <v>1728</v>
      </c>
    </row>
    <row r="228" ht="14.25" customHeight="1">
      <c r="A228" s="51" t="s">
        <v>22</v>
      </c>
      <c r="B228" s="142" t="s">
        <v>501</v>
      </c>
      <c r="C228" s="144" t="s">
        <v>502</v>
      </c>
      <c r="D228" s="146" t="s">
        <v>1784</v>
      </c>
      <c r="E228" s="132" t="s">
        <v>56</v>
      </c>
      <c r="F228" s="132" t="s">
        <v>56</v>
      </c>
      <c r="G228" s="133" t="s">
        <v>51</v>
      </c>
      <c r="H228" s="132" t="s">
        <v>56</v>
      </c>
      <c r="I228" s="134" t="s">
        <v>58</v>
      </c>
      <c r="J228" s="134" t="s">
        <v>1728</v>
      </c>
    </row>
    <row r="229" ht="14.25" customHeight="1">
      <c r="A229" s="51" t="s">
        <v>22</v>
      </c>
      <c r="B229" s="142" t="s">
        <v>507</v>
      </c>
      <c r="C229" s="144" t="s">
        <v>509</v>
      </c>
      <c r="D229" s="146" t="s">
        <v>1791</v>
      </c>
      <c r="E229" s="132" t="s">
        <v>56</v>
      </c>
      <c r="F229" s="132" t="s">
        <v>56</v>
      </c>
      <c r="G229" s="133" t="s">
        <v>51</v>
      </c>
      <c r="H229" s="132" t="s">
        <v>56</v>
      </c>
      <c r="I229" s="134" t="s">
        <v>58</v>
      </c>
      <c r="J229" s="134" t="s">
        <v>1728</v>
      </c>
    </row>
    <row r="230" ht="14.25" customHeight="1">
      <c r="A230" s="51" t="s">
        <v>22</v>
      </c>
      <c r="B230" s="142" t="s">
        <v>515</v>
      </c>
      <c r="C230" s="144" t="s">
        <v>516</v>
      </c>
      <c r="D230" s="146" t="s">
        <v>1798</v>
      </c>
      <c r="E230" s="132" t="s">
        <v>56</v>
      </c>
      <c r="F230" s="132" t="s">
        <v>56</v>
      </c>
      <c r="G230" s="133" t="s">
        <v>51</v>
      </c>
      <c r="H230" s="132" t="s">
        <v>56</v>
      </c>
      <c r="I230" s="134" t="s">
        <v>58</v>
      </c>
      <c r="J230" s="134" t="s">
        <v>1728</v>
      </c>
    </row>
    <row r="231" ht="14.25" customHeight="1">
      <c r="A231" s="14" t="s">
        <v>1807</v>
      </c>
      <c r="B231" s="2"/>
      <c r="C231" s="2"/>
      <c r="D231" s="2"/>
      <c r="E231" s="2"/>
      <c r="F231" s="2"/>
      <c r="G231" s="2"/>
      <c r="H231" s="2"/>
      <c r="I231" s="4"/>
      <c r="J231" s="19"/>
    </row>
    <row r="232" ht="14.25" customHeight="1">
      <c r="A232" s="72" t="s">
        <v>1045</v>
      </c>
      <c r="B232" s="2"/>
      <c r="C232" s="2"/>
      <c r="D232" s="2"/>
      <c r="E232" s="2"/>
      <c r="F232" s="2"/>
      <c r="G232" s="2"/>
      <c r="H232" s="2"/>
      <c r="I232" s="4"/>
      <c r="J232" s="73"/>
    </row>
    <row r="233" ht="14.25" customHeight="1">
      <c r="A233" s="29" t="s">
        <v>1824</v>
      </c>
      <c r="B233" s="31" t="s">
        <v>1827</v>
      </c>
      <c r="C233" s="148" t="s">
        <v>1829</v>
      </c>
      <c r="D233" s="150" t="s">
        <v>1833</v>
      </c>
      <c r="E233" s="151" t="s">
        <v>56</v>
      </c>
      <c r="F233" s="151" t="s">
        <v>56</v>
      </c>
      <c r="G233" s="152" t="s">
        <v>51</v>
      </c>
      <c r="H233" s="151" t="s">
        <v>56</v>
      </c>
      <c r="I233" s="153" t="s">
        <v>1836</v>
      </c>
      <c r="J233" s="153" t="s">
        <v>1728</v>
      </c>
    </row>
    <row r="234" ht="14.25" customHeight="1">
      <c r="A234" s="154" t="s">
        <v>1839</v>
      </c>
      <c r="B234" s="154"/>
      <c r="C234" s="154"/>
      <c r="D234" s="154"/>
      <c r="E234" s="154"/>
      <c r="F234" s="154"/>
      <c r="G234" s="154"/>
      <c r="H234" s="154"/>
      <c r="I234" s="154"/>
      <c r="J234" s="154"/>
    </row>
    <row r="235" ht="14.25" customHeight="1">
      <c r="A235" s="156" t="s">
        <v>6</v>
      </c>
      <c r="B235" s="156" t="s">
        <v>8</v>
      </c>
      <c r="C235" s="156" t="s">
        <v>10</v>
      </c>
      <c r="D235" s="156" t="s">
        <v>11</v>
      </c>
      <c r="E235" s="157" t="s">
        <v>13</v>
      </c>
      <c r="F235" s="157" t="s">
        <v>15</v>
      </c>
      <c r="G235" s="158" t="s">
        <v>18</v>
      </c>
      <c r="H235" s="157" t="s">
        <v>20</v>
      </c>
      <c r="I235" s="157" t="s">
        <v>22</v>
      </c>
      <c r="J235" s="157" t="s">
        <v>40</v>
      </c>
    </row>
    <row r="236" ht="14.25" customHeight="1">
      <c r="A236" s="159" t="s">
        <v>1846</v>
      </c>
      <c r="B236" s="160" t="s">
        <v>1847</v>
      </c>
      <c r="C236" s="161" t="s">
        <v>1849</v>
      </c>
      <c r="D236" s="161" t="s">
        <v>1851</v>
      </c>
      <c r="E236" s="163" t="s">
        <v>56</v>
      </c>
      <c r="F236" s="164" t="s">
        <v>56</v>
      </c>
      <c r="G236" s="166" t="s">
        <v>51</v>
      </c>
      <c r="H236" s="164" t="s">
        <v>56</v>
      </c>
      <c r="I236" s="167" t="s">
        <v>58</v>
      </c>
      <c r="J236" s="167" t="s">
        <v>1728</v>
      </c>
    </row>
    <row r="237" ht="14.25" customHeight="1">
      <c r="A237" s="168" t="s">
        <v>1846</v>
      </c>
      <c r="B237" s="169" t="s">
        <v>1859</v>
      </c>
      <c r="C237" s="170" t="s">
        <v>1861</v>
      </c>
      <c r="D237" s="170" t="s">
        <v>1862</v>
      </c>
      <c r="E237" s="171" t="s">
        <v>56</v>
      </c>
      <c r="F237" s="172" t="s">
        <v>56</v>
      </c>
      <c r="G237" s="173" t="s">
        <v>51</v>
      </c>
      <c r="H237" s="172" t="s">
        <v>56</v>
      </c>
      <c r="I237" s="174" t="s">
        <v>58</v>
      </c>
      <c r="J237" s="174" t="s">
        <v>1728</v>
      </c>
    </row>
    <row r="238" ht="14.25" customHeight="1">
      <c r="A238" s="175" t="s">
        <v>1870</v>
      </c>
      <c r="B238" s="175"/>
      <c r="C238" s="175"/>
      <c r="D238" s="175"/>
      <c r="E238" s="176"/>
      <c r="F238" s="176"/>
      <c r="G238" s="176"/>
      <c r="H238" s="176"/>
      <c r="I238" s="176"/>
      <c r="J238" s="176"/>
    </row>
    <row r="239" ht="14.25" customHeight="1">
      <c r="A239" s="177" t="s">
        <v>6</v>
      </c>
      <c r="B239" s="177" t="s">
        <v>8</v>
      </c>
      <c r="C239" s="177" t="s">
        <v>10</v>
      </c>
      <c r="D239" s="177" t="s">
        <v>11</v>
      </c>
      <c r="E239" s="178" t="s">
        <v>13</v>
      </c>
      <c r="F239" s="178" t="s">
        <v>15</v>
      </c>
      <c r="G239" s="178" t="s">
        <v>18</v>
      </c>
      <c r="H239" s="178" t="s">
        <v>20</v>
      </c>
      <c r="I239" s="178" t="s">
        <v>22</v>
      </c>
      <c r="J239" s="178" t="s">
        <v>40</v>
      </c>
    </row>
    <row r="240" ht="14.25" customHeight="1">
      <c r="A240" s="159" t="s">
        <v>27</v>
      </c>
      <c r="B240" s="160" t="s">
        <v>71</v>
      </c>
      <c r="C240" s="161" t="s">
        <v>72</v>
      </c>
      <c r="D240" s="161" t="s">
        <v>1888</v>
      </c>
      <c r="E240" s="163" t="s">
        <v>56</v>
      </c>
      <c r="F240" s="164" t="s">
        <v>56</v>
      </c>
      <c r="G240" s="166" t="s">
        <v>51</v>
      </c>
      <c r="H240" s="164" t="s">
        <v>56</v>
      </c>
      <c r="I240" s="167" t="s">
        <v>58</v>
      </c>
      <c r="J240" s="167" t="s">
        <v>1728</v>
      </c>
    </row>
    <row r="241" ht="14.25" customHeight="1">
      <c r="A241" s="180" t="s">
        <v>27</v>
      </c>
      <c r="B241" s="181" t="s">
        <v>37</v>
      </c>
      <c r="C241" s="182" t="s">
        <v>38</v>
      </c>
      <c r="D241" s="182" t="s">
        <v>1892</v>
      </c>
      <c r="E241" s="163" t="s">
        <v>56</v>
      </c>
      <c r="F241" s="164" t="s">
        <v>56</v>
      </c>
      <c r="G241" s="166" t="s">
        <v>51</v>
      </c>
      <c r="H241" s="164" t="s">
        <v>56</v>
      </c>
      <c r="I241" s="167" t="s">
        <v>58</v>
      </c>
      <c r="J241" s="167" t="s">
        <v>1728</v>
      </c>
    </row>
    <row r="242" ht="14.25" customHeight="1">
      <c r="A242" s="180" t="s">
        <v>27</v>
      </c>
      <c r="B242" s="181" t="s">
        <v>43</v>
      </c>
      <c r="C242" s="182" t="s">
        <v>44</v>
      </c>
      <c r="D242" s="182" t="s">
        <v>1897</v>
      </c>
      <c r="E242" s="163" t="s">
        <v>56</v>
      </c>
      <c r="F242" s="164" t="s">
        <v>56</v>
      </c>
      <c r="G242" s="166" t="s">
        <v>51</v>
      </c>
      <c r="H242" s="164" t="s">
        <v>56</v>
      </c>
      <c r="I242" s="167" t="s">
        <v>58</v>
      </c>
      <c r="J242" s="167" t="s">
        <v>1728</v>
      </c>
    </row>
    <row r="243" ht="14.25" customHeight="1">
      <c r="A243" s="180" t="s">
        <v>27</v>
      </c>
      <c r="B243" s="181" t="s">
        <v>52</v>
      </c>
      <c r="C243" s="182" t="s">
        <v>53</v>
      </c>
      <c r="D243" s="182" t="s">
        <v>1904</v>
      </c>
      <c r="E243" s="163" t="s">
        <v>56</v>
      </c>
      <c r="F243" s="164" t="s">
        <v>56</v>
      </c>
      <c r="G243" s="166" t="s">
        <v>51</v>
      </c>
      <c r="H243" s="164" t="s">
        <v>56</v>
      </c>
      <c r="I243" s="167" t="s">
        <v>58</v>
      </c>
      <c r="J243" s="167" t="s">
        <v>1728</v>
      </c>
    </row>
    <row r="244" ht="14.25" customHeight="1">
      <c r="A244" s="180" t="s">
        <v>27</v>
      </c>
      <c r="B244" s="181" t="s">
        <v>60</v>
      </c>
      <c r="C244" s="182" t="s">
        <v>62</v>
      </c>
      <c r="D244" s="182" t="s">
        <v>1909</v>
      </c>
      <c r="E244" s="163" t="s">
        <v>56</v>
      </c>
      <c r="F244" s="164" t="s">
        <v>56</v>
      </c>
      <c r="G244" s="166" t="s">
        <v>51</v>
      </c>
      <c r="H244" s="164" t="s">
        <v>56</v>
      </c>
      <c r="I244" s="167" t="s">
        <v>58</v>
      </c>
      <c r="J244" s="167" t="s">
        <v>1728</v>
      </c>
    </row>
    <row r="245" ht="14.25" customHeight="1">
      <c r="A245" s="168" t="s">
        <v>27</v>
      </c>
      <c r="B245" s="169" t="s">
        <v>31</v>
      </c>
      <c r="C245" s="170" t="s">
        <v>32</v>
      </c>
      <c r="D245" s="170" t="s">
        <v>1912</v>
      </c>
      <c r="E245" s="163" t="s">
        <v>56</v>
      </c>
      <c r="F245" s="164" t="s">
        <v>56</v>
      </c>
      <c r="G245" s="166" t="s">
        <v>51</v>
      </c>
      <c r="H245" s="164" t="s">
        <v>56</v>
      </c>
      <c r="I245" s="167" t="s">
        <v>58</v>
      </c>
      <c r="J245" s="167" t="s">
        <v>1728</v>
      </c>
    </row>
    <row r="246" ht="14.25" customHeight="1">
      <c r="A246" s="183" t="s">
        <v>1914</v>
      </c>
      <c r="B246" s="183"/>
      <c r="C246" s="183"/>
      <c r="D246" s="183"/>
      <c r="E246" s="176"/>
      <c r="F246" s="176"/>
      <c r="G246" s="176"/>
      <c r="H246" s="176"/>
      <c r="I246" s="176"/>
      <c r="J246" s="176"/>
    </row>
    <row r="247" ht="14.25" customHeight="1">
      <c r="A247" s="159" t="s">
        <v>1916</v>
      </c>
      <c r="B247" s="160" t="s">
        <v>1917</v>
      </c>
      <c r="C247" s="161" t="s">
        <v>1918</v>
      </c>
      <c r="D247" s="161" t="s">
        <v>1919</v>
      </c>
      <c r="E247" s="184" t="s">
        <v>13</v>
      </c>
      <c r="F247" s="185" t="s">
        <v>15</v>
      </c>
      <c r="G247" s="185" t="s">
        <v>18</v>
      </c>
      <c r="H247" s="185" t="s">
        <v>20</v>
      </c>
      <c r="I247" s="185" t="s">
        <v>22</v>
      </c>
      <c r="J247" s="185" t="s">
        <v>40</v>
      </c>
    </row>
    <row r="248" ht="14.25" customHeight="1">
      <c r="A248" s="180" t="s">
        <v>1916</v>
      </c>
      <c r="B248" s="181" t="s">
        <v>1921</v>
      </c>
      <c r="C248" s="182" t="s">
        <v>1922</v>
      </c>
      <c r="D248" s="182" t="s">
        <v>1919</v>
      </c>
      <c r="E248" s="171" t="s">
        <v>56</v>
      </c>
      <c r="F248" s="172" t="s">
        <v>51</v>
      </c>
      <c r="G248" s="173" t="s">
        <v>51</v>
      </c>
      <c r="H248" s="172" t="s">
        <v>56</v>
      </c>
      <c r="I248" s="174" t="s">
        <v>58</v>
      </c>
      <c r="J248" s="174" t="s">
        <v>1115</v>
      </c>
    </row>
    <row r="249" ht="14.25" customHeight="1">
      <c r="A249" s="180" t="s">
        <v>1916</v>
      </c>
      <c r="B249" s="181" t="s">
        <v>1925</v>
      </c>
      <c r="C249" s="182" t="s">
        <v>1926</v>
      </c>
      <c r="D249" s="182" t="s">
        <v>1919</v>
      </c>
      <c r="E249" s="171" t="s">
        <v>56</v>
      </c>
      <c r="F249" s="172" t="s">
        <v>51</v>
      </c>
      <c r="G249" s="173" t="s">
        <v>51</v>
      </c>
      <c r="H249" s="172" t="s">
        <v>56</v>
      </c>
      <c r="I249" s="174" t="s">
        <v>58</v>
      </c>
      <c r="J249" s="174" t="s">
        <v>1115</v>
      </c>
    </row>
    <row r="250" ht="14.25" customHeight="1">
      <c r="A250" s="180" t="s">
        <v>1916</v>
      </c>
      <c r="B250" s="181" t="s">
        <v>1928</v>
      </c>
      <c r="C250" s="182" t="s">
        <v>1929</v>
      </c>
      <c r="D250" s="182" t="s">
        <v>1919</v>
      </c>
      <c r="E250" s="171" t="s">
        <v>56</v>
      </c>
      <c r="F250" s="172" t="s">
        <v>51</v>
      </c>
      <c r="G250" s="173" t="s">
        <v>51</v>
      </c>
      <c r="H250" s="172" t="s">
        <v>56</v>
      </c>
      <c r="I250" s="174" t="s">
        <v>58</v>
      </c>
      <c r="J250" s="174" t="s">
        <v>1115</v>
      </c>
    </row>
    <row r="251" ht="14.25" customHeight="1">
      <c r="A251" s="180" t="s">
        <v>1916</v>
      </c>
      <c r="B251" s="181" t="s">
        <v>1930</v>
      </c>
      <c r="C251" s="182" t="s">
        <v>1931</v>
      </c>
      <c r="D251" s="182" t="s">
        <v>1919</v>
      </c>
      <c r="E251" s="186"/>
      <c r="F251" s="187"/>
      <c r="G251" s="187" t="s">
        <v>51</v>
      </c>
      <c r="H251" s="187" t="s">
        <v>56</v>
      </c>
      <c r="I251" s="187"/>
      <c r="J251" s="187"/>
    </row>
    <row r="252" ht="14.25" customHeight="1">
      <c r="A252" s="180" t="s">
        <v>1916</v>
      </c>
      <c r="B252" s="181" t="s">
        <v>1932</v>
      </c>
      <c r="C252" s="182" t="s">
        <v>1933</v>
      </c>
      <c r="D252" s="182" t="s">
        <v>1919</v>
      </c>
      <c r="E252" s="184" t="s">
        <v>13</v>
      </c>
      <c r="F252" s="185" t="s">
        <v>15</v>
      </c>
      <c r="G252" s="185" t="s">
        <v>18</v>
      </c>
      <c r="H252" s="185" t="s">
        <v>20</v>
      </c>
      <c r="I252" s="185" t="s">
        <v>22</v>
      </c>
      <c r="J252" s="185" t="s">
        <v>40</v>
      </c>
    </row>
    <row r="253" ht="14.25" customHeight="1">
      <c r="A253" s="180" t="s">
        <v>1916</v>
      </c>
      <c r="B253" s="181" t="s">
        <v>1934</v>
      </c>
      <c r="C253" s="182" t="s">
        <v>1935</v>
      </c>
      <c r="D253" s="182" t="s">
        <v>1919</v>
      </c>
      <c r="E253" s="163" t="s">
        <v>56</v>
      </c>
      <c r="F253" s="164" t="s">
        <v>56</v>
      </c>
      <c r="G253" s="166" t="s">
        <v>51</v>
      </c>
      <c r="H253" s="164" t="s">
        <v>51</v>
      </c>
      <c r="I253" s="167" t="s">
        <v>58</v>
      </c>
      <c r="J253" s="167" t="s">
        <v>1056</v>
      </c>
    </row>
    <row r="254" ht="14.25" customHeight="1">
      <c r="A254" s="180" t="s">
        <v>1916</v>
      </c>
      <c r="B254" s="181" t="s">
        <v>1936</v>
      </c>
      <c r="C254" s="182" t="s">
        <v>1937</v>
      </c>
      <c r="D254" s="182" t="s">
        <v>1919</v>
      </c>
      <c r="E254" s="163" t="s">
        <v>56</v>
      </c>
      <c r="F254" s="164" t="s">
        <v>56</v>
      </c>
      <c r="G254" s="166" t="s">
        <v>51</v>
      </c>
      <c r="H254" s="164" t="s">
        <v>51</v>
      </c>
      <c r="I254" s="167" t="s">
        <v>58</v>
      </c>
      <c r="J254" s="167" t="s">
        <v>1056</v>
      </c>
    </row>
    <row r="255" ht="14.25" customHeight="1">
      <c r="A255" s="180" t="s">
        <v>1916</v>
      </c>
      <c r="B255" s="181" t="s">
        <v>1938</v>
      </c>
      <c r="C255" s="182" t="s">
        <v>1939</v>
      </c>
      <c r="D255" s="182" t="s">
        <v>1919</v>
      </c>
      <c r="E255" s="163" t="s">
        <v>56</v>
      </c>
      <c r="F255" s="164" t="s">
        <v>56</v>
      </c>
      <c r="G255" s="166" t="s">
        <v>51</v>
      </c>
      <c r="H255" s="164" t="s">
        <v>51</v>
      </c>
      <c r="I255" s="167" t="s">
        <v>58</v>
      </c>
      <c r="J255" s="167" t="s">
        <v>1056</v>
      </c>
    </row>
    <row r="256" ht="14.25" customHeight="1">
      <c r="A256" s="180" t="s">
        <v>1916</v>
      </c>
      <c r="B256" s="181" t="s">
        <v>1940</v>
      </c>
      <c r="C256" s="182" t="s">
        <v>1941</v>
      </c>
      <c r="D256" s="182" t="s">
        <v>1919</v>
      </c>
      <c r="E256" s="163" t="s">
        <v>56</v>
      </c>
      <c r="F256" s="164" t="s">
        <v>56</v>
      </c>
      <c r="G256" s="166" t="s">
        <v>51</v>
      </c>
      <c r="H256" s="164" t="s">
        <v>51</v>
      </c>
      <c r="I256" s="167" t="s">
        <v>58</v>
      </c>
      <c r="J256" s="167" t="s">
        <v>1056</v>
      </c>
    </row>
    <row r="257" ht="14.25" customHeight="1">
      <c r="A257" s="180" t="s">
        <v>1916</v>
      </c>
      <c r="B257" s="181" t="s">
        <v>1942</v>
      </c>
      <c r="C257" s="182" t="s">
        <v>1943</v>
      </c>
      <c r="D257" s="182" t="s">
        <v>1919</v>
      </c>
      <c r="E257" s="163" t="s">
        <v>56</v>
      </c>
      <c r="F257" s="164" t="s">
        <v>56</v>
      </c>
      <c r="G257" s="166" t="s">
        <v>51</v>
      </c>
      <c r="H257" s="164" t="s">
        <v>51</v>
      </c>
      <c r="I257" s="167" t="s">
        <v>58</v>
      </c>
      <c r="J257" s="167" t="s">
        <v>1056</v>
      </c>
    </row>
    <row r="258" ht="14.25" customHeight="1">
      <c r="A258" s="180" t="s">
        <v>1916</v>
      </c>
      <c r="B258" s="181" t="s">
        <v>1944</v>
      </c>
      <c r="C258" s="182" t="s">
        <v>1945</v>
      </c>
      <c r="D258" s="182" t="s">
        <v>1919</v>
      </c>
      <c r="E258" s="186"/>
      <c r="F258" s="187"/>
      <c r="G258" s="187" t="s">
        <v>51</v>
      </c>
      <c r="H258" s="187" t="s">
        <v>56</v>
      </c>
      <c r="I258" s="187"/>
      <c r="J258" s="187"/>
    </row>
    <row r="259" ht="14.25" customHeight="1">
      <c r="A259" s="180" t="s">
        <v>1916</v>
      </c>
      <c r="B259" s="181" t="s">
        <v>1947</v>
      </c>
      <c r="C259" s="182" t="s">
        <v>1949</v>
      </c>
      <c r="D259" s="182" t="s">
        <v>1919</v>
      </c>
      <c r="E259" s="184" t="s">
        <v>13</v>
      </c>
      <c r="F259" s="185" t="s">
        <v>15</v>
      </c>
      <c r="G259" s="185" t="s">
        <v>18</v>
      </c>
      <c r="H259" s="185" t="s">
        <v>20</v>
      </c>
      <c r="I259" s="185" t="s">
        <v>22</v>
      </c>
      <c r="J259" s="185" t="s">
        <v>40</v>
      </c>
    </row>
    <row r="260" ht="14.25" customHeight="1">
      <c r="A260" s="180" t="s">
        <v>1916</v>
      </c>
      <c r="B260" s="181" t="s">
        <v>1952</v>
      </c>
      <c r="C260" s="182" t="s">
        <v>1953</v>
      </c>
      <c r="D260" s="182" t="s">
        <v>1954</v>
      </c>
      <c r="E260" s="163" t="s">
        <v>56</v>
      </c>
      <c r="F260" s="164" t="s">
        <v>51</v>
      </c>
      <c r="G260" s="166" t="s">
        <v>51</v>
      </c>
      <c r="H260" s="164" t="s">
        <v>56</v>
      </c>
      <c r="I260" s="167" t="s">
        <v>1955</v>
      </c>
      <c r="J260" s="167" t="s">
        <v>1115</v>
      </c>
    </row>
    <row r="261" ht="14.25" customHeight="1">
      <c r="A261" s="180" t="s">
        <v>1916</v>
      </c>
      <c r="B261" s="181" t="s">
        <v>1961</v>
      </c>
      <c r="C261" s="182" t="s">
        <v>1963</v>
      </c>
      <c r="D261" s="182" t="s">
        <v>1954</v>
      </c>
      <c r="E261" s="163" t="s">
        <v>56</v>
      </c>
      <c r="F261" s="164" t="s">
        <v>51</v>
      </c>
      <c r="G261" s="166" t="s">
        <v>51</v>
      </c>
      <c r="H261" s="164" t="s">
        <v>56</v>
      </c>
      <c r="I261" s="167" t="s">
        <v>1955</v>
      </c>
      <c r="J261" s="167" t="s">
        <v>1115</v>
      </c>
    </row>
    <row r="262" ht="14.25" customHeight="1">
      <c r="A262" s="180" t="s">
        <v>1916</v>
      </c>
      <c r="B262" s="181" t="s">
        <v>1970</v>
      </c>
      <c r="C262" s="182" t="s">
        <v>1972</v>
      </c>
      <c r="D262" s="182" t="s">
        <v>1954</v>
      </c>
      <c r="E262" s="163" t="s">
        <v>56</v>
      </c>
      <c r="F262" s="164" t="s">
        <v>51</v>
      </c>
      <c r="G262" s="166" t="s">
        <v>51</v>
      </c>
      <c r="H262" s="164" t="s">
        <v>56</v>
      </c>
      <c r="I262" s="167" t="s">
        <v>1955</v>
      </c>
      <c r="J262" s="167" t="s">
        <v>1115</v>
      </c>
    </row>
    <row r="263" ht="14.25" customHeight="1">
      <c r="A263" s="180" t="s">
        <v>1916</v>
      </c>
      <c r="B263" s="181" t="s">
        <v>1978</v>
      </c>
      <c r="C263" s="182" t="s">
        <v>1979</v>
      </c>
      <c r="D263" s="182" t="s">
        <v>1954</v>
      </c>
      <c r="E263" s="163" t="s">
        <v>56</v>
      </c>
      <c r="F263" s="164" t="s">
        <v>51</v>
      </c>
      <c r="G263" s="166" t="s">
        <v>51</v>
      </c>
      <c r="H263" s="164" t="s">
        <v>56</v>
      </c>
      <c r="I263" s="167" t="s">
        <v>1955</v>
      </c>
      <c r="J263" s="167" t="s">
        <v>1115</v>
      </c>
    </row>
    <row r="264" ht="14.25" customHeight="1">
      <c r="A264" s="180" t="s">
        <v>1916</v>
      </c>
      <c r="B264" s="181" t="s">
        <v>1984</v>
      </c>
      <c r="C264" s="182" t="s">
        <v>1986</v>
      </c>
      <c r="D264" s="182" t="s">
        <v>1954</v>
      </c>
      <c r="E264" s="163" t="s">
        <v>56</v>
      </c>
      <c r="F264" s="164" t="s">
        <v>51</v>
      </c>
      <c r="G264" s="166" t="s">
        <v>51</v>
      </c>
      <c r="H264" s="164" t="s">
        <v>56</v>
      </c>
      <c r="I264" s="167" t="s">
        <v>1955</v>
      </c>
      <c r="J264" s="167" t="s">
        <v>1115</v>
      </c>
    </row>
    <row r="265" ht="14.25" customHeight="1">
      <c r="A265" s="180" t="s">
        <v>1916</v>
      </c>
      <c r="B265" s="181" t="s">
        <v>1991</v>
      </c>
      <c r="C265" s="182" t="s">
        <v>1992</v>
      </c>
      <c r="D265" s="182" t="s">
        <v>1954</v>
      </c>
      <c r="E265" s="163" t="s">
        <v>56</v>
      </c>
      <c r="F265" s="164" t="s">
        <v>51</v>
      </c>
      <c r="G265" s="166" t="s">
        <v>51</v>
      </c>
      <c r="H265" s="164" t="s">
        <v>56</v>
      </c>
      <c r="I265" s="167" t="s">
        <v>1955</v>
      </c>
      <c r="J265" s="167" t="s">
        <v>1115</v>
      </c>
    </row>
    <row r="266" ht="14.25" customHeight="1">
      <c r="A266" s="168" t="s">
        <v>1916</v>
      </c>
      <c r="B266" s="169" t="s">
        <v>1999</v>
      </c>
      <c r="C266" s="170" t="s">
        <v>2000</v>
      </c>
      <c r="D266" s="170" t="s">
        <v>2002</v>
      </c>
      <c r="E266" s="163" t="s">
        <v>56</v>
      </c>
      <c r="F266" s="164" t="s">
        <v>51</v>
      </c>
      <c r="G266" s="166" t="s">
        <v>51</v>
      </c>
      <c r="H266" s="164" t="s">
        <v>56</v>
      </c>
      <c r="I266" s="167" t="s">
        <v>1955</v>
      </c>
      <c r="J266" s="167" t="s">
        <v>1115</v>
      </c>
    </row>
    <row r="267" ht="14.25" customHeight="1">
      <c r="A267" s="183" t="s">
        <v>2008</v>
      </c>
      <c r="B267" s="190"/>
      <c r="C267" s="183"/>
      <c r="D267" s="183"/>
      <c r="E267" s="191" t="s">
        <v>56</v>
      </c>
      <c r="F267" s="191" t="s">
        <v>51</v>
      </c>
      <c r="G267" s="191" t="s">
        <v>51</v>
      </c>
      <c r="H267" s="191" t="s">
        <v>56</v>
      </c>
      <c r="I267" s="196" t="s">
        <v>1955</v>
      </c>
      <c r="J267" s="196" t="s">
        <v>1115</v>
      </c>
    </row>
    <row r="268" ht="14.25" customHeight="1">
      <c r="A268" s="159" t="s">
        <v>2024</v>
      </c>
      <c r="B268" s="160" t="s">
        <v>207</v>
      </c>
      <c r="C268" s="161" t="s">
        <v>2027</v>
      </c>
      <c r="D268" s="161" t="s">
        <v>2028</v>
      </c>
      <c r="E268" s="163" t="s">
        <v>56</v>
      </c>
      <c r="F268" s="164" t="s">
        <v>51</v>
      </c>
      <c r="G268" s="166" t="s">
        <v>51</v>
      </c>
      <c r="H268" s="164" t="s">
        <v>56</v>
      </c>
      <c r="I268" s="167" t="s">
        <v>1955</v>
      </c>
      <c r="J268" s="167" t="s">
        <v>1115</v>
      </c>
    </row>
    <row r="269" ht="14.25" customHeight="1">
      <c r="A269" s="180" t="s">
        <v>2024</v>
      </c>
      <c r="B269" s="181" t="s">
        <v>217</v>
      </c>
      <c r="C269" s="182" t="s">
        <v>2034</v>
      </c>
      <c r="D269" s="182" t="s">
        <v>2035</v>
      </c>
      <c r="E269" s="163" t="s">
        <v>56</v>
      </c>
      <c r="F269" s="164" t="s">
        <v>51</v>
      </c>
      <c r="G269" s="166" t="s">
        <v>51</v>
      </c>
      <c r="H269" s="164" t="s">
        <v>56</v>
      </c>
      <c r="I269" s="167" t="s">
        <v>1955</v>
      </c>
      <c r="J269" s="167" t="s">
        <v>1115</v>
      </c>
    </row>
    <row r="270" ht="14.25" customHeight="1">
      <c r="A270" s="168" t="s">
        <v>2024</v>
      </c>
      <c r="B270" s="169" t="s">
        <v>226</v>
      </c>
      <c r="C270" s="170" t="s">
        <v>2040</v>
      </c>
      <c r="D270" s="170" t="s">
        <v>2041</v>
      </c>
      <c r="E270" s="163" t="s">
        <v>56</v>
      </c>
      <c r="F270" s="164" t="s">
        <v>51</v>
      </c>
      <c r="G270" s="166" t="s">
        <v>51</v>
      </c>
      <c r="H270" s="164" t="s">
        <v>56</v>
      </c>
      <c r="I270" s="167" t="s">
        <v>1955</v>
      </c>
      <c r="J270" s="167" t="s">
        <v>1115</v>
      </c>
    </row>
    <row r="271" ht="14.25" customHeight="1">
      <c r="A271" s="183" t="s">
        <v>2044</v>
      </c>
      <c r="B271" s="190"/>
      <c r="C271" s="183"/>
      <c r="D271" s="183"/>
      <c r="E271" s="191" t="s">
        <v>56</v>
      </c>
      <c r="F271" s="191" t="s">
        <v>51</v>
      </c>
      <c r="G271" s="191" t="s">
        <v>51</v>
      </c>
      <c r="H271" s="191" t="s">
        <v>56</v>
      </c>
      <c r="I271" s="196" t="s">
        <v>1955</v>
      </c>
      <c r="J271" s="196" t="s">
        <v>1115</v>
      </c>
    </row>
    <row r="272" ht="14.25" customHeight="1">
      <c r="A272" s="159" t="s">
        <v>1174</v>
      </c>
      <c r="B272" s="160" t="s">
        <v>2048</v>
      </c>
      <c r="C272" s="161" t="s">
        <v>2049</v>
      </c>
      <c r="D272" s="161" t="s">
        <v>2050</v>
      </c>
      <c r="E272" s="163" t="s">
        <v>56</v>
      </c>
      <c r="F272" s="164" t="s">
        <v>51</v>
      </c>
      <c r="G272" s="166" t="s">
        <v>51</v>
      </c>
      <c r="H272" s="164" t="s">
        <v>56</v>
      </c>
      <c r="I272" s="167" t="s">
        <v>1955</v>
      </c>
      <c r="J272" s="167" t="s">
        <v>1115</v>
      </c>
    </row>
    <row r="273" ht="14.25" customHeight="1">
      <c r="A273" s="180" t="s">
        <v>1174</v>
      </c>
      <c r="B273" s="181" t="s">
        <v>2051</v>
      </c>
      <c r="C273" s="182" t="s">
        <v>2052</v>
      </c>
      <c r="D273" s="182" t="s">
        <v>2053</v>
      </c>
      <c r="E273" s="163" t="s">
        <v>56</v>
      </c>
      <c r="F273" s="164" t="s">
        <v>51</v>
      </c>
      <c r="G273" s="166" t="s">
        <v>51</v>
      </c>
      <c r="H273" s="164" t="s">
        <v>56</v>
      </c>
      <c r="I273" s="167" t="s">
        <v>1955</v>
      </c>
      <c r="J273" s="167" t="s">
        <v>1115</v>
      </c>
    </row>
    <row r="274" ht="14.25" customHeight="1">
      <c r="A274" s="180" t="s">
        <v>1174</v>
      </c>
      <c r="B274" s="181" t="s">
        <v>2054</v>
      </c>
      <c r="C274" s="182" t="s">
        <v>2055</v>
      </c>
      <c r="D274" s="182" t="s">
        <v>2056</v>
      </c>
      <c r="E274" s="163" t="s">
        <v>56</v>
      </c>
      <c r="F274" s="164" t="s">
        <v>51</v>
      </c>
      <c r="G274" s="166" t="s">
        <v>51</v>
      </c>
      <c r="H274" s="164" t="s">
        <v>56</v>
      </c>
      <c r="I274" s="167" t="s">
        <v>1955</v>
      </c>
      <c r="J274" s="167" t="s">
        <v>1115</v>
      </c>
    </row>
    <row r="275" ht="14.25" customHeight="1">
      <c r="A275" s="180" t="s">
        <v>1174</v>
      </c>
      <c r="B275" s="181" t="s">
        <v>2057</v>
      </c>
      <c r="C275" s="182" t="s">
        <v>2058</v>
      </c>
      <c r="D275" s="182" t="s">
        <v>2059</v>
      </c>
      <c r="E275" s="163" t="s">
        <v>56</v>
      </c>
      <c r="F275" s="164" t="s">
        <v>51</v>
      </c>
      <c r="G275" s="166" t="s">
        <v>51</v>
      </c>
      <c r="H275" s="164" t="s">
        <v>56</v>
      </c>
      <c r="I275" s="167" t="s">
        <v>1955</v>
      </c>
      <c r="J275" s="167" t="s">
        <v>1115</v>
      </c>
    </row>
    <row r="276" ht="14.25" customHeight="1">
      <c r="A276" s="168" t="s">
        <v>1174</v>
      </c>
      <c r="B276" s="169" t="s">
        <v>2060</v>
      </c>
      <c r="C276" s="170" t="s">
        <v>2061</v>
      </c>
      <c r="D276" s="170" t="s">
        <v>2062</v>
      </c>
      <c r="E276" s="163" t="s">
        <v>56</v>
      </c>
      <c r="F276" s="164" t="s">
        <v>51</v>
      </c>
      <c r="G276" s="166" t="s">
        <v>51</v>
      </c>
      <c r="H276" s="164" t="s">
        <v>56</v>
      </c>
      <c r="I276" s="167" t="s">
        <v>1955</v>
      </c>
      <c r="J276" s="167" t="s">
        <v>1115</v>
      </c>
    </row>
    <row r="277" ht="14.25" customHeight="1">
      <c r="A277" s="183" t="s">
        <v>2063</v>
      </c>
      <c r="B277" s="190"/>
      <c r="C277" s="183"/>
      <c r="D277" s="183"/>
      <c r="E277" s="191" t="s">
        <v>56</v>
      </c>
      <c r="F277" s="191" t="s">
        <v>51</v>
      </c>
      <c r="G277" s="191" t="s">
        <v>51</v>
      </c>
      <c r="H277" s="191" t="s">
        <v>56</v>
      </c>
      <c r="I277" s="196" t="s">
        <v>1955</v>
      </c>
      <c r="J277" s="196" t="s">
        <v>1115</v>
      </c>
    </row>
    <row r="278" ht="14.25" customHeight="1">
      <c r="A278" s="159" t="s">
        <v>1111</v>
      </c>
      <c r="B278" s="160" t="s">
        <v>563</v>
      </c>
      <c r="C278" s="161" t="s">
        <v>566</v>
      </c>
      <c r="D278" s="161" t="s">
        <v>2064</v>
      </c>
      <c r="E278" s="163" t="s">
        <v>56</v>
      </c>
      <c r="F278" s="164" t="s">
        <v>51</v>
      </c>
      <c r="G278" s="166" t="s">
        <v>51</v>
      </c>
      <c r="H278" s="164" t="s">
        <v>56</v>
      </c>
      <c r="I278" s="167" t="s">
        <v>1955</v>
      </c>
      <c r="J278" s="167" t="s">
        <v>1115</v>
      </c>
    </row>
    <row r="279" ht="14.25" customHeight="1">
      <c r="A279" s="180" t="s">
        <v>1111</v>
      </c>
      <c r="B279" s="181" t="s">
        <v>570</v>
      </c>
      <c r="C279" s="182" t="s">
        <v>571</v>
      </c>
      <c r="D279" s="182" t="s">
        <v>2065</v>
      </c>
      <c r="E279" s="163" t="s">
        <v>56</v>
      </c>
      <c r="F279" s="164" t="s">
        <v>51</v>
      </c>
      <c r="G279" s="166" t="s">
        <v>51</v>
      </c>
      <c r="H279" s="164" t="s">
        <v>56</v>
      </c>
      <c r="I279" s="167" t="s">
        <v>1955</v>
      </c>
      <c r="J279" s="167" t="s">
        <v>1115</v>
      </c>
    </row>
    <row r="280" ht="14.25" customHeight="1">
      <c r="A280" s="209" t="s">
        <v>1111</v>
      </c>
      <c r="B280" s="135" t="s">
        <v>573</v>
      </c>
      <c r="C280" s="136" t="s">
        <v>576</v>
      </c>
      <c r="D280" s="136" t="s">
        <v>2066</v>
      </c>
      <c r="E280" s="13"/>
      <c r="F280" s="13"/>
      <c r="G280" s="210" t="s">
        <v>51</v>
      </c>
      <c r="H280" s="211" t="s">
        <v>56</v>
      </c>
      <c r="I280" s="13"/>
      <c r="J280" s="13"/>
    </row>
    <row r="281" ht="14.25" customHeight="1">
      <c r="A281" s="212" t="s">
        <v>1111</v>
      </c>
      <c r="B281" s="138" t="s">
        <v>578</v>
      </c>
      <c r="C281" s="139" t="s">
        <v>579</v>
      </c>
      <c r="D281" s="139" t="s">
        <v>2068</v>
      </c>
      <c r="E281" s="13"/>
      <c r="F281" s="13"/>
      <c r="G281" s="210" t="s">
        <v>51</v>
      </c>
      <c r="H281" s="211" t="s">
        <v>56</v>
      </c>
      <c r="I281" s="13"/>
      <c r="J281" s="13"/>
    </row>
    <row r="282" ht="14.25" customHeight="1">
      <c r="A282" s="214" t="s">
        <v>2069</v>
      </c>
      <c r="B282" s="214"/>
      <c r="C282" s="214"/>
      <c r="D282" s="214"/>
      <c r="E282" s="216"/>
      <c r="F282" s="216"/>
      <c r="G282" s="216"/>
      <c r="H282" s="216"/>
      <c r="I282" s="216"/>
      <c r="J282" s="216"/>
    </row>
    <row r="283" ht="14.25" customHeight="1">
      <c r="A283" s="217" t="s">
        <v>1111</v>
      </c>
      <c r="B283" s="218" t="s">
        <v>2075</v>
      </c>
      <c r="C283" s="219" t="s">
        <v>2077</v>
      </c>
      <c r="D283" s="219" t="s">
        <v>2079</v>
      </c>
      <c r="E283" s="13"/>
      <c r="F283" s="13"/>
      <c r="G283" s="220" t="s">
        <v>51</v>
      </c>
      <c r="H283" s="221" t="s">
        <v>56</v>
      </c>
      <c r="I283" s="13"/>
      <c r="J283" s="13"/>
    </row>
    <row r="284" ht="14.25" customHeight="1">
      <c r="A284" s="209" t="s">
        <v>1111</v>
      </c>
      <c r="B284" s="135" t="s">
        <v>2082</v>
      </c>
      <c r="C284" s="136" t="s">
        <v>2083</v>
      </c>
      <c r="D284" s="136" t="s">
        <v>2084</v>
      </c>
      <c r="E284" s="13"/>
      <c r="F284" s="13"/>
      <c r="G284" s="220" t="s">
        <v>51</v>
      </c>
      <c r="H284" s="221" t="s">
        <v>56</v>
      </c>
      <c r="I284" s="13"/>
      <c r="J284" s="13"/>
    </row>
    <row r="285" ht="14.25" customHeight="1">
      <c r="A285" s="209" t="s">
        <v>1111</v>
      </c>
      <c r="B285" s="135" t="s">
        <v>2085</v>
      </c>
      <c r="C285" s="136" t="s">
        <v>2086</v>
      </c>
      <c r="D285" s="136" t="s">
        <v>2087</v>
      </c>
      <c r="E285" s="13"/>
      <c r="F285" s="13"/>
      <c r="G285" s="220" t="s">
        <v>51</v>
      </c>
      <c r="H285" s="221" t="s">
        <v>56</v>
      </c>
      <c r="I285" s="13"/>
      <c r="J285" s="13"/>
    </row>
    <row r="286" ht="14.25" customHeight="1">
      <c r="A286" s="209" t="s">
        <v>1111</v>
      </c>
      <c r="B286" s="135" t="s">
        <v>2088</v>
      </c>
      <c r="C286" s="136" t="s">
        <v>2089</v>
      </c>
      <c r="D286" s="136" t="s">
        <v>2090</v>
      </c>
      <c r="E286" s="13"/>
      <c r="F286" s="13"/>
      <c r="G286" s="220" t="s">
        <v>51</v>
      </c>
      <c r="H286" s="221" t="s">
        <v>56</v>
      </c>
      <c r="I286" s="13"/>
      <c r="J286" s="13"/>
    </row>
    <row r="287" ht="14.25" customHeight="1">
      <c r="A287" s="209" t="s">
        <v>1111</v>
      </c>
      <c r="B287" s="135" t="s">
        <v>2091</v>
      </c>
      <c r="C287" s="136" t="s">
        <v>2093</v>
      </c>
      <c r="D287" s="136" t="s">
        <v>2087</v>
      </c>
      <c r="E287" s="13"/>
      <c r="F287" s="13"/>
      <c r="G287" s="220" t="s">
        <v>51</v>
      </c>
      <c r="H287" s="221" t="s">
        <v>56</v>
      </c>
      <c r="I287" s="13"/>
      <c r="J287" s="13"/>
    </row>
    <row r="288" ht="14.25" customHeight="1">
      <c r="A288" s="209" t="s">
        <v>1111</v>
      </c>
      <c r="B288" s="135" t="s">
        <v>2096</v>
      </c>
      <c r="C288" s="136" t="s">
        <v>2097</v>
      </c>
      <c r="D288" s="136" t="s">
        <v>2098</v>
      </c>
      <c r="E288" s="13"/>
      <c r="F288" s="13"/>
      <c r="G288" s="220" t="s">
        <v>51</v>
      </c>
      <c r="H288" s="221" t="s">
        <v>56</v>
      </c>
      <c r="I288" s="13"/>
      <c r="J288" s="13"/>
    </row>
    <row r="289" ht="14.25" customHeight="1">
      <c r="A289" s="209" t="s">
        <v>1111</v>
      </c>
      <c r="B289" s="135" t="s">
        <v>2101</v>
      </c>
      <c r="C289" s="136" t="s">
        <v>2102</v>
      </c>
      <c r="D289" s="136" t="s">
        <v>2090</v>
      </c>
      <c r="E289" s="13"/>
      <c r="F289" s="13"/>
      <c r="G289" s="220" t="s">
        <v>51</v>
      </c>
      <c r="H289" s="221" t="s">
        <v>56</v>
      </c>
      <c r="I289" s="13"/>
      <c r="J289" s="13"/>
    </row>
    <row r="290" ht="14.25" customHeight="1">
      <c r="A290" s="209" t="s">
        <v>1111</v>
      </c>
      <c r="B290" s="135" t="s">
        <v>2105</v>
      </c>
      <c r="C290" s="136" t="s">
        <v>2106</v>
      </c>
      <c r="D290" s="136" t="s">
        <v>2107</v>
      </c>
      <c r="E290" s="13"/>
      <c r="F290" s="13"/>
      <c r="G290" s="220" t="s">
        <v>51</v>
      </c>
      <c r="H290" s="221" t="s">
        <v>56</v>
      </c>
      <c r="I290" s="13"/>
      <c r="J290" s="13"/>
    </row>
    <row r="291" ht="14.25" customHeight="1">
      <c r="A291" s="209" t="s">
        <v>1111</v>
      </c>
      <c r="B291" s="135" t="s">
        <v>2109</v>
      </c>
      <c r="C291" s="136" t="s">
        <v>2110</v>
      </c>
      <c r="D291" s="136" t="s">
        <v>2112</v>
      </c>
      <c r="E291" s="13"/>
      <c r="F291" s="13"/>
      <c r="G291" s="220" t="s">
        <v>51</v>
      </c>
      <c r="H291" s="221" t="s">
        <v>56</v>
      </c>
      <c r="I291" s="13"/>
      <c r="J291" s="13"/>
    </row>
    <row r="292" ht="14.25" customHeight="1">
      <c r="A292" s="209" t="s">
        <v>1111</v>
      </c>
      <c r="B292" s="135" t="s">
        <v>2114</v>
      </c>
      <c r="C292" s="136" t="s">
        <v>2115</v>
      </c>
      <c r="D292" s="136" t="s">
        <v>2116</v>
      </c>
      <c r="E292" s="13"/>
      <c r="F292" s="13"/>
      <c r="G292" s="220" t="s">
        <v>51</v>
      </c>
      <c r="H292" s="221" t="s">
        <v>56</v>
      </c>
      <c r="I292" s="13"/>
      <c r="J292" s="13"/>
    </row>
    <row r="293" ht="14.25" customHeight="1">
      <c r="A293" s="209" t="s">
        <v>1111</v>
      </c>
      <c r="B293" s="135" t="s">
        <v>2119</v>
      </c>
      <c r="C293" s="136" t="s">
        <v>2120</v>
      </c>
      <c r="D293" s="136" t="s">
        <v>2121</v>
      </c>
      <c r="E293" s="13"/>
      <c r="F293" s="13"/>
      <c r="G293" s="220" t="s">
        <v>51</v>
      </c>
      <c r="H293" s="221" t="s">
        <v>56</v>
      </c>
      <c r="I293" s="13"/>
      <c r="J293" s="13"/>
    </row>
    <row r="294" ht="14.25" customHeight="1">
      <c r="A294" s="212" t="s">
        <v>1111</v>
      </c>
      <c r="B294" s="138" t="s">
        <v>2122</v>
      </c>
      <c r="C294" s="139" t="s">
        <v>2123</v>
      </c>
      <c r="D294" s="139" t="s">
        <v>2124</v>
      </c>
      <c r="E294" s="13"/>
      <c r="F294" s="13"/>
      <c r="G294" s="220" t="s">
        <v>51</v>
      </c>
      <c r="H294" s="221" t="s">
        <v>56</v>
      </c>
      <c r="I294" s="13"/>
      <c r="J294" s="13"/>
    </row>
    <row r="295" ht="14.25" customHeight="1">
      <c r="A295" s="13" t="s">
        <v>1111</v>
      </c>
      <c r="B295" s="13" t="s">
        <v>2125</v>
      </c>
      <c r="C295" s="13" t="s">
        <v>2126</v>
      </c>
      <c r="D295" s="13" t="s">
        <v>2127</v>
      </c>
      <c r="E295" s="13"/>
      <c r="F295" s="13"/>
      <c r="G295" s="220" t="s">
        <v>51</v>
      </c>
      <c r="H295" s="221" t="s">
        <v>56</v>
      </c>
      <c r="I295" s="13"/>
      <c r="J295" s="13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1:I1"/>
    <mergeCell ref="A2:I2"/>
    <mergeCell ref="A3:I3"/>
    <mergeCell ref="A4:I4"/>
    <mergeCell ref="A11:I11"/>
    <mergeCell ref="A19:I19"/>
    <mergeCell ref="A27:I27"/>
    <mergeCell ref="A35:I35"/>
    <mergeCell ref="A36:I36"/>
    <mergeCell ref="A45:I45"/>
    <mergeCell ref="A53:I53"/>
    <mergeCell ref="A61:I61"/>
    <mergeCell ref="A67:I67"/>
    <mergeCell ref="A73:I73"/>
    <mergeCell ref="A77:I77"/>
    <mergeCell ref="A84:I84"/>
    <mergeCell ref="A85:I85"/>
    <mergeCell ref="A86:I86"/>
    <mergeCell ref="A92:I92"/>
    <mergeCell ref="A98:I98"/>
    <mergeCell ref="A99:I99"/>
    <mergeCell ref="A105:I105"/>
    <mergeCell ref="A106:I106"/>
    <mergeCell ref="A111:I111"/>
    <mergeCell ref="A118:I118"/>
    <mergeCell ref="A124:I124"/>
    <mergeCell ref="A172:I172"/>
    <mergeCell ref="A178:I178"/>
    <mergeCell ref="A217:I217"/>
    <mergeCell ref="A224:I224"/>
    <mergeCell ref="A225:I225"/>
    <mergeCell ref="A231:I231"/>
    <mergeCell ref="A232:I232"/>
    <mergeCell ref="A189:I189"/>
    <mergeCell ref="A190:I190"/>
    <mergeCell ref="A191:I191"/>
    <mergeCell ref="A209:I209"/>
    <mergeCell ref="A210:I210"/>
    <mergeCell ref="A211:I211"/>
    <mergeCell ref="A216:I21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3B52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2.25"/>
    <col customWidth="1" min="2" max="2" width="14.0"/>
    <col customWidth="1" min="3" max="3" width="30.0"/>
    <col customWidth="1" min="4" max="4" width="40.0"/>
    <col customWidth="1" min="5" max="6" width="6.0"/>
    <col customWidth="1" min="7" max="7" width="10.0"/>
    <col customWidth="1" min="8" max="8" width="6.0"/>
    <col customWidth="1" min="9" max="9" width="16.0"/>
    <col customWidth="1" min="10" max="10" width="40.0"/>
  </cols>
  <sheetData>
    <row r="1" ht="15.0" customHeight="1">
      <c r="A1" s="3" t="s">
        <v>1</v>
      </c>
      <c r="B1" s="5"/>
      <c r="C1" s="5"/>
      <c r="D1" s="5"/>
      <c r="E1" s="5"/>
      <c r="F1" s="5"/>
      <c r="G1" s="5"/>
      <c r="H1" s="5"/>
      <c r="I1" s="5"/>
      <c r="J1" s="5"/>
    </row>
    <row r="2" ht="21.75" customHeight="1">
      <c r="A2" s="11" t="s">
        <v>6</v>
      </c>
      <c r="B2" s="11" t="s">
        <v>8</v>
      </c>
      <c r="C2" s="11" t="s">
        <v>10</v>
      </c>
      <c r="D2" s="11" t="s">
        <v>11</v>
      </c>
      <c r="E2" s="11" t="s">
        <v>13</v>
      </c>
      <c r="F2" s="11" t="s">
        <v>15</v>
      </c>
      <c r="G2" s="11" t="s">
        <v>18</v>
      </c>
      <c r="H2" s="11" t="s">
        <v>20</v>
      </c>
      <c r="I2" s="11" t="s">
        <v>22</v>
      </c>
      <c r="J2" s="11" t="s">
        <v>23</v>
      </c>
    </row>
    <row r="3" ht="15.0" customHeight="1">
      <c r="A3" s="22" t="s">
        <v>26</v>
      </c>
      <c r="B3" s="24" t="s">
        <v>29</v>
      </c>
      <c r="C3" s="34" t="str">
        <f t="array" ref="C3">XLOOKUP($B3,'🔖 CODES DE RÉFÉRENCE'!$B:$B,'🔖 CODES DE RÉFÉRENCE'!$C:$C,"")</f>
        <v>ZEN &amp; BIEN-ÊTRE</v>
      </c>
      <c r="D3" s="34" t="str">
        <f t="array" ref="D3">XLOOKUP($B3,'🔖 CODES DE RÉFÉRENCE'!$B:$B,'🔖 CODES DE RÉFÉRENCE'!$D:$D,"")</f>
        <v>Boost spa/yoga/healing · sérénité</v>
      </c>
      <c r="E3" s="23" t="s">
        <v>51</v>
      </c>
      <c r="F3" s="23" t="s">
        <v>51</v>
      </c>
      <c r="G3" s="23" t="s">
        <v>51</v>
      </c>
      <c r="H3" s="23" t="s">
        <v>56</v>
      </c>
      <c r="I3" s="23" t="s">
        <v>58</v>
      </c>
      <c r="J3" s="23" t="str">
        <f t="shared" ref="J3:J214" si="1">$B3&amp;" — "&amp;$C3</f>
        <v>OR-ZEN — ZEN &amp; BIEN-ÊTRE</v>
      </c>
    </row>
    <row r="4" ht="15.0" customHeight="1">
      <c r="A4" s="22" t="s">
        <v>26</v>
      </c>
      <c r="B4" s="24" t="s">
        <v>64</v>
      </c>
      <c r="C4" s="34" t="str">
        <f t="array" ref="C4">XLOOKUP($B4,'🔖 CODES DE RÉFÉRENCE'!$B:$B,'🔖 CODES DE RÉFÉRENCE'!$C:$C,"")</f>
        <v>ROMANTIQUE</v>
      </c>
      <c r="D4" s="34" t="str">
        <f t="array" ref="D4">XLOOKUP($B4,'🔖 CODES DE RÉFÉRENCE'!$B:$B,'🔖 CODES DE RÉFÉRENCE'!$D:$D,"")</f>
        <v>Boost suite privée · rooftop sunset · dîner désert</v>
      </c>
      <c r="E4" s="23" t="s">
        <v>51</v>
      </c>
      <c r="F4" s="23" t="s">
        <v>51</v>
      </c>
      <c r="G4" s="23" t="s">
        <v>51</v>
      </c>
      <c r="H4" s="23" t="s">
        <v>56</v>
      </c>
      <c r="I4" s="23" t="s">
        <v>58</v>
      </c>
      <c r="J4" s="23" t="str">
        <f t="shared" si="1"/>
        <v>OR-ROM — ROMANTIQUE</v>
      </c>
    </row>
    <row r="5" ht="15.0" customHeight="1">
      <c r="A5" s="22" t="s">
        <v>26</v>
      </c>
      <c r="B5" s="24" t="s">
        <v>75</v>
      </c>
      <c r="C5" s="34" t="str">
        <f t="array" ref="C5">XLOOKUP($B5,'🔖 CODES DE RÉFÉRENCE'!$B:$B,'🔖 CODES DE RÉFÉRENCE'!$C:$C,"")</f>
        <v>FAMILIAL</v>
      </c>
      <c r="D5" s="34" t="str">
        <f t="array" ref="D5">XLOOKUP($B5,'🔖 CODES DE RÉFÉRENCE'!$B:$B,'🔖 CODES DE RÉFÉRENCE'!$D:$D,"")</f>
        <v>Boost resort · villa · kids club</v>
      </c>
      <c r="E5" s="23" t="s">
        <v>51</v>
      </c>
      <c r="F5" s="23" t="s">
        <v>51</v>
      </c>
      <c r="G5" s="23" t="s">
        <v>51</v>
      </c>
      <c r="H5" s="23" t="s">
        <v>56</v>
      </c>
      <c r="I5" s="23" t="s">
        <v>58</v>
      </c>
      <c r="J5" s="23" t="str">
        <f t="shared" si="1"/>
        <v>OR-FAM — FAMILIAL</v>
      </c>
    </row>
    <row r="6" ht="15.0" customHeight="1">
      <c r="A6" s="22" t="s">
        <v>26</v>
      </c>
      <c r="B6" s="24" t="s">
        <v>91</v>
      </c>
      <c r="C6" s="34" t="str">
        <f t="array" ref="C6">XLOOKUP($B6,'🔖 CODES DE RÉFÉRENCE'!$B:$B,'🔖 CODES DE RÉFÉRENCE'!$C:$C,"")</f>
        <v>FESTIF</v>
      </c>
      <c r="D6" s="34" t="str">
        <f t="array" ref="D6">XLOOKUP($B6,'🔖 CODES DE RÉFÉRENCE'!$B:$B,'🔖 CODES DE RÉFÉRENCE'!$D:$D,"")</f>
        <v>Boost villa privatisable · rooftop · DJ · nightlife</v>
      </c>
      <c r="E6" s="23" t="s">
        <v>51</v>
      </c>
      <c r="F6" s="23" t="s">
        <v>51</v>
      </c>
      <c r="G6" s="23" t="s">
        <v>51</v>
      </c>
      <c r="H6" s="23" t="s">
        <v>56</v>
      </c>
      <c r="I6" s="23" t="s">
        <v>58</v>
      </c>
      <c r="J6" s="23" t="str">
        <f t="shared" si="1"/>
        <v>OR-FES — FESTIF</v>
      </c>
    </row>
    <row r="7" ht="15.0" customHeight="1">
      <c r="A7" s="22" t="s">
        <v>26</v>
      </c>
      <c r="B7" s="24" t="s">
        <v>99</v>
      </c>
      <c r="C7" s="34" t="str">
        <f t="array" ref="C7">XLOOKUP($B7,'🔖 CODES DE RÉFÉRENCE'!$B:$B,'🔖 CODES DE RÉFÉRENCE'!$C:$C,"")</f>
        <v>PROFESSIONNEL</v>
      </c>
      <c r="D7" s="34" t="str">
        <f t="array" ref="D7">XLOOKUP($B7,'🔖 CODES DE RÉFÉRENCE'!$B:$B,'🔖 CODES DE RÉFÉRENCE'!$D:$D,"")</f>
        <v>Boost hôtel 5⁎ · palace · lounge business</v>
      </c>
      <c r="E7" s="23" t="s">
        <v>51</v>
      </c>
      <c r="F7" s="23" t="s">
        <v>51</v>
      </c>
      <c r="G7" s="23" t="s">
        <v>51</v>
      </c>
      <c r="H7" s="23" t="s">
        <v>56</v>
      </c>
      <c r="I7" s="23" t="s">
        <v>58</v>
      </c>
      <c r="J7" s="23" t="str">
        <f t="shared" si="1"/>
        <v>OR-PRO — PROFESSIONNEL</v>
      </c>
    </row>
    <row r="8" ht="15.0" customHeight="1">
      <c r="A8" s="22" t="s">
        <v>131</v>
      </c>
      <c r="B8" s="24" t="s">
        <v>125</v>
      </c>
      <c r="C8" s="34" t="str">
        <f t="array" ref="C8">XLOOKUP($B8,'🔖 CODES DE RÉFÉRENCE'!$B:$B,'🔖 CODES DE RÉFÉRENCE'!$C:$C,"")</f>
        <v>HOTEL &amp; RESORT</v>
      </c>
      <c r="D8" s="34" t="str">
        <f t="array" ref="D8">XLOOKUP($B8,'🔖 CODES DE RÉFÉRENCE'!$B:$B,'🔖 CODES DE RÉFÉRENCE'!$D:$D,"")</f>
        <v>Hôtel 4⁎ · Hôtel 5⁎ · Resort</v>
      </c>
      <c r="E8" s="23" t="s">
        <v>51</v>
      </c>
      <c r="F8" s="23" t="s">
        <v>51</v>
      </c>
      <c r="G8" s="23" t="s">
        <v>51</v>
      </c>
      <c r="H8" s="23" t="s">
        <v>56</v>
      </c>
      <c r="I8" s="23" t="s">
        <v>58</v>
      </c>
      <c r="J8" s="23" t="str">
        <f t="shared" si="1"/>
        <v>HB-HOT — HOTEL &amp; RESORT</v>
      </c>
    </row>
    <row r="9" ht="15.0" customHeight="1">
      <c r="A9" s="22" t="s">
        <v>131</v>
      </c>
      <c r="B9" s="24" t="s">
        <v>129</v>
      </c>
      <c r="C9" s="34" t="str">
        <f t="array" ref="C9">XLOOKUP($B9,'🔖 CODES DE RÉFÉRENCE'!$B:$B,'🔖 CODES DE RÉFÉRENCE'!$C:$C,"")</f>
        <v>INCONTOURNABLE</v>
      </c>
      <c r="D9" s="34" t="str">
        <f t="array" ref="D9">XLOOKUP($B9,'🔖 CODES DE RÉFÉRENCE'!$B:$B,'🔖 CODES DE RÉFÉRENCE'!$D:$D,"")</f>
        <v>Palace · Relais &amp; Châteaux · Boutique hôtel</v>
      </c>
      <c r="E9" s="23" t="s">
        <v>51</v>
      </c>
      <c r="F9" s="23" t="s">
        <v>51</v>
      </c>
      <c r="G9" s="23" t="s">
        <v>51</v>
      </c>
      <c r="H9" s="23" t="s">
        <v>56</v>
      </c>
      <c r="I9" s="23" t="s">
        <v>58</v>
      </c>
      <c r="J9" s="23" t="str">
        <f t="shared" si="1"/>
        <v>HB-INC — INCONTOURNABLE</v>
      </c>
    </row>
    <row r="10" ht="15.0" customHeight="1">
      <c r="A10" s="22" t="s">
        <v>131</v>
      </c>
      <c r="B10" s="24" t="s">
        <v>134</v>
      </c>
      <c r="C10" s="34" t="str">
        <f t="array" ref="C10">XLOOKUP($B10,'🔖 CODES DE RÉFÉRENCE'!$B:$B,'🔖 CODES DE RÉFÉRENCE'!$C:$C,"")</f>
        <v>RIAD &amp; PATRIMOINE</v>
      </c>
      <c r="D10" s="34" t="str">
        <f t="array" ref="D10">XLOOKUP($B10,'🔖 CODES DE RÉFÉRENCE'!$B:$B,'🔖 CODES DE RÉFÉRENCE'!$D:$D,"")</f>
        <v>Riad · Palais d'hôtes</v>
      </c>
      <c r="E10" s="23" t="s">
        <v>51</v>
      </c>
      <c r="F10" s="23" t="s">
        <v>51</v>
      </c>
      <c r="G10" s="23" t="s">
        <v>51</v>
      </c>
      <c r="H10" s="23" t="s">
        <v>56</v>
      </c>
      <c r="I10" s="23" t="s">
        <v>58</v>
      </c>
      <c r="J10" s="23" t="str">
        <f t="shared" si="1"/>
        <v>HB-RIA — RIAD &amp; PATRIMOINE</v>
      </c>
    </row>
    <row r="11" ht="15.0" customHeight="1">
      <c r="A11" s="22" t="s">
        <v>131</v>
      </c>
      <c r="B11" s="24" t="s">
        <v>137</v>
      </c>
      <c r="C11" s="34" t="str">
        <f t="array" ref="C11">XLOOKUP($B11,'🔖 CODES DE RÉFÉRENCE'!$B:$B,'🔖 CODES DE RÉFÉRENCE'!$C:$C,"")</f>
        <v>COLLECTION PRIVÉE</v>
      </c>
      <c r="D11" s="34" t="str">
        <f t="array" ref="D11">XLOOKUP($B11,'🔖 CODES DE RÉFÉRENCE'!$B:$B,'🔖 CODES DE RÉFÉRENCE'!$D:$D,"")</f>
        <v>Riad privatisable · Villa privée · Domaine privé</v>
      </c>
      <c r="E11" s="23" t="s">
        <v>51</v>
      </c>
      <c r="F11" s="23" t="s">
        <v>51</v>
      </c>
      <c r="G11" s="23" t="s">
        <v>51</v>
      </c>
      <c r="H11" s="23" t="s">
        <v>56</v>
      </c>
      <c r="I11" s="23" t="s">
        <v>58</v>
      </c>
      <c r="J11" s="23" t="str">
        <f t="shared" si="1"/>
        <v>HB-COL — COLLECTION PRIVÉE</v>
      </c>
    </row>
    <row r="12" ht="15.0" customHeight="1">
      <c r="A12" s="22" t="s">
        <v>131</v>
      </c>
      <c r="B12" s="24" t="s">
        <v>140</v>
      </c>
      <c r="C12" s="34" t="str">
        <f t="array" ref="C12">XLOOKUP($B12,'🔖 CODES DE RÉFÉRENCE'!$B:$B,'🔖 CODES DE RÉFÉRENCE'!$C:$C,"")</f>
        <v>NATURE &amp; HORIZON</v>
      </c>
      <c r="D12" s="34" t="str">
        <f t="array" ref="D12">XLOOKUP($B12,'🔖 CODES DE RÉFÉRENCE'!$B:$B,'🔖 CODES DE RÉFÉRENCE'!$D:$D,"")</f>
        <v>Desert Camp · Desert Resort · Lodge</v>
      </c>
      <c r="E12" s="23" t="s">
        <v>51</v>
      </c>
      <c r="F12" s="23" t="s">
        <v>51</v>
      </c>
      <c r="G12" s="23" t="s">
        <v>51</v>
      </c>
      <c r="H12" s="23" t="s">
        <v>56</v>
      </c>
      <c r="I12" s="23" t="s">
        <v>58</v>
      </c>
      <c r="J12" s="23" t="str">
        <f t="shared" si="1"/>
        <v>HB-NAT — NATURE &amp; HORIZON</v>
      </c>
    </row>
    <row r="13" ht="15.0" customHeight="1">
      <c r="A13" s="22" t="s">
        <v>131</v>
      </c>
      <c r="B13" s="24" t="s">
        <v>143</v>
      </c>
      <c r="C13" s="34" t="str">
        <f t="array" ref="C13">XLOOKUP($B13,'🔖 CODES DE RÉFÉRENCE'!$B:$B,'🔖 CODES DE RÉFÉRENCE'!$C:$C,"")</f>
        <v>SUR MESURE ABSOLU</v>
      </c>
      <c r="D13" s="34" t="str">
        <f t="array" ref="D13">XLOOKUP($B13,'🔖 CODES DE RÉFÉRENCE'!$B:$B,'🔖 CODES DE RÉFÉRENCE'!$D:$D,"")</f>
        <v>MODE COMBINAISON : le client assemble 2 types d'hébergement OU PLUS sur le séjour (ex : riad médina + camp désert). N'est PAS un 6e type — voyage multi-lieux composé par SOLY. · IMPOSE automatiquement BG-LIBRE (le client ne choisit pas de tranche BG1–BG5).</v>
      </c>
      <c r="E13" s="23" t="s">
        <v>51</v>
      </c>
      <c r="F13" s="23" t="s">
        <v>51</v>
      </c>
      <c r="G13" s="23" t="s">
        <v>51</v>
      </c>
      <c r="H13" s="23" t="s">
        <v>56</v>
      </c>
      <c r="I13" s="23" t="s">
        <v>58</v>
      </c>
      <c r="J13" s="23" t="str">
        <f t="shared" si="1"/>
        <v>HB-SUR — SUR MESURE ABSOLU</v>
      </c>
    </row>
    <row r="14" ht="15.0" customHeight="1">
      <c r="A14" s="23" t="s">
        <v>150</v>
      </c>
      <c r="B14" s="23" t="s">
        <v>153</v>
      </c>
      <c r="C14" s="23" t="str">
        <f t="array" ref="C14">XLOOKUP($B14,'🔖 CODES DE RÉFÉRENCE'!$B:$B,'🔖 CODES DE RÉFÉRENCE'!$C:$C,"")</f>
        <v>Moins de 300 €</v>
      </c>
      <c r="D14" s="23" t="str">
        <f t="array" ref="D14">XLOOKUP($B14,'🔖 CODES DE RÉFÉRENCE'!$B:$B,'🔖 CODES DE RÉFÉRENCE'!$D:$D,"")</f>
        <v>Budget moyen / nuit / chambre</v>
      </c>
      <c r="E14" s="23" t="s">
        <v>51</v>
      </c>
      <c r="F14" s="23" t="s">
        <v>51</v>
      </c>
      <c r="G14" s="23" t="s">
        <v>51</v>
      </c>
      <c r="H14" s="23" t="s">
        <v>56</v>
      </c>
      <c r="I14" s="23" t="s">
        <v>58</v>
      </c>
      <c r="J14" s="23" t="str">
        <f t="shared" si="1"/>
        <v>BG1 — Moins de 300 €</v>
      </c>
    </row>
    <row r="15" ht="15.0" customHeight="1">
      <c r="A15" s="23" t="s">
        <v>150</v>
      </c>
      <c r="B15" s="23" t="s">
        <v>158</v>
      </c>
      <c r="C15" s="23" t="str">
        <f t="array" ref="C15">XLOOKUP($B15,'🔖 CODES DE RÉFÉRENCE'!$B:$B,'🔖 CODES DE RÉFÉRENCE'!$C:$C,"")</f>
        <v>300 – 500 €</v>
      </c>
      <c r="D15" s="23" t="str">
        <f t="array" ref="D15">XLOOKUP($B15,'🔖 CODES DE RÉFÉRENCE'!$B:$B,'🔖 CODES DE RÉFÉRENCE'!$D:$D,"")</f>
        <v>Budget moyen / nuit / chambre</v>
      </c>
      <c r="E15" s="23" t="s">
        <v>51</v>
      </c>
      <c r="F15" s="23" t="s">
        <v>51</v>
      </c>
      <c r="G15" s="23" t="s">
        <v>51</v>
      </c>
      <c r="H15" s="23" t="s">
        <v>56</v>
      </c>
      <c r="I15" s="23" t="s">
        <v>58</v>
      </c>
      <c r="J15" s="23" t="str">
        <f t="shared" si="1"/>
        <v>BG2 — 300 – 500 €</v>
      </c>
    </row>
    <row r="16" ht="15.0" customHeight="1">
      <c r="A16" s="23" t="s">
        <v>150</v>
      </c>
      <c r="B16" s="23" t="s">
        <v>161</v>
      </c>
      <c r="C16" s="23" t="str">
        <f t="array" ref="C16">XLOOKUP($B16,'🔖 CODES DE RÉFÉRENCE'!$B:$B,'🔖 CODES DE RÉFÉRENCE'!$C:$C,"")</f>
        <v>500 – 800 €</v>
      </c>
      <c r="D16" s="23" t="str">
        <f t="array" ref="D16">XLOOKUP($B16,'🔖 CODES DE RÉFÉRENCE'!$B:$B,'🔖 CODES DE RÉFÉRENCE'!$D:$D,"")</f>
        <v>Budget moyen / nuit / chambre</v>
      </c>
      <c r="E16" s="23" t="s">
        <v>51</v>
      </c>
      <c r="F16" s="23" t="s">
        <v>51</v>
      </c>
      <c r="G16" s="23" t="s">
        <v>51</v>
      </c>
      <c r="H16" s="23" t="s">
        <v>56</v>
      </c>
      <c r="I16" s="23" t="s">
        <v>58</v>
      </c>
      <c r="J16" s="23" t="str">
        <f t="shared" si="1"/>
        <v>BG3 — 500 – 800 €</v>
      </c>
    </row>
    <row r="17" ht="15.0" customHeight="1">
      <c r="A17" s="23" t="s">
        <v>150</v>
      </c>
      <c r="B17" s="23" t="s">
        <v>164</v>
      </c>
      <c r="C17" s="23" t="str">
        <f t="array" ref="C17">XLOOKUP($B17,'🔖 CODES DE RÉFÉRENCE'!$B:$B,'🔖 CODES DE RÉFÉRENCE'!$C:$C,"")</f>
        <v>800 – 1 200 €</v>
      </c>
      <c r="D17" s="23" t="str">
        <f t="array" ref="D17">XLOOKUP($B17,'🔖 CODES DE RÉFÉRENCE'!$B:$B,'🔖 CODES DE RÉFÉRENCE'!$D:$D,"")</f>
        <v>Budget moyen / nuit / chambre</v>
      </c>
      <c r="E17" s="23" t="s">
        <v>51</v>
      </c>
      <c r="F17" s="23" t="s">
        <v>51</v>
      </c>
      <c r="G17" s="23" t="s">
        <v>51</v>
      </c>
      <c r="H17" s="23" t="s">
        <v>56</v>
      </c>
      <c r="I17" s="23" t="s">
        <v>58</v>
      </c>
      <c r="J17" s="23" t="str">
        <f t="shared" si="1"/>
        <v>BG4 — 800 – 1 200 €</v>
      </c>
    </row>
    <row r="18" ht="15.0" customHeight="1">
      <c r="A18" s="23" t="s">
        <v>150</v>
      </c>
      <c r="B18" s="23" t="s">
        <v>167</v>
      </c>
      <c r="C18" s="23" t="str">
        <f t="array" ref="C18">XLOOKUP($B18,'🔖 CODES DE RÉFÉRENCE'!$B:$B,'🔖 CODES DE RÉFÉRENCE'!$C:$C,"")</f>
        <v>1 200 € et +</v>
      </c>
      <c r="D18" s="23" t="str">
        <f t="array" ref="D18">XLOOKUP($B18,'🔖 CODES DE RÉFÉRENCE'!$B:$B,'🔖 CODES DE RÉFÉRENCE'!$D:$D,"")</f>
        <v>Budget moyen / nuit / chambre</v>
      </c>
      <c r="E18" s="23" t="s">
        <v>51</v>
      </c>
      <c r="F18" s="23" t="s">
        <v>51</v>
      </c>
      <c r="G18" s="23" t="s">
        <v>51</v>
      </c>
      <c r="H18" s="23" t="s">
        <v>56</v>
      </c>
      <c r="I18" s="23" t="s">
        <v>58</v>
      </c>
      <c r="J18" s="23" t="str">
        <f t="shared" si="1"/>
        <v>BG5 — 1 200 € et +</v>
      </c>
    </row>
    <row r="19" ht="15.0" customHeight="1">
      <c r="A19" s="23" t="s">
        <v>150</v>
      </c>
      <c r="B19" s="23" t="s">
        <v>171</v>
      </c>
      <c r="C19" s="23" t="str">
        <f t="array" ref="C19">XLOOKUP($B19,'🔖 CODES DE RÉFÉRENCE'!$B:$B,'🔖 CODES DE RÉFÉRENCE'!$C:$C,"")</f>
        <v>SUR MESURE</v>
      </c>
      <c r="D19" s="23" t="str">
        <f t="array" ref="D19">XLOOKUP($B19,'🔖 CODES DE RÉFÉRENCE'!$B:$B,'🔖 CODES DE RÉFÉRENCE'!$D:$D,"")</f>
        <v>Budget sur mesure (composé) · désactive le filtre · EXCLUSIVEMENT lié à HB-SUR — jamais proposé avec un hébergement classique (HB-HOT/INC/RIA/COL/NAT), qui utilisent BG1–BG5.</v>
      </c>
      <c r="E19" s="23" t="s">
        <v>51</v>
      </c>
      <c r="F19" s="23" t="s">
        <v>51</v>
      </c>
      <c r="G19" s="23" t="s">
        <v>51</v>
      </c>
      <c r="H19" s="23" t="s">
        <v>56</v>
      </c>
      <c r="I19" s="23" t="s">
        <v>58</v>
      </c>
      <c r="J19" s="23" t="str">
        <f t="shared" si="1"/>
        <v>BG-LIBRE — SUR MESURE</v>
      </c>
    </row>
    <row r="20" ht="15.0" customHeight="1">
      <c r="A20" s="22" t="s">
        <v>312</v>
      </c>
      <c r="B20" s="24" t="s">
        <v>210</v>
      </c>
      <c r="C20" s="34" t="str">
        <f t="array" ref="C20">XLOOKUP($B20,'🔖 CODES DE RÉFÉRENCE'!$B:$B,'🔖 CODES DE RÉFÉRENCE'!$C:$C,"")</f>
        <v>DEMANDE EN MARIAGE</v>
      </c>
      <c r="D20" s="34" t="str">
        <f t="array" ref="D20">XLOOKUP($B20,'🔖 CODES DE RÉFÉRENCE'!$B:$B,'🔖 CODES DE RÉFÉRENCE'!$D:$D,"")</f>
        <v>2 adultes · pack CRM (PACK1/PACK2)</v>
      </c>
      <c r="E20" s="23" t="s">
        <v>51</v>
      </c>
      <c r="F20" s="23" t="s">
        <v>56</v>
      </c>
      <c r="G20" s="23" t="s">
        <v>51</v>
      </c>
      <c r="H20" s="23" t="s">
        <v>56</v>
      </c>
      <c r="I20" s="23" t="s">
        <v>58</v>
      </c>
      <c r="J20" s="23" t="str">
        <f t="shared" si="1"/>
        <v>EV-DEM — DEMANDE EN MARIAGE</v>
      </c>
    </row>
    <row r="21" ht="15.0" customHeight="1">
      <c r="A21" s="22" t="s">
        <v>312</v>
      </c>
      <c r="B21" s="24" t="s">
        <v>330</v>
      </c>
      <c r="C21" s="34" t="str">
        <f t="array" ref="C21">XLOOKUP($B21,'🔖 CODES DE RÉFÉRENCE'!$B:$B,'🔖 CODES DE RÉFÉRENCE'!$C:$C,"")</f>
        <v>ANNIVERSAIRE (parent)</v>
      </c>
      <c r="D21" s="34" t="str">
        <f t="array" ref="D21">XLOOKUP($B21,'🔖 CODES DE RÉFÉRENCE'!$B:$B,'🔖 CODES DE RÉFÉRENCE'!$D:$D,"")</f>
        <v>Catégorie parente · 2 sous-choix : festif (EV-AFE) / familial (EV-AFA) · seul le familial ouvre le nb d'enfants</v>
      </c>
      <c r="E21" s="23" t="s">
        <v>51</v>
      </c>
      <c r="F21" s="23" t="s">
        <v>56</v>
      </c>
      <c r="G21" s="23" t="s">
        <v>51</v>
      </c>
      <c r="H21" s="23" t="s">
        <v>56</v>
      </c>
      <c r="I21" s="23" t="s">
        <v>58</v>
      </c>
      <c r="J21" s="23" t="str">
        <f t="shared" si="1"/>
        <v>EV-ANN — ANNIVERSAIRE (parent)</v>
      </c>
    </row>
    <row r="22" ht="15.0" customHeight="1">
      <c r="A22" s="22" t="s">
        <v>312</v>
      </c>
      <c r="B22" s="24" t="s">
        <v>200</v>
      </c>
      <c r="C22" s="34" t="str">
        <f t="array" ref="C22">XLOOKUP($B22,'🔖 CODES DE RÉFÉRENCE'!$B:$B,'🔖 CODES DE RÉFÉRENCE'!$C:$C,"")</f>
        <v>ANNIVERSAIRE FESTIF</v>
      </c>
      <c r="D22" s="34" t="str">
        <f t="array" ref="D22">XLOOKUP($B22,'🔖 CODES DE RÉFÉRENCE'!$B:$B,'🔖 CODES DE RÉFÉRENCE'!$D:$D,"")</f>
        <v>Ambiance fête · ≥5 adultes · pack CRM</v>
      </c>
      <c r="E22" s="23" t="s">
        <v>51</v>
      </c>
      <c r="F22" s="23" t="s">
        <v>56</v>
      </c>
      <c r="G22" s="23" t="s">
        <v>51</v>
      </c>
      <c r="H22" s="23" t="s">
        <v>56</v>
      </c>
      <c r="I22" s="23" t="s">
        <v>58</v>
      </c>
      <c r="J22" s="23" t="str">
        <f t="shared" si="1"/>
        <v>EV-AFE — ANNIVERSAIRE FESTIF</v>
      </c>
    </row>
    <row r="23" ht="15.0" customHeight="1">
      <c r="A23" s="22" t="s">
        <v>312</v>
      </c>
      <c r="B23" s="24" t="s">
        <v>203</v>
      </c>
      <c r="C23" s="34" t="str">
        <f t="array" ref="C23">XLOOKUP($B23,'🔖 CODES DE RÉFÉRENCE'!$B:$B,'🔖 CODES DE RÉFÉRENCE'!$C:$C,"")</f>
        <v>ANNIVERSAIRE FAMILIAL</v>
      </c>
      <c r="D23" s="34" t="str">
        <f t="array" ref="D23">XLOOKUP($B23,'🔖 CODES DE RÉFÉRENCE'!$B:$B,'🔖 CODES DE RÉFÉRENCE'!$D:$D,"")</f>
        <v>Cadre intime famille · ≥5 ad · pack CRM</v>
      </c>
      <c r="E23" s="23" t="s">
        <v>51</v>
      </c>
      <c r="F23" s="23" t="s">
        <v>56</v>
      </c>
      <c r="G23" s="23" t="s">
        <v>51</v>
      </c>
      <c r="H23" s="23" t="s">
        <v>56</v>
      </c>
      <c r="I23" s="23" t="s">
        <v>58</v>
      </c>
      <c r="J23" s="23" t="str">
        <f t="shared" si="1"/>
        <v>EV-AFA — ANNIVERSAIRE FAMILIAL</v>
      </c>
    </row>
    <row r="24" ht="15.0" customHeight="1">
      <c r="A24" s="22" t="s">
        <v>312</v>
      </c>
      <c r="B24" s="24" t="s">
        <v>215</v>
      </c>
      <c r="C24" s="34" t="str">
        <f t="array" ref="C24">XLOOKUP($B24,'🔖 CODES DE RÉFÉRENCE'!$B:$B,'🔖 CODES DE RÉFÉRENCE'!$C:$C,"")</f>
        <v>EVJF</v>
      </c>
      <c r="D24" s="34" t="str">
        <f t="array" ref="D24">XLOOKUP($B24,'🔖 CODES DE RÉFÉRENCE'!$B:$B,'🔖 CODES DE RÉFÉRENCE'!$D:$D,"")</f>
        <v>≥5 adultes · pack CRM</v>
      </c>
      <c r="E24" s="23" t="s">
        <v>51</v>
      </c>
      <c r="F24" s="23" t="s">
        <v>56</v>
      </c>
      <c r="G24" s="23" t="s">
        <v>51</v>
      </c>
      <c r="H24" s="23" t="s">
        <v>56</v>
      </c>
      <c r="I24" s="23" t="s">
        <v>58</v>
      </c>
      <c r="J24" s="23" t="str">
        <f t="shared" si="1"/>
        <v>EV-EVJF — EVJF</v>
      </c>
    </row>
    <row r="25" ht="15.0" customHeight="1">
      <c r="A25" s="22" t="s">
        <v>312</v>
      </c>
      <c r="B25" s="24" t="s">
        <v>219</v>
      </c>
      <c r="C25" s="34" t="str">
        <f t="array" ref="C25">XLOOKUP($B25,'🔖 CODES DE RÉFÉRENCE'!$B:$B,'🔖 CODES DE RÉFÉRENCE'!$C:$C,"")</f>
        <v>EVG</v>
      </c>
      <c r="D25" s="34" t="str">
        <f t="array" ref="D25">XLOOKUP($B25,'🔖 CODES DE RÉFÉRENCE'!$B:$B,'🔖 CODES DE RÉFÉRENCE'!$D:$D,"")</f>
        <v>≥5 adultes · pack CRM</v>
      </c>
      <c r="E25" s="23" t="s">
        <v>51</v>
      </c>
      <c r="F25" s="23" t="s">
        <v>56</v>
      </c>
      <c r="G25" s="23" t="s">
        <v>51</v>
      </c>
      <c r="H25" s="23" t="s">
        <v>56</v>
      </c>
      <c r="I25" s="23" t="s">
        <v>58</v>
      </c>
      <c r="J25" s="23" t="str">
        <f t="shared" si="1"/>
        <v>EV-EVG — EVG</v>
      </c>
    </row>
    <row r="26" ht="15.0" customHeight="1">
      <c r="A26" s="22" t="s">
        <v>312</v>
      </c>
      <c r="B26" s="24" t="s">
        <v>221</v>
      </c>
      <c r="C26" s="34" t="str">
        <f t="array" ref="C26">XLOOKUP($B26,'🔖 CODES DE RÉFÉRENCE'!$B:$B,'🔖 CODES DE RÉFÉRENCE'!$C:$C,"")</f>
        <v>AUTRE (cas par cas)</v>
      </c>
      <c r="D26" s="34" t="str">
        <f t="array" ref="D26">XLOOKUP($B26,'🔖 CODES DE RÉFÉRENCE'!$B:$B,'🔖 CODES DE RÉFÉRENCE'!$D:$D,"")</f>
        <v>Champ libre · SOLY ASSISTANCE 24h · pas de pack CRM</v>
      </c>
      <c r="E26" s="23" t="s">
        <v>51</v>
      </c>
      <c r="F26" s="23" t="s">
        <v>56</v>
      </c>
      <c r="G26" s="23" t="s">
        <v>51</v>
      </c>
      <c r="H26" s="23" t="s">
        <v>56</v>
      </c>
      <c r="I26" s="23" t="s">
        <v>58</v>
      </c>
      <c r="J26" s="23" t="str">
        <f t="shared" si="1"/>
        <v>EV-AUT — AUTRE (cas par cas)</v>
      </c>
    </row>
    <row r="27" ht="15.0" customHeight="1">
      <c r="A27" s="22" t="s">
        <v>422</v>
      </c>
      <c r="B27" s="24" t="s">
        <v>279</v>
      </c>
      <c r="C27" s="34" t="str">
        <f t="array" ref="C27">XLOOKUP($B27,'🔖 CODES DE RÉFÉRENCE'!$B:$B,'🔖 CODES DE RÉFÉRENCE'!$C:$C,"")</f>
        <v>DÉSERT &amp; HORIZONS</v>
      </c>
      <c r="D27" s="34" t="str">
        <f t="array" ref="D27">XLOOKUP($B27,'🔖 CODES DE RÉFÉRENCE'!$B:$B,'🔖 CODES DE RÉFÉRENCE'!$D:$D,"")</f>
        <v> </v>
      </c>
      <c r="E27" s="23" t="s">
        <v>51</v>
      </c>
      <c r="F27" s="23" t="s">
        <v>51</v>
      </c>
      <c r="G27" s="23" t="s">
        <v>51</v>
      </c>
      <c r="H27" s="23" t="s">
        <v>56</v>
      </c>
      <c r="I27" s="23" t="s">
        <v>58</v>
      </c>
      <c r="J27" s="23" t="str">
        <f t="shared" si="1"/>
        <v>AU-DES — DÉSERT &amp; HORIZONS</v>
      </c>
    </row>
    <row r="28" ht="15.0" customHeight="1">
      <c r="A28" s="22" t="s">
        <v>422</v>
      </c>
      <c r="B28" s="24" t="s">
        <v>284</v>
      </c>
      <c r="C28" s="34" t="str">
        <f t="array" ref="C28">XLOOKUP($B28,'🔖 CODES DE RÉFÉRENCE'!$B:$B,'🔖 CODES DE RÉFÉRENCE'!$C:$C,"")</f>
        <v>SPORT &amp; ÉNERGIE</v>
      </c>
      <c r="D28" s="34" t="str">
        <f t="array" ref="D28">XLOOKUP($B28,'🔖 CODES DE RÉFÉRENCE'!$B:$B,'🔖 CODES DE RÉFÉRENCE'!$D:$D,"")</f>
        <v>Golf · Yoga · Pilates · Padel · Tennis · Surf · Karting · Équitation · VTT · Escalade · Fitness · 🌅🌴 matin + après-midi</v>
      </c>
      <c r="E28" s="23" t="s">
        <v>51</v>
      </c>
      <c r="F28" s="23" t="s">
        <v>51</v>
      </c>
      <c r="G28" s="23" t="s">
        <v>51</v>
      </c>
      <c r="H28" s="23" t="s">
        <v>56</v>
      </c>
      <c r="I28" s="23" t="s">
        <v>58</v>
      </c>
      <c r="J28" s="23" t="str">
        <f t="shared" si="1"/>
        <v>AU-SPO — SPORT &amp; ÉNERGIE</v>
      </c>
    </row>
    <row r="29" ht="15.0" customHeight="1">
      <c r="A29" s="22" t="s">
        <v>422</v>
      </c>
      <c r="B29" s="24" t="s">
        <v>289</v>
      </c>
      <c r="C29" s="34" t="str">
        <f t="array" ref="C29">XLOOKUP($B29,'🔖 CODES DE RÉFÉRENCE'!$B:$B,'🔖 CODES DE RÉFÉRENCE'!$C:$C,"")</f>
        <v>CULTURE &amp; IMMERSION</v>
      </c>
      <c r="D29" s="34" t="str">
        <f t="array" ref="D29">XLOOKUP($B29,'🔖 CODES DE RÉFÉRENCE'!$B:$B,'🔖 CODES DE RÉFÉRENCE'!$D:$D,"")</f>
        <v>Jardin Majorelle · YSL · Bahia · Médersa · Souks · Cours de cuisine · Calligraphie · Palmeraie · Visite guidée médina · 🌅🌴 matin + après-midi</v>
      </c>
      <c r="E29" s="23" t="s">
        <v>51</v>
      </c>
      <c r="F29" s="23" t="s">
        <v>51</v>
      </c>
      <c r="G29" s="23" t="s">
        <v>51</v>
      </c>
      <c r="H29" s="23" t="s">
        <v>56</v>
      </c>
      <c r="I29" s="23" t="s">
        <v>58</v>
      </c>
      <c r="J29" s="23" t="str">
        <f t="shared" si="1"/>
        <v>AU-CUL — CULTURE &amp; IMMERSION</v>
      </c>
    </row>
    <row r="30" ht="15.0" customHeight="1">
      <c r="A30" s="22" t="s">
        <v>422</v>
      </c>
      <c r="B30" s="24" t="s">
        <v>275</v>
      </c>
      <c r="C30" s="34" t="str">
        <f t="array" ref="C30">XLOOKUP($B30,'🔖 CODES DE RÉFÉRENCE'!$B:$B,'🔖 CODES DE RÉFÉRENCE'!$C:$C,"")</f>
        <v>BIEN-ÊTRE &amp; RELAXATION</v>
      </c>
      <c r="D30" s="34" t="str">
        <f t="array" ref="D30">XLOOKUP($B30,'🔖 CODES DE RÉFÉRENCE'!$B:$B,'🔖 CODES DE RÉFÉRENCE'!$D:$D,"")</f>
        <v>Spa · Hammam · Breathwork · Méditation · Massage · Rituel argan · Retraite bien-être · 🌅🌴 matin + après-midi</v>
      </c>
      <c r="E30" s="23" t="s">
        <v>51</v>
      </c>
      <c r="F30" s="23" t="s">
        <v>51</v>
      </c>
      <c r="G30" s="23" t="s">
        <v>51</v>
      </c>
      <c r="H30" s="23" t="s">
        <v>56</v>
      </c>
      <c r="I30" s="23" t="s">
        <v>58</v>
      </c>
      <c r="J30" s="23" t="str">
        <f t="shared" si="1"/>
        <v>AU-BIE — BIEN-ÊTRE &amp; RELAXATION</v>
      </c>
    </row>
    <row r="31" ht="15.0" customHeight="1">
      <c r="A31" s="22" t="s">
        <v>422</v>
      </c>
      <c r="B31" s="24" t="s">
        <v>292</v>
      </c>
      <c r="C31" s="34" t="str">
        <f t="array" ref="C31">XLOOKUP($B31,'🔖 CODES DE RÉFÉRENCE'!$B:$B,'🔖 CODES DE RÉFÉRENCE'!$C:$C,"")</f>
        <v>ÉLITE &amp; SIGNATURE</v>
      </c>
      <c r="D31" s="34" t="str">
        <f t="array" ref="D31">XLOOKUP($B31,'🔖 CODES DE RÉFÉRENCE'!$B:$B,'🔖 CODES DE RÉFÉRENCE'!$D:$D,"")</f>
        <v>Montgolfière · hélicoptère · shooting · Jet privé · Yacht · Dîner étoilé privatisé · 🌅🌴 matin + après-midi</v>
      </c>
      <c r="E31" s="23" t="s">
        <v>51</v>
      </c>
      <c r="F31" s="23" t="s">
        <v>51</v>
      </c>
      <c r="G31" s="23" t="s">
        <v>51</v>
      </c>
      <c r="H31" s="23" t="s">
        <v>56</v>
      </c>
      <c r="I31" s="23" t="s">
        <v>58</v>
      </c>
      <c r="J31" s="23" t="str">
        <f t="shared" si="1"/>
        <v>AU-ELI — ÉLITE &amp; SIGNATURE</v>
      </c>
    </row>
    <row r="32" ht="15.0" customHeight="1">
      <c r="A32" s="22" t="s">
        <v>422</v>
      </c>
      <c r="B32" s="24" t="s">
        <v>272</v>
      </c>
      <c r="C32" s="34" t="str">
        <f t="array" ref="C32">XLOOKUP($B32,'🔖 CODES DE RÉFÉRENCE'!$B:$B,'🔖 CODES DE RÉFÉRENCE'!$C:$C,"")</f>
        <v>EXCURSION À LA JOURNÉE</v>
      </c>
      <c r="D32" s="34" t="str">
        <f t="array" ref="D32">XLOOKUP($B32,'🔖 CODES DE RÉFÉRENCE'!$B:$B,'🔖 CODES DE RÉFÉRENCE'!$D:$D,"")</f>
        <v>Sortie à la journée hors Marrakech · Destinations : Désert d'Agafay · Vallée de l'Ourika · Cascades d'Ouzoud · Essaouira · Imlil &amp; Atlas · Aït Ben Haddou / Ouarzazate · Lac Lalla Takerkoust · Vallée des 3 Palmiers · 🌅 DÉPART MATINÉE — journée complète · ⚠ EXCLUSIF : désactive automatiquement les blocs DÉJEUNER + APRÈS-MIDI → seuls DÎNER + SOIRÉE restent sélectionnables · Transport + guide selon prestation</v>
      </c>
      <c r="E32" s="23" t="s">
        <v>51</v>
      </c>
      <c r="F32" s="23" t="s">
        <v>51</v>
      </c>
      <c r="G32" s="23" t="s">
        <v>51</v>
      </c>
      <c r="H32" s="23" t="s">
        <v>56</v>
      </c>
      <c r="I32" s="23" t="s">
        <v>58</v>
      </c>
      <c r="J32" s="23" t="str">
        <f t="shared" si="1"/>
        <v>AU-EXC — EXCURSION À LA JOURNÉE</v>
      </c>
    </row>
    <row r="33" ht="15.0" customHeight="1">
      <c r="A33" s="22" t="s">
        <v>422</v>
      </c>
      <c r="B33" s="24" t="s">
        <v>351</v>
      </c>
      <c r="C33" s="34" t="str">
        <f t="array" ref="C33">XLOOKUP($B33,'🔖 CODES DE RÉFÉRENCE'!$B:$B,'🔖 CODES DE RÉFÉRENCE'!$C:$C,"")</f>
        <v>FESTIF &amp; LIFESTYLE</v>
      </c>
      <c r="D33" s="34" t="str">
        <f t="array" ref="D33">XLOOKUP($B33,'🔖 CODES DE RÉFÉRENCE'!$B:$B,'🔖 CODES DE RÉFÉRENCE'!$D:$D,"")</f>
        <v>Pool party · beach club · rooftop · Brunch festif · Sunset lounge · Soirée privée · 🌴 APRÈS-MIDI uniquement · transition vers la soirée</v>
      </c>
      <c r="E33" s="23" t="s">
        <v>51</v>
      </c>
      <c r="F33" s="23" t="s">
        <v>51</v>
      </c>
      <c r="G33" s="23" t="s">
        <v>51</v>
      </c>
      <c r="H33" s="23" t="s">
        <v>56</v>
      </c>
      <c r="I33" s="23" t="s">
        <v>58</v>
      </c>
      <c r="J33" s="23" t="str">
        <f t="shared" si="1"/>
        <v>AU-FES — FESTIF &amp; LIFESTYLE</v>
      </c>
    </row>
    <row r="34" ht="15.0" customHeight="1">
      <c r="A34" s="22" t="s">
        <v>543</v>
      </c>
      <c r="B34" s="24" t="s">
        <v>304</v>
      </c>
      <c r="C34" s="34" t="str">
        <f t="array" ref="C34">XLOOKUP($B34,'🔖 CODES DE RÉFÉRENCE'!$B:$B,'🔖 CODES DE RÉFÉRENCE'!$C:$C,"")</f>
        <v>Brunch &amp; art de vivre</v>
      </c>
      <c r="D34" s="34" t="str">
        <f t="array" ref="D34">XLOOKUP($B34,'🔖 CODES DE RÉFÉRENCE'!$B:$B,'🔖 CODES DE RÉFÉRENCE'!$D:$D,"")</f>
        <v>Chic · élégant · sans contrainte</v>
      </c>
      <c r="E34" s="23" t="s">
        <v>51</v>
      </c>
      <c r="F34" s="23" t="s">
        <v>51</v>
      </c>
      <c r="G34" s="23" t="s">
        <v>51</v>
      </c>
      <c r="H34" s="23" t="s">
        <v>56</v>
      </c>
      <c r="I34" s="23" t="s">
        <v>58</v>
      </c>
      <c r="J34" s="23" t="str">
        <f t="shared" si="1"/>
        <v>RA-DBR — Brunch &amp; art de vivre</v>
      </c>
    </row>
    <row r="35" ht="15.0" customHeight="1">
      <c r="A35" s="22" t="s">
        <v>543</v>
      </c>
      <c r="B35" s="24" t="s">
        <v>308</v>
      </c>
      <c r="C35" s="34" t="str">
        <f t="array" ref="C35">XLOOKUP($B35,'🔖 CODES DE RÉFÉRENCE'!$B:$B,'🔖 CODES DE RÉFÉRENCE'!$C:$C,"")</f>
        <v>Déjeuner léger &amp; élégant</v>
      </c>
      <c r="D35" s="34" t="str">
        <f t="array" ref="D35">XLOOKUP($B35,'🔖 CODES DE RÉFÉRENCE'!$B:$B,'🔖 CODES DE RÉFÉRENCE'!$D:$D,"")</f>
        <v>Fluide · raffiné · discret</v>
      </c>
      <c r="E35" s="23" t="s">
        <v>51</v>
      </c>
      <c r="F35" s="23" t="s">
        <v>51</v>
      </c>
      <c r="G35" s="23" t="s">
        <v>51</v>
      </c>
      <c r="H35" s="23" t="s">
        <v>56</v>
      </c>
      <c r="I35" s="23" t="s">
        <v>58</v>
      </c>
      <c r="J35" s="23" t="str">
        <f t="shared" si="1"/>
        <v>RA-DLE — Déjeuner léger &amp; élégant</v>
      </c>
    </row>
    <row r="36" ht="15.0" customHeight="1">
      <c r="A36" s="22" t="s">
        <v>543</v>
      </c>
      <c r="B36" s="24" t="s">
        <v>313</v>
      </c>
      <c r="C36" s="34" t="str">
        <f t="array" ref="C36">XLOOKUP($B36,'🔖 CODES DE RÉFÉRENCE'!$B:$B,'🔖 CODES DE RÉFÉRENCE'!$C:$C,"")</f>
        <v>Déjeuner marocain d'exception</v>
      </c>
      <c r="D36" s="34" t="str">
        <f t="array" ref="D36">XLOOKUP($B36,'🔖 CODES DE RÉFÉRENCE'!$B:$B,'🔖 CODES DE RÉFÉRENCE'!$D:$D,"")</f>
        <v>Tradition · raffinement · immersion</v>
      </c>
      <c r="E36" s="23" t="s">
        <v>51</v>
      </c>
      <c r="F36" s="23" t="s">
        <v>51</v>
      </c>
      <c r="G36" s="23" t="s">
        <v>51</v>
      </c>
      <c r="H36" s="23" t="s">
        <v>56</v>
      </c>
      <c r="I36" s="23" t="s">
        <v>58</v>
      </c>
      <c r="J36" s="23" t="str">
        <f t="shared" si="1"/>
        <v>RA-DMA — Déjeuner marocain d'exception</v>
      </c>
    </row>
    <row r="37" ht="15.0" customHeight="1">
      <c r="A37" s="22" t="s">
        <v>543</v>
      </c>
      <c r="B37" s="24" t="s">
        <v>319</v>
      </c>
      <c r="C37" s="34" t="str">
        <f t="array" ref="C37">XLOOKUP($B37,'🔖 CODES DE RÉFÉRENCE'!$B:$B,'🔖 CODES DE RÉFÉRENCE'!$C:$C,"")</f>
        <v>Poolside &amp; Lifestyle</v>
      </c>
      <c r="D37" s="34" t="str">
        <f t="array" ref="D37">XLOOKUP($B37,'🔖 CODES DE RÉFÉRENCE'!$B:$B,'🔖 CODES DE RÉFÉRENCE'!$D:$D,"")</f>
        <v>Soleil · détente · ambiance vibrante</v>
      </c>
      <c r="E37" s="23" t="s">
        <v>51</v>
      </c>
      <c r="F37" s="23" t="s">
        <v>51</v>
      </c>
      <c r="G37" s="23" t="s">
        <v>51</v>
      </c>
      <c r="H37" s="23" t="s">
        <v>56</v>
      </c>
      <c r="I37" s="23" t="s">
        <v>58</v>
      </c>
      <c r="J37" s="23" t="str">
        <f t="shared" si="1"/>
        <v>RA-DPO — Poolside &amp; Lifestyle</v>
      </c>
    </row>
    <row r="38" ht="15.0" customHeight="1">
      <c r="A38" s="22" t="s">
        <v>543</v>
      </c>
      <c r="B38" s="24" t="s">
        <v>322</v>
      </c>
      <c r="C38" s="34" t="str">
        <f t="array" ref="C38">XLOOKUP($B38,'🔖 CODES DE RÉFÉRENCE'!$B:$B,'🔖 CODES DE RÉFÉRENCE'!$C:$C,"")</f>
        <v>Nature &amp; Évasion</v>
      </c>
      <c r="D38" s="34" t="str">
        <f t="array" ref="D38">XLOOKUP($B38,'🔖 CODES DE RÉFÉRENCE'!$B:$B,'🔖 CODES DE RÉFÉRENCE'!$D:$D,"")</f>
        <v>Calme · nature · déconnexion</v>
      </c>
      <c r="E38" s="23" t="s">
        <v>51</v>
      </c>
      <c r="F38" s="23" t="s">
        <v>51</v>
      </c>
      <c r="G38" s="23" t="s">
        <v>51</v>
      </c>
      <c r="H38" s="23" t="s">
        <v>56</v>
      </c>
      <c r="I38" s="23" t="s">
        <v>58</v>
      </c>
      <c r="J38" s="23" t="str">
        <f t="shared" si="1"/>
        <v>RA-DNA — Nature &amp; Évasion</v>
      </c>
    </row>
    <row r="39" ht="15.0" customHeight="1">
      <c r="A39" s="22" t="s">
        <v>543</v>
      </c>
      <c r="B39" s="24" t="s">
        <v>325</v>
      </c>
      <c r="C39" s="34" t="str">
        <f t="array" ref="C39">XLOOKUP($B39,'🔖 CODES DE RÉFÉRENCE'!$B:$B,'🔖 CODES DE RÉFÉRENCE'!$C:$C,"")</f>
        <v>Expérience signature</v>
      </c>
      <c r="D39" s="34" t="str">
        <f t="array" ref="D39">XLOOKUP($B39,'🔖 CODES DE RÉFÉRENCE'!$B:$B,'🔖 CODES DE RÉFÉRENCE'!$D:$D,"")</f>
        <v>Ultra-luxe · service exceptionnel</v>
      </c>
      <c r="E39" s="23" t="s">
        <v>51</v>
      </c>
      <c r="F39" s="23" t="s">
        <v>51</v>
      </c>
      <c r="G39" s="23" t="s">
        <v>51</v>
      </c>
      <c r="H39" s="23" t="s">
        <v>56</v>
      </c>
      <c r="I39" s="23" t="s">
        <v>58</v>
      </c>
      <c r="J39" s="23" t="str">
        <f t="shared" si="1"/>
        <v>RA-DSI — Expérience signature</v>
      </c>
    </row>
    <row r="40" ht="15.0" customHeight="1">
      <c r="A40" s="22" t="s">
        <v>686</v>
      </c>
      <c r="B40" s="24" t="s">
        <v>359</v>
      </c>
      <c r="C40" s="34" t="str">
        <f t="array" ref="C40">XLOOKUP($B40,'🔖 CODES DE RÉFÉRENCE'!$B:$B,'🔖 CODES DE RÉFÉRENCE'!$C:$C,"")</f>
        <v>Dîner romantique</v>
      </c>
      <c r="D40" s="34" t="str">
        <f t="array" ref="D40">XLOOKUP($B40,'🔖 CODES DE RÉFÉRENCE'!$B:$B,'🔖 CODES DE RÉFÉRENCE'!$D:$D,"")</f>
        <v>Intime · lumière douce · moment suspendu</v>
      </c>
      <c r="E40" s="23" t="s">
        <v>51</v>
      </c>
      <c r="F40" s="23" t="s">
        <v>51</v>
      </c>
      <c r="G40" s="23" t="s">
        <v>51</v>
      </c>
      <c r="H40" s="23" t="s">
        <v>56</v>
      </c>
      <c r="I40" s="23" t="s">
        <v>58</v>
      </c>
      <c r="J40" s="23" t="str">
        <f t="shared" si="1"/>
        <v>RA-NRO — Dîner romantique</v>
      </c>
    </row>
    <row r="41" ht="15.0" customHeight="1">
      <c r="A41" s="22" t="s">
        <v>686</v>
      </c>
      <c r="B41" s="24" t="s">
        <v>363</v>
      </c>
      <c r="C41" s="34" t="str">
        <f t="array" ref="C41">XLOOKUP($B41,'🔖 CODES DE RÉFÉRENCE'!$B:$B,'🔖 CODES DE RÉFÉRENCE'!$C:$C,"")</f>
        <v>Dîner gastronomique</v>
      </c>
      <c r="D41" s="34" t="str">
        <f t="array" ref="D41">XLOOKUP($B41,'🔖 CODES DE RÉFÉRENCE'!$B:$B,'🔖 CODES DE RÉFÉRENCE'!$D:$D,"")</f>
        <v>Cuisine d'exception · élégance</v>
      </c>
      <c r="E41" s="23" t="s">
        <v>51</v>
      </c>
      <c r="F41" s="23" t="s">
        <v>51</v>
      </c>
      <c r="G41" s="23" t="s">
        <v>51</v>
      </c>
      <c r="H41" s="23" t="s">
        <v>56</v>
      </c>
      <c r="I41" s="23" t="s">
        <v>58</v>
      </c>
      <c r="J41" s="23" t="str">
        <f t="shared" si="1"/>
        <v>RA-NGA — Dîner gastronomique</v>
      </c>
    </row>
    <row r="42" ht="15.0" customHeight="1">
      <c r="A42" s="22" t="s">
        <v>686</v>
      </c>
      <c r="B42" s="24" t="s">
        <v>367</v>
      </c>
      <c r="C42" s="34" t="str">
        <f t="array" ref="C42">XLOOKUP($B42,'🔖 CODES DE RÉFÉRENCE'!$B:$B,'🔖 CODES DE RÉFÉRENCE'!$C:$C,"")</f>
        <v>Dîner spectacle</v>
      </c>
      <c r="D42" s="34" t="str">
        <f t="array" ref="D42">XLOOKUP($B42,'🔖 CODES DE RÉFÉRENCE'!$B:$B,'🔖 CODES DE RÉFÉRENCE'!$D:$D,"")</f>
        <v>Culture · animation · immersion</v>
      </c>
      <c r="E42" s="23" t="s">
        <v>51</v>
      </c>
      <c r="F42" s="23" t="s">
        <v>51</v>
      </c>
      <c r="G42" s="23" t="s">
        <v>51</v>
      </c>
      <c r="H42" s="23" t="s">
        <v>56</v>
      </c>
      <c r="I42" s="23" t="s">
        <v>58</v>
      </c>
      <c r="J42" s="23" t="str">
        <f t="shared" si="1"/>
        <v>RA-NSP — Dîner spectacle</v>
      </c>
    </row>
    <row r="43" ht="15.0" customHeight="1">
      <c r="A43" s="22" t="s">
        <v>686</v>
      </c>
      <c r="B43" s="24" t="s">
        <v>371</v>
      </c>
      <c r="C43" s="34" t="str">
        <f t="array" ref="C43">XLOOKUP($B43,'🔖 CODES DE RÉFÉRENCE'!$B:$B,'🔖 CODES DE RÉFÉRENCE'!$C:$C,"")</f>
        <v>Dîner festif</v>
      </c>
      <c r="D43" s="34" t="str">
        <f t="array" ref="D43">XLOOKUP($B43,'🔖 CODES DE RÉFÉRENCE'!$B:$B,'🔖 CODES DE RÉFÉRENCE'!$D:$D,"")</f>
        <v>Musique · énergie · ambiance</v>
      </c>
      <c r="E43" s="23" t="s">
        <v>51</v>
      </c>
      <c r="F43" s="23" t="s">
        <v>51</v>
      </c>
      <c r="G43" s="23" t="s">
        <v>51</v>
      </c>
      <c r="H43" s="23" t="s">
        <v>56</v>
      </c>
      <c r="I43" s="23" t="s">
        <v>58</v>
      </c>
      <c r="J43" s="23" t="str">
        <f t="shared" si="1"/>
        <v>RA-NFE — Dîner festif</v>
      </c>
    </row>
    <row r="44" ht="15.0" customHeight="1">
      <c r="A44" s="22" t="s">
        <v>686</v>
      </c>
      <c r="B44" s="24" t="s">
        <v>375</v>
      </c>
      <c r="C44" s="34" t="str">
        <f t="array" ref="C44">XLOOKUP($B44,'🔖 CODES DE RÉFÉRENCE'!$B:$B,'🔖 CODES DE RÉFÉRENCE'!$C:$C,"")</f>
        <v>Dîner ambiance marocaine</v>
      </c>
      <c r="D44" s="34" t="str">
        <f t="array" ref="D44">XLOOKUP($B44,'🔖 CODES DE RÉFÉRENCE'!$B:$B,'🔖 CODES DE RÉFÉRENCE'!$D:$D,"")</f>
        <v>Tradition · convivialité · saveurs marocaines</v>
      </c>
      <c r="E44" s="23" t="s">
        <v>51</v>
      </c>
      <c r="F44" s="23" t="s">
        <v>51</v>
      </c>
      <c r="G44" s="23" t="s">
        <v>51</v>
      </c>
      <c r="H44" s="23" t="s">
        <v>56</v>
      </c>
      <c r="I44" s="23" t="s">
        <v>58</v>
      </c>
      <c r="J44" s="23" t="str">
        <f t="shared" si="1"/>
        <v>RA-NAM — Dîner ambiance marocaine</v>
      </c>
    </row>
    <row r="45" ht="15.0" customHeight="1">
      <c r="A45" s="22" t="s">
        <v>686</v>
      </c>
      <c r="B45" s="24" t="s">
        <v>379</v>
      </c>
      <c r="C45" s="34" t="str">
        <f t="array" ref="C45">XLOOKUP($B45,'🔖 CODES DE RÉFÉRENCE'!$B:$B,'🔖 CODES DE RÉFÉRENCE'!$C:$C,"")</f>
        <v>Dîner vue &amp; évasion</v>
      </c>
      <c r="D45" s="34" t="str">
        <f t="array" ref="D45">XLOOKUP($B45,'🔖 CODES DE RÉFÉRENCE'!$B:$B,'🔖 CODES DE RÉFÉRENCE'!$D:$D,"")</f>
        <v>Panorama · sunset · magie</v>
      </c>
      <c r="E45" s="23" t="s">
        <v>51</v>
      </c>
      <c r="F45" s="23" t="s">
        <v>51</v>
      </c>
      <c r="G45" s="23" t="s">
        <v>51</v>
      </c>
      <c r="H45" s="23" t="s">
        <v>56</v>
      </c>
      <c r="I45" s="23" t="s">
        <v>58</v>
      </c>
      <c r="J45" s="23" t="str">
        <f t="shared" si="1"/>
        <v>RA-NVE — Dîner vue &amp; évasion</v>
      </c>
    </row>
    <row r="46" ht="15.0" customHeight="1">
      <c r="A46" s="22" t="s">
        <v>788</v>
      </c>
      <c r="B46" s="24" t="s">
        <v>399</v>
      </c>
      <c r="C46" s="34" t="str">
        <f t="array" ref="C46">XLOOKUP($B46,'🔖 CODES DE RÉFÉRENCE'!$B:$B,'🔖 CODES DE RÉFÉRENCE'!$C:$C,"")</f>
        <v>CLUB</v>
      </c>
      <c r="D46" s="34" t="str">
        <f t="array" ref="D46">XLOOKUP($B46,'🔖 CODES DE RÉFÉRENCE'!$B:$B,'🔖 CODES DE RÉFÉRENCE'!$D:$D,"")</f>
        <v>Club / boîte de nuit · ambiance dance · électro · hip-hop</v>
      </c>
      <c r="E46" s="23" t="s">
        <v>51</v>
      </c>
      <c r="F46" s="23" t="s">
        <v>51</v>
      </c>
      <c r="G46" s="23" t="s">
        <v>51</v>
      </c>
      <c r="H46" s="23" t="s">
        <v>56</v>
      </c>
      <c r="I46" s="23" t="s">
        <v>58</v>
      </c>
      <c r="J46" s="23" t="str">
        <f t="shared" si="1"/>
        <v>NL-CLU — CLUB</v>
      </c>
    </row>
    <row r="47" ht="15.0" customHeight="1">
      <c r="A47" s="22" t="s">
        <v>788</v>
      </c>
      <c r="B47" s="24" t="s">
        <v>402</v>
      </c>
      <c r="C47" s="34" t="str">
        <f t="array" ref="C47">XLOOKUP($B47,'🔖 CODES DE RÉFÉRENCE'!$B:$B,'🔖 CODES DE RÉFÉRENCE'!$C:$C,"")</f>
        <v>LOUNGE</v>
      </c>
      <c r="D47" s="34" t="str">
        <f t="array" ref="D47">XLOOKUP($B47,'🔖 CODES DE RÉFÉRENCE'!$B:$B,'🔖 CODES DE RÉFÉRENCE'!$D:$D,"")</f>
        <v>Lounge / bar à cocktails · ambiance feutrée · mixologie</v>
      </c>
      <c r="E47" s="23" t="s">
        <v>51</v>
      </c>
      <c r="F47" s="23" t="s">
        <v>51</v>
      </c>
      <c r="G47" s="23" t="s">
        <v>51</v>
      </c>
      <c r="H47" s="23" t="s">
        <v>56</v>
      </c>
      <c r="I47" s="23" t="s">
        <v>58</v>
      </c>
      <c r="J47" s="23" t="str">
        <f t="shared" si="1"/>
        <v>NL-LOU — LOUNGE</v>
      </c>
    </row>
    <row r="48" ht="15.0" customHeight="1">
      <c r="A48" s="22" t="s">
        <v>788</v>
      </c>
      <c r="B48" s="24" t="s">
        <v>405</v>
      </c>
      <c r="C48" s="34" t="str">
        <f t="array" ref="C48">XLOOKUP($B48,'🔖 CODES DE RÉFÉRENCE'!$B:$B,'🔖 CODES DE RÉFÉRENCE'!$C:$C,"")</f>
        <v>SHOW &amp; CABARET</v>
      </c>
      <c r="D48" s="34" t="str">
        <f t="array" ref="D48">XLOOKUP($B48,'🔖 CODES DE RÉFÉRENCE'!$B:$B,'🔖 CODES DE RÉFÉRENCE'!$D:$D,"")</f>
        <v>Show / cabaret · troupe artistique · contenu CRM</v>
      </c>
      <c r="E48" s="23" t="s">
        <v>51</v>
      </c>
      <c r="F48" s="23" t="s">
        <v>51</v>
      </c>
      <c r="G48" s="23" t="s">
        <v>51</v>
      </c>
      <c r="H48" s="23" t="s">
        <v>56</v>
      </c>
      <c r="I48" s="23" t="s">
        <v>58</v>
      </c>
      <c r="J48" s="23" t="str">
        <f t="shared" si="1"/>
        <v>NL-SHO — SHOW &amp; CABARET</v>
      </c>
    </row>
    <row r="49" ht="15.0" customHeight="1">
      <c r="A49" s="22" t="s">
        <v>788</v>
      </c>
      <c r="B49" s="24" t="s">
        <v>408</v>
      </c>
      <c r="C49" s="34" t="str">
        <f t="array" ref="C49">XLOOKUP($B49,'🔖 CODES DE RÉFÉRENCE'!$B:$B,'🔖 CODES DE RÉFÉRENCE'!$C:$C,"")</f>
        <v>LIVE MUSIC</v>
      </c>
      <c r="D49" s="34" t="str">
        <f t="array" ref="D49">XLOOKUP($B49,'🔖 CODES DE RÉFÉRENCE'!$B:$B,'🔖 CODES DE RÉFÉRENCE'!$D:$D,"")</f>
        <v>Concert live · musicien · groupe sur scène · contenu CRM</v>
      </c>
      <c r="E49" s="23" t="s">
        <v>51</v>
      </c>
      <c r="F49" s="23" t="s">
        <v>51</v>
      </c>
      <c r="G49" s="23" t="s">
        <v>51</v>
      </c>
      <c r="H49" s="23" t="s">
        <v>56</v>
      </c>
      <c r="I49" s="23" t="s">
        <v>58</v>
      </c>
      <c r="J49" s="23" t="str">
        <f t="shared" si="1"/>
        <v>NL-LIV — LIVE MUSIC</v>
      </c>
    </row>
    <row r="50" ht="15.0" customHeight="1">
      <c r="A50" s="22" t="s">
        <v>788</v>
      </c>
      <c r="B50" s="24" t="s">
        <v>412</v>
      </c>
      <c r="C50" s="34" t="str">
        <f t="array" ref="C50">XLOOKUP($B50,'🔖 CODES DE RÉFÉRENCE'!$B:$B,'🔖 CODES DE RÉFÉRENCE'!$C:$C,"")</f>
        <v>IMMERSION MAROCAINE</v>
      </c>
      <c r="D50" s="34" t="str">
        <f t="array" ref="D50">XLOOKUP($B50,'🔖 CODES DE RÉFÉRENCE'!$B:$B,'🔖 CODES DE RÉFÉRENCE'!$D:$D,"")</f>
        <v>Immersion locale (gnaoua · rituels nocturnes)</v>
      </c>
      <c r="E50" s="23" t="s">
        <v>51</v>
      </c>
      <c r="F50" s="23" t="s">
        <v>51</v>
      </c>
      <c r="G50" s="23" t="s">
        <v>51</v>
      </c>
      <c r="H50" s="23" t="s">
        <v>56</v>
      </c>
      <c r="I50" s="23" t="s">
        <v>58</v>
      </c>
      <c r="J50" s="23" t="str">
        <f t="shared" si="1"/>
        <v>NL-IMM — IMMERSION MAROCAINE</v>
      </c>
    </row>
    <row r="51" ht="15.0" customHeight="1">
      <c r="A51" s="22" t="s">
        <v>856</v>
      </c>
      <c r="B51" s="24" t="s">
        <v>427</v>
      </c>
      <c r="C51" s="34" t="str">
        <f t="array" ref="C51">XLOOKUP($B51,'🔖 CODES DE RÉFÉRENCE'!$B:$B,'🔖 CODES DE RÉFÉRENCE'!$C:$C,"")</f>
        <v>CRÉATIF &amp; LUDIQUE</v>
      </c>
      <c r="D51" s="34" t="str">
        <f t="array" ref="D51">XLOOKUP($B51,'🔖 CODES DE RÉFÉRENCE'!$B:$B,'🔖 CODES DE RÉFÉRENCE'!$D:$D,"")</f>
        <v>Ateliers · artisanat · poterie · arts plastiques · Peinture · Musique · Théâtre</v>
      </c>
      <c r="E51" s="23" t="s">
        <v>51</v>
      </c>
      <c r="F51" s="23" t="s">
        <v>51</v>
      </c>
      <c r="G51" s="23" t="s">
        <v>51</v>
      </c>
      <c r="H51" s="23" t="s">
        <v>56</v>
      </c>
      <c r="I51" s="23" t="s">
        <v>58</v>
      </c>
      <c r="J51" s="23" t="str">
        <f t="shared" si="1"/>
        <v>AK-CRE — CRÉATIF &amp; LUDIQUE</v>
      </c>
    </row>
    <row r="52" ht="15.0" customHeight="1">
      <c r="A52" s="22" t="s">
        <v>856</v>
      </c>
      <c r="B52" s="24" t="s">
        <v>433</v>
      </c>
      <c r="C52" s="34" t="str">
        <f t="array" ref="C52">XLOOKUP($B52,'🔖 CODES DE RÉFÉRENCE'!$B:$B,'🔖 CODES DE RÉFÉRENCE'!$C:$C,"")</f>
        <v>DÉCOUVERTE &amp; APPRENTISSAGE</v>
      </c>
      <c r="D52" s="34" t="str">
        <f t="array" ref="D52">XLOOKUP($B52,'🔖 CODES DE RÉFÉRENCE'!$B:$B,'🔖 CODES DE RÉFÉRENCE'!$D:$D,"")</f>
        <v>Cuisine · culture · histoire · sciences ludiques · Ateliers scientifiques · Contes · Langues</v>
      </c>
      <c r="E52" s="23" t="s">
        <v>51</v>
      </c>
      <c r="F52" s="23" t="s">
        <v>51</v>
      </c>
      <c r="G52" s="23" t="s">
        <v>51</v>
      </c>
      <c r="H52" s="23" t="s">
        <v>56</v>
      </c>
      <c r="I52" s="23" t="s">
        <v>58</v>
      </c>
      <c r="J52" s="23" t="str">
        <f t="shared" si="1"/>
        <v>AK-DEC — DÉCOUVERTE &amp; APPRENTISSAGE</v>
      </c>
    </row>
    <row r="53" ht="15.0" customHeight="1">
      <c r="A53" s="22" t="s">
        <v>856</v>
      </c>
      <c r="B53" s="24" t="s">
        <v>437</v>
      </c>
      <c r="C53" s="34" t="str">
        <f t="array" ref="C53">XLOOKUP($B53,'🔖 CODES DE RÉFÉRENCE'!$B:$B,'🔖 CODES DE RÉFÉRENCE'!$C:$C,"")</f>
        <v>NATURE &amp; EXPLORATION</v>
      </c>
      <c r="D53" s="34" t="str">
        <f t="array" ref="D53">XLOOKUP($B53,'🔖 CODES DE RÉFÉRENCE'!$B:$B,'🔖 CODES DE RÉFÉRENCE'!$D:$D,"")</f>
        <v>Animaux · plein air · randonnée junior · découverte faune · Ferme pédagogique · Balade poney · Jardin</v>
      </c>
      <c r="E53" s="23" t="s">
        <v>51</v>
      </c>
      <c r="F53" s="23" t="s">
        <v>51</v>
      </c>
      <c r="G53" s="23" t="s">
        <v>51</v>
      </c>
      <c r="H53" s="23" t="s">
        <v>56</v>
      </c>
      <c r="I53" s="23" t="s">
        <v>58</v>
      </c>
      <c r="J53" s="23" t="str">
        <f t="shared" si="1"/>
        <v>AK-NAT — NATURE &amp; EXPLORATION</v>
      </c>
    </row>
    <row r="54" ht="15.0" customHeight="1">
      <c r="A54" s="22" t="s">
        <v>856</v>
      </c>
      <c r="B54" s="24" t="s">
        <v>445</v>
      </c>
      <c r="C54" s="34" t="str">
        <f t="array" ref="C54">XLOOKUP($B54,'🔖 CODES DE RÉFÉRENCE'!$B:$B,'🔖 CODES DE RÉFÉRENCE'!$C:$C,"")</f>
        <v>LOISIRS &amp; ÉNERGIE</v>
      </c>
      <c r="D54" s="34" t="str">
        <f t="array" ref="D54">XLOOKUP($B54,'🔖 CODES DE RÉFÉRENCE'!$B:$B,'🔖 CODES DE RÉFÉRENCE'!$D:$D,"")</f>
        <v>Parcs · sports · piscine · jeux d'eau · Accrobranche · Karting junior · Trampoline</v>
      </c>
      <c r="E54" s="23" t="s">
        <v>51</v>
      </c>
      <c r="F54" s="23" t="s">
        <v>51</v>
      </c>
      <c r="G54" s="23" t="s">
        <v>51</v>
      </c>
      <c r="H54" s="23" t="s">
        <v>56</v>
      </c>
      <c r="I54" s="23" t="s">
        <v>58</v>
      </c>
      <c r="J54" s="23" t="str">
        <f t="shared" si="1"/>
        <v>AK-LOI — LOISIRS &amp; ÉNERGIE</v>
      </c>
    </row>
    <row r="55" ht="15.0" customHeight="1">
      <c r="A55" s="22" t="s">
        <v>856</v>
      </c>
      <c r="B55" s="24" t="s">
        <v>449</v>
      </c>
      <c r="C55" s="34" t="str">
        <f t="array" ref="C55">XLOOKUP($B55,'🔖 CODES DE RÉFÉRENCE'!$B:$B,'🔖 CODES DE RÉFÉRENCE'!$C:$C,"")</f>
        <v>SÉRÉNITÉ PARENTS</v>
      </c>
      <c r="D55" s="34" t="str">
        <f t="array" ref="D55">XLOOKUP($B55,'🔖 CODES DE RÉFÉRENCE'!$B:$B,'🔖 CODES DE RÉFÉRENCE'!$D:$D,"")</f>
        <v>Babysitting premium · garde d'enfants · nounou multilingue · Garde de nuit · Kids club hôtel</v>
      </c>
      <c r="E55" s="23" t="s">
        <v>51</v>
      </c>
      <c r="F55" s="23" t="s">
        <v>51</v>
      </c>
      <c r="G55" s="23" t="s">
        <v>51</v>
      </c>
      <c r="H55" s="23" t="s">
        <v>56</v>
      </c>
      <c r="I55" s="23" t="s">
        <v>58</v>
      </c>
      <c r="J55" s="23" t="str">
        <f t="shared" si="1"/>
        <v>AK-SER — SÉRÉNITÉ PARENTS</v>
      </c>
    </row>
    <row r="56" ht="15.0" customHeight="1">
      <c r="A56" s="22" t="s">
        <v>959</v>
      </c>
      <c r="B56" s="24" t="s">
        <v>462</v>
      </c>
      <c r="C56" s="34" t="str">
        <f t="array" ref="C56">XLOOKUP($B56,'🔖 CODES DE RÉFÉRENCE'!$B:$B,'🔖 CODES DE RÉFÉRENCE'!$C:$C,"")</f>
        <v>Cuisine végétarienne</v>
      </c>
      <c r="D56" s="34" t="str">
        <f t="array" ref="D56">XLOOKUP($B56,'🔖 CODES DE RÉFÉRENCE'!$B:$B,'🔖 CODES DE RÉFÉRENCE'!$D:$D,"")</f>
        <v>Pas de viande/poisson</v>
      </c>
      <c r="E56" s="23" t="s">
        <v>51</v>
      </c>
      <c r="F56" s="23" t="s">
        <v>51</v>
      </c>
      <c r="G56" s="23" t="s">
        <v>51</v>
      </c>
      <c r="H56" s="23" t="s">
        <v>56</v>
      </c>
      <c r="I56" s="23" t="s">
        <v>58</v>
      </c>
      <c r="J56" s="23" t="str">
        <f t="shared" si="1"/>
        <v>RG-VEG — Cuisine végétarienne</v>
      </c>
    </row>
    <row r="57" ht="15.0" customHeight="1">
      <c r="A57" s="22" t="s">
        <v>959</v>
      </c>
      <c r="B57" s="24" t="s">
        <v>466</v>
      </c>
      <c r="C57" s="34" t="str">
        <f t="array" ref="C57">XLOOKUP($B57,'🔖 CODES DE RÉFÉRENCE'!$B:$B,'🔖 CODES DE RÉFÉRENCE'!$C:$C,"")</f>
        <v>Allergies à signaler</v>
      </c>
      <c r="D57" s="34" t="str">
        <f t="array" ref="D57">XLOOKUP($B57,'🔖 CODES DE RÉFÉRENCE'!$B:$B,'🔖 CODES DE RÉFÉRENCE'!$D:$D,"")</f>
        <v>Allergènes à signaler au prestataire / au lieu</v>
      </c>
      <c r="E57" s="23" t="s">
        <v>51</v>
      </c>
      <c r="F57" s="23" t="s">
        <v>51</v>
      </c>
      <c r="G57" s="23" t="s">
        <v>51</v>
      </c>
      <c r="H57" s="23" t="s">
        <v>56</v>
      </c>
      <c r="I57" s="23" t="s">
        <v>58</v>
      </c>
      <c r="J57" s="23" t="str">
        <f t="shared" si="1"/>
        <v>RG-ALG — Allergies à signaler</v>
      </c>
    </row>
    <row r="58" ht="15.0" customHeight="1">
      <c r="A58" s="22" t="s">
        <v>1111</v>
      </c>
      <c r="B58" s="24" t="s">
        <v>563</v>
      </c>
      <c r="C58" s="34" t="str">
        <f t="array" ref="C58">XLOOKUP($B58,'🔖 CODES DE RÉFÉRENCE'!$B:$B,'🔖 CODES DE RÉFÉRENCE'!$C:$C,"")</f>
        <v>Berline incluse</v>
      </c>
      <c r="D58" s="34" t="str">
        <f t="array" ref="D58">XLOOKUP($B58,'🔖 CODES DE RÉFÉRENCE'!$B:$B,'🔖 CODES DE RÉFÉRENCE'!$D:$D,"")</f>
        <v>Inclus · berline de base avec chauffeur · 🔵 suggéré d'office au devis</v>
      </c>
      <c r="E58" s="23" t="s">
        <v>51</v>
      </c>
      <c r="F58" s="23" t="s">
        <v>51</v>
      </c>
      <c r="G58" s="23" t="s">
        <v>51</v>
      </c>
      <c r="H58" s="23" t="s">
        <v>56</v>
      </c>
      <c r="I58" s="23" t="s">
        <v>1113</v>
      </c>
      <c r="J58" s="23" t="str">
        <f t="shared" si="1"/>
        <v>TR-BER — Berline incluse</v>
      </c>
    </row>
    <row r="59" ht="15.0" customHeight="1">
      <c r="A59" s="22" t="s">
        <v>1111</v>
      </c>
      <c r="B59" s="24" t="s">
        <v>570</v>
      </c>
      <c r="C59" s="34" t="str">
        <f t="array" ref="C59">XLOOKUP($B59,'🔖 CODES DE RÉFÉRENCE'!$B:$B,'🔖 CODES DE RÉFÉRENCE'!$C:$C,"")</f>
        <v>Berline luxe (+100 €/j)</v>
      </c>
      <c r="D59" s="34" t="str">
        <f t="array" ref="D59">XLOOKUP($B59,'🔖 CODES DE RÉFÉRENCE'!$B:$B,'🔖 CODES DE RÉFÉRENCE'!$D:$D,"")</f>
        <v>Berline catégorie supérieur · avec chauffeur</v>
      </c>
      <c r="E59" s="23" t="s">
        <v>51</v>
      </c>
      <c r="F59" s="23" t="s">
        <v>51</v>
      </c>
      <c r="G59" s="23" t="s">
        <v>51</v>
      </c>
      <c r="H59" s="23" t="s">
        <v>56</v>
      </c>
      <c r="I59" s="23" t="s">
        <v>58</v>
      </c>
      <c r="J59" s="23" t="str">
        <f t="shared" si="1"/>
        <v>TR-BEL — Berline luxe (+100 €/j)</v>
      </c>
    </row>
    <row r="60" ht="15.0" customHeight="1">
      <c r="A60" s="22" t="s">
        <v>1111</v>
      </c>
      <c r="B60" s="24" t="s">
        <v>573</v>
      </c>
      <c r="C60" s="34" t="str">
        <f t="array" ref="C60">XLOOKUP($B60,'🔖 CODES DE RÉFÉRENCE'!$B:$B,'🔖 CODES DE RÉFÉRENCE'!$C:$C,"")</f>
        <v>SUV premium (+150 €/j)</v>
      </c>
      <c r="D60" s="34" t="str">
        <f t="array" ref="D60">XLOOKUP($B60,'🔖 CODES DE RÉFÉRENCE'!$B:$B,'🔖 CODES DE RÉFÉRENCE'!$D:$D,"")</f>
        <v>SUV ou 4X4 · avec chauffeur</v>
      </c>
      <c r="E60" s="23" t="s">
        <v>51</v>
      </c>
      <c r="F60" s="23" t="s">
        <v>51</v>
      </c>
      <c r="G60" s="23" t="s">
        <v>51</v>
      </c>
      <c r="H60" s="23" t="s">
        <v>56</v>
      </c>
      <c r="I60" s="23" t="s">
        <v>58</v>
      </c>
      <c r="J60" s="23" t="str">
        <f t="shared" si="1"/>
        <v>TR-SUV — SUV premium (+150 €/j)</v>
      </c>
    </row>
    <row r="61" ht="15.0" customHeight="1">
      <c r="A61" s="22" t="s">
        <v>1111</v>
      </c>
      <c r="B61" s="24" t="s">
        <v>578</v>
      </c>
      <c r="C61" s="34" t="str">
        <f t="array" ref="C61">XLOOKUP($B61,'🔖 CODES DE RÉFÉRENCE'!$B:$B,'🔖 CODES DE RÉFÉRENCE'!$C:$C,"")</f>
        <v>Van premium (+200 €/j)</v>
      </c>
      <c r="D61" s="34" t="str">
        <f t="array" ref="D61">XLOOKUP($B61,'🔖 CODES DE RÉFÉRENCE'!$B:$B,'🔖 CODES DE RÉFÉRENCE'!$D:$D,"")</f>
        <v>type Vito · 6-8 passagers avec chauffeur</v>
      </c>
      <c r="E61" s="23" t="s">
        <v>51</v>
      </c>
      <c r="F61" s="23" t="s">
        <v>51</v>
      </c>
      <c r="G61" s="23" t="s">
        <v>51</v>
      </c>
      <c r="H61" s="23" t="s">
        <v>56</v>
      </c>
      <c r="I61" s="23" t="s">
        <v>58</v>
      </c>
      <c r="J61" s="23" t="str">
        <f t="shared" si="1"/>
        <v>TR-VAN — Van premium (+200 €/j)</v>
      </c>
    </row>
    <row r="62" ht="15.0" customHeight="1">
      <c r="A62" s="22" t="s">
        <v>998</v>
      </c>
      <c r="B62" s="24" t="s">
        <v>513</v>
      </c>
      <c r="C62" s="34" t="str">
        <f t="array" ref="C62">XLOOKUP($B62,'🔖 CODES DE RÉFÉRENCE'!$B:$B,'🔖 CODES DE RÉFÉRENCE'!$C:$C,"")</f>
        <v>Surveillance de votre hébergement</v>
      </c>
      <c r="D62" s="34" t="str">
        <f t="array" ref="D62">XLOOKUP($B62,'🔖 CODES DE RÉFÉRENCE'!$B:$B,'🔖 CODES DE RÉFÉRENCE'!$D:$D,"")</f>
        <v>[CLIENT] Profil bas · observation à distance</v>
      </c>
      <c r="E62" s="23" t="s">
        <v>51</v>
      </c>
      <c r="F62" s="23" t="s">
        <v>51</v>
      </c>
      <c r="G62" s="23" t="s">
        <v>51</v>
      </c>
      <c r="H62" s="23" t="s">
        <v>56</v>
      </c>
      <c r="I62" s="23" t="s">
        <v>1007</v>
      </c>
      <c r="J62" s="23" t="str">
        <f t="shared" si="1"/>
        <v>SE-SUR — Surveillance de votre hébergement</v>
      </c>
    </row>
    <row r="63" ht="15.0" customHeight="1">
      <c r="A63" s="22" t="s">
        <v>998</v>
      </c>
      <c r="B63" s="24" t="s">
        <v>504</v>
      </c>
      <c r="C63" s="34" t="str">
        <f t="array" ref="C63">XLOOKUP($B63,'🔖 CODES DE RÉFÉRENCE'!$B:$B,'🔖 CODES DE RÉFÉRENCE'!$C:$C,"")</f>
        <v>Agent de protection discret</v>
      </c>
      <c r="D63" s="34" t="str">
        <f t="array" ref="D63">XLOOKUP($B63,'🔖 CODES DE RÉFÉRENCE'!$B:$B,'🔖 CODES DE RÉFÉRENCE'!$D:$D,"")</f>
        <v>[CLIENT] Agent en civil · garde rapprochée discrète</v>
      </c>
      <c r="E63" s="23" t="s">
        <v>51</v>
      </c>
      <c r="F63" s="23" t="s">
        <v>51</v>
      </c>
      <c r="G63" s="23" t="s">
        <v>51</v>
      </c>
      <c r="H63" s="23" t="s">
        <v>56</v>
      </c>
      <c r="I63" s="23" t="s">
        <v>1007</v>
      </c>
      <c r="J63" s="23" t="str">
        <f t="shared" si="1"/>
        <v>SE-PRO — Agent de protection discret</v>
      </c>
    </row>
    <row r="64" ht="15.0" customHeight="1">
      <c r="A64" s="22" t="s">
        <v>998</v>
      </c>
      <c r="B64" s="24" t="s">
        <v>510</v>
      </c>
      <c r="C64" s="34" t="str">
        <f t="array" ref="C64">XLOOKUP($B64,'🔖 CODES DE RÉFÉRENCE'!$B:$B,'🔖 CODES DE RÉFÉRENCE'!$C:$C,"")</f>
        <v>Agent de protection féminin</v>
      </c>
      <c r="D64" s="34" t="str">
        <f t="array" ref="D64">XLOOKUP($B64,'🔖 CODES DE RÉFÉRENCE'!$B:$B,'🔖 CODES DE RÉFÉRENCE'!$D:$D,"")</f>
        <v>[CLIENT] Agent femme · accompagnement discret</v>
      </c>
      <c r="E64" s="23" t="s">
        <v>51</v>
      </c>
      <c r="F64" s="23" t="s">
        <v>51</v>
      </c>
      <c r="G64" s="23" t="s">
        <v>51</v>
      </c>
      <c r="H64" s="23" t="s">
        <v>56</v>
      </c>
      <c r="I64" s="23" t="s">
        <v>1007</v>
      </c>
      <c r="J64" s="23" t="str">
        <f t="shared" si="1"/>
        <v>SE-FEM — Agent de protection féminin</v>
      </c>
    </row>
    <row r="65" ht="15.0" customHeight="1">
      <c r="A65" s="22" t="s">
        <v>998</v>
      </c>
      <c r="B65" s="24" t="s">
        <v>518</v>
      </c>
      <c r="C65" s="34" t="str">
        <f t="array" ref="C65">XLOOKUP($B65,'🔖 CODES DE RÉFÉRENCE'!$B:$B,'🔖 CODES DE RÉFÉRENCE'!$C:$C,"")</f>
        <v>Protection renforcée 24h/24</v>
      </c>
      <c r="D65" s="34" t="str">
        <f t="array" ref="D65">XLOOKUP($B65,'🔖 CODES DE RÉFÉRENCE'!$B:$B,'🔖 CODES DE RÉFÉRENCE'!$D:$D,"")</f>
        <v>[CLIENT] Protection continue · roulement 24h/24</v>
      </c>
      <c r="E65" s="23" t="s">
        <v>51</v>
      </c>
      <c r="F65" s="23" t="s">
        <v>51</v>
      </c>
      <c r="G65" s="23" t="s">
        <v>51</v>
      </c>
      <c r="H65" s="23" t="s">
        <v>56</v>
      </c>
      <c r="I65" s="23" t="s">
        <v>1007</v>
      </c>
      <c r="J65" s="23" t="str">
        <f t="shared" si="1"/>
        <v>SE-24H — Protection renforcée 24h/24</v>
      </c>
    </row>
    <row r="66" ht="15.0" customHeight="1">
      <c r="A66" s="22" t="s">
        <v>998</v>
      </c>
      <c r="B66" s="24" t="s">
        <v>524</v>
      </c>
      <c r="C66" s="34" t="str">
        <f t="array" ref="C66">XLOOKUP($B66,'🔖 CODES DE RÉFÉRENCE'!$B:$B,'🔖 CODES DE RÉFÉRENCE'!$C:$C,"")</f>
        <v>Étude personnalisée</v>
      </c>
      <c r="D66" s="34" t="str">
        <f t="array" ref="D66">XLOOKUP($B66,'🔖 CODES DE RÉFÉRENCE'!$B:$B,'🔖 CODES DE RÉFÉRENCE'!$D:$D,"")</f>
        <v>[CLIENT] Évaluation des besoins · devis sur mesure</v>
      </c>
      <c r="E66" s="23" t="s">
        <v>51</v>
      </c>
      <c r="F66" s="23" t="s">
        <v>51</v>
      </c>
      <c r="G66" s="23" t="s">
        <v>51</v>
      </c>
      <c r="H66" s="23" t="s">
        <v>56</v>
      </c>
      <c r="I66" s="23" t="s">
        <v>58</v>
      </c>
      <c r="J66" s="23" t="str">
        <f t="shared" si="1"/>
        <v>SE-ETU — Étude personnalisée</v>
      </c>
    </row>
    <row r="67" ht="15.0" customHeight="1">
      <c r="A67" s="22" t="s">
        <v>1053</v>
      </c>
      <c r="B67" s="24" t="s">
        <v>943</v>
      </c>
      <c r="C67" s="34" t="str">
        <f t="array" ref="C67">XLOOKUP($B67,'🔖 CODES DE RÉFÉRENCE'!$B:$B,'🔖 CODES DE RÉFÉRENCE'!$C:$C,"")</f>
        <v>VOYAGEUR</v>
      </c>
      <c r="D67" s="34" t="str">
        <f t="array" ref="D67">XLOOKUP($B67,'🔖 CODES DE RÉFÉRENCE'!$B:$B,'🔖 CODES DE RÉFÉRENCE'!$D:$D,"")</f>
        <v>Entrée libre · 0 pts · 1 demande/jour 9h-17h</v>
      </c>
      <c r="E67" s="23" t="s">
        <v>56</v>
      </c>
      <c r="F67" s="23" t="s">
        <v>56</v>
      </c>
      <c r="G67" s="23" t="s">
        <v>51</v>
      </c>
      <c r="H67" s="23" t="s">
        <v>51</v>
      </c>
      <c r="I67" s="23" t="s">
        <v>58</v>
      </c>
      <c r="J67" s="23" t="str">
        <f t="shared" si="1"/>
        <v>FID-VOY — VOYAGEUR</v>
      </c>
    </row>
    <row r="68" ht="15.0" customHeight="1">
      <c r="A68" s="22" t="s">
        <v>1053</v>
      </c>
      <c r="B68" s="24" t="s">
        <v>949</v>
      </c>
      <c r="C68" s="34" t="str">
        <f t="array" ref="C68">XLOOKUP($B68,'🔖 CODES DE RÉFÉRENCE'!$B:$B,'🔖 CODES DE RÉFÉRENCE'!$C:$C,"")</f>
        <v>HABITUÉ</v>
      </c>
      <c r="D68" s="34" t="str">
        <f t="array" ref="D68">XLOOKUP($B68,'🔖 CODES DE RÉFÉRENCE'!$B:$B,'🔖 CODES DE RÉFÉRENCE'!$D:$D,"")</f>
        <v>Automatique · 1 000 pts · 2 demandes/jour 9h-17h</v>
      </c>
      <c r="E68" s="23" t="s">
        <v>56</v>
      </c>
      <c r="F68" s="23" t="s">
        <v>56</v>
      </c>
      <c r="G68" s="23" t="s">
        <v>51</v>
      </c>
      <c r="H68" s="23" t="s">
        <v>51</v>
      </c>
      <c r="I68" s="23" t="s">
        <v>58</v>
      </c>
      <c r="J68" s="23" t="str">
        <f t="shared" si="1"/>
        <v>FID-HAB — HABITUÉ</v>
      </c>
    </row>
    <row r="69" ht="15.0" customHeight="1">
      <c r="A69" s="22" t="s">
        <v>1053</v>
      </c>
      <c r="B69" s="24" t="s">
        <v>957</v>
      </c>
      <c r="C69" s="34" t="str">
        <f t="array" ref="C69">XLOOKUP($B69,'🔖 CODES DE RÉFÉRENCE'!$B:$B,'🔖 CODES DE RÉFÉRENCE'!$C:$C,"")</f>
        <v>HÔTE</v>
      </c>
      <c r="D69" s="34" t="str">
        <f t="array" ref="D69">XLOOKUP($B69,'🔖 CODES DE RÉFÉRENCE'!$B:$B,'🔖 CODES DE RÉFÉRENCE'!$D:$D,"")</f>
        <v>Automatique · 4 000 pts · 3 demandes/jour 9h-20h</v>
      </c>
      <c r="E69" s="23" t="s">
        <v>56</v>
      </c>
      <c r="F69" s="23" t="s">
        <v>56</v>
      </c>
      <c r="G69" s="23" t="s">
        <v>51</v>
      </c>
      <c r="H69" s="23" t="s">
        <v>51</v>
      </c>
      <c r="I69" s="23" t="s">
        <v>58</v>
      </c>
      <c r="J69" s="23" t="str">
        <f t="shared" si="1"/>
        <v>FID-HOT — HÔTE</v>
      </c>
    </row>
    <row r="70" ht="15.0" customHeight="1">
      <c r="A70" s="22" t="s">
        <v>1053</v>
      </c>
      <c r="B70" s="24" t="s">
        <v>964</v>
      </c>
      <c r="C70" s="34" t="str">
        <f t="array" ref="C70">XLOOKUP($B70,'🔖 CODES DE RÉFÉRENCE'!$B:$B,'🔖 CODES DE RÉFÉRENCE'!$C:$C,"")</f>
        <v>AMBASSADEUR</v>
      </c>
      <c r="D70" s="34" t="str">
        <f t="array" ref="D70">XLOOKUP($B70,'🔖 CODES DE RÉFÉRENCE'!$B:$B,'🔖 CODES DE RÉFÉRENCE'!$D:$D,"")</f>
        <v>Sur invitation SOLY · 10 000 pts · demandes illimitées · 24h/24</v>
      </c>
      <c r="E70" s="23" t="s">
        <v>56</v>
      </c>
      <c r="F70" s="23" t="s">
        <v>56</v>
      </c>
      <c r="G70" s="23" t="s">
        <v>51</v>
      </c>
      <c r="H70" s="23" t="s">
        <v>51</v>
      </c>
      <c r="I70" s="23" t="s">
        <v>58</v>
      </c>
      <c r="J70" s="23" t="str">
        <f t="shared" si="1"/>
        <v>FID-AMB — AMBASSADEUR</v>
      </c>
    </row>
    <row r="71" ht="15.0" customHeight="1">
      <c r="A71" s="22" t="s">
        <v>1090</v>
      </c>
      <c r="B71" s="24" t="s">
        <v>1091</v>
      </c>
      <c r="C71" s="34" t="str">
        <f t="array" ref="C71">XLOOKUP($B71,'🔖 CODES DE RÉFÉRENCE'!$B:$B,'🔖 CODES DE RÉFÉRENCE'!$C:$C,"")</f>
        <v>DÉTRACTEUR</v>
      </c>
      <c r="D71" s="34" t="str">
        <f t="array" ref="D71">XLOOKUP($B71,'🔖 CODES DE RÉFÉRENCE'!$B:$B,'🔖 CODES DE RÉFÉRENCE'!$D:$D,"")</f>
        <v>Score 0-6 · client mécontent · impact coef SOLY × 0.95</v>
      </c>
      <c r="E71" s="23" t="s">
        <v>56</v>
      </c>
      <c r="F71" s="23" t="s">
        <v>56</v>
      </c>
      <c r="G71" s="23" t="s">
        <v>51</v>
      </c>
      <c r="H71" s="23" t="s">
        <v>51</v>
      </c>
      <c r="I71" s="23" t="s">
        <v>58</v>
      </c>
      <c r="J71" s="23" t="str">
        <f t="shared" si="1"/>
        <v>NPS-DETRA — DÉTRACTEUR</v>
      </c>
    </row>
    <row r="72" ht="15.0" customHeight="1">
      <c r="A72" s="22" t="s">
        <v>1090</v>
      </c>
      <c r="B72" s="24" t="s">
        <v>1094</v>
      </c>
      <c r="C72" s="34" t="str">
        <f t="array" ref="C72">XLOOKUP($B72,'🔖 CODES DE RÉFÉRENCE'!$B:$B,'🔖 CODES DE RÉFÉRENCE'!$C:$C,"")</f>
        <v>PASSIF</v>
      </c>
      <c r="D72" s="34" t="str">
        <f t="array" ref="D72">XLOOKUP($B72,'🔖 CODES DE RÉFÉRENCE'!$B:$B,'🔖 CODES DE RÉFÉRENCE'!$D:$D,"")</f>
        <v>Score 7-8 · client neutre/correct · coef inchangé</v>
      </c>
      <c r="E72" s="23" t="s">
        <v>56</v>
      </c>
      <c r="F72" s="23" t="s">
        <v>56</v>
      </c>
      <c r="G72" s="23" t="s">
        <v>51</v>
      </c>
      <c r="H72" s="23" t="s">
        <v>51</v>
      </c>
      <c r="I72" s="23" t="s">
        <v>58</v>
      </c>
      <c r="J72" s="23" t="str">
        <f t="shared" si="1"/>
        <v>NPS-PASSI — PASSIF</v>
      </c>
    </row>
    <row r="73" ht="15.0" customHeight="1">
      <c r="A73" s="22" t="s">
        <v>1090</v>
      </c>
      <c r="B73" s="24" t="s">
        <v>1099</v>
      </c>
      <c r="C73" s="34" t="str">
        <f t="array" ref="C73">XLOOKUP($B73,'🔖 CODES DE RÉFÉRENCE'!$B:$B,'🔖 CODES DE RÉFÉRENCE'!$C:$C,"")</f>
        <v>PROMOTEUR</v>
      </c>
      <c r="D73" s="34" t="str">
        <f t="array" ref="D73">XLOOKUP($B73,'🔖 CODES DE RÉFÉRENCE'!$B:$B,'🔖 CODES DE RÉFÉRENCE'!$D:$D,"")</f>
        <v>Score 9-10 · client enthousiaste · impact coef SOLY × 1.02 · candidat ambassadeur</v>
      </c>
      <c r="E73" s="23" t="s">
        <v>56</v>
      </c>
      <c r="F73" s="23" t="s">
        <v>56</v>
      </c>
      <c r="G73" s="23" t="s">
        <v>51</v>
      </c>
      <c r="H73" s="23" t="s">
        <v>51</v>
      </c>
      <c r="I73" s="23" t="s">
        <v>58</v>
      </c>
      <c r="J73" s="23" t="str">
        <f t="shared" si="1"/>
        <v>NPS-PROMO — PROMOTEUR</v>
      </c>
    </row>
    <row r="74" ht="15.0" customHeight="1">
      <c r="A74" s="22" t="s">
        <v>1090</v>
      </c>
      <c r="B74" s="24" t="s">
        <v>1104</v>
      </c>
      <c r="C74" s="34" t="str">
        <f t="array" ref="C74">XLOOKUP($B74,'🔖 CODES DE RÉFÉRENCE'!$B:$B,'🔖 CODES DE RÉFÉRENCE'!$C:$C,"")</f>
        <v>NON-RÉPONSE</v>
      </c>
      <c r="D74" s="34" t="str">
        <f t="array" ref="D74">XLOOKUP($B74,'🔖 CODES DE RÉFÉRENCE'!$B:$B,'🔖 CODES DE RÉFÉRENCE'!$D:$D,"")</f>
        <v>Pas de réponse · coef inchangé × 1.00 · relance auto à J+7</v>
      </c>
      <c r="E74" s="23" t="s">
        <v>56</v>
      </c>
      <c r="F74" s="23" t="s">
        <v>56</v>
      </c>
      <c r="G74" s="23" t="s">
        <v>51</v>
      </c>
      <c r="H74" s="23" t="s">
        <v>51</v>
      </c>
      <c r="I74" s="23" t="s">
        <v>58</v>
      </c>
      <c r="J74" s="23" t="str">
        <f t="shared" si="1"/>
        <v>NPS-NORE — NON-RÉPONSE</v>
      </c>
    </row>
    <row r="75" ht="15.0" customHeight="1">
      <c r="A75" s="22" t="s">
        <v>181</v>
      </c>
      <c r="B75" s="24" t="s">
        <v>183</v>
      </c>
      <c r="C75" s="34" t="str">
        <f t="array" ref="C75">XLOOKUP($B75,'🔖 CODES DE RÉFÉRENCE'!$B:$B,'🔖 CODES DE RÉFÉRENCE'!$C:$C,"")</f>
        <v>PREMIUM</v>
      </c>
      <c r="D75" s="34" t="str">
        <f t="array" ref="D75">XLOOKUP($B75,'🔖 CODES DE RÉFÉRENCE'!$B:$B,'🔖 CODES DE RÉFÉRENCE'!$D:$D,"")</f>
        <v>Haut de gamme · 5⁎ / boutique premium · TIER Silver-Gold</v>
      </c>
      <c r="E75" s="23" t="s">
        <v>56</v>
      </c>
      <c r="F75" s="23" t="s">
        <v>51</v>
      </c>
      <c r="G75" s="23" t="s">
        <v>51</v>
      </c>
      <c r="H75" s="23" t="s">
        <v>56</v>
      </c>
      <c r="I75" s="23" t="s">
        <v>58</v>
      </c>
      <c r="J75" s="23" t="str">
        <f t="shared" si="1"/>
        <v>ST-PRE — PREMIUM</v>
      </c>
    </row>
    <row r="76" ht="15.0" customHeight="1">
      <c r="A76" s="22" t="s">
        <v>181</v>
      </c>
      <c r="B76" s="24" t="s">
        <v>190</v>
      </c>
      <c r="C76" s="34" t="str">
        <f t="array" ref="C76">XLOOKUP($B76,'🔖 CODES DE RÉFÉRENCE'!$B:$B,'🔖 CODES DE RÉFÉRENCE'!$C:$C,"")</f>
        <v>SIGNATURE</v>
      </c>
      <c r="D76" s="34" t="str">
        <f t="array" ref="D76">XLOOKUP($B76,'🔖 CODES DE RÉFÉRENCE'!$B:$B,'🔖 CODES DE RÉFÉRENCE'!$D:$D,"")</f>
        <v>Luxe affirmé · riad / boutique d'exception · TIER Gold+</v>
      </c>
      <c r="E76" s="23" t="s">
        <v>56</v>
      </c>
      <c r="F76" s="23" t="s">
        <v>51</v>
      </c>
      <c r="G76" s="23" t="s">
        <v>51</v>
      </c>
      <c r="H76" s="23" t="s">
        <v>56</v>
      </c>
      <c r="I76" s="23" t="s">
        <v>58</v>
      </c>
      <c r="J76" s="23" t="str">
        <f t="shared" si="1"/>
        <v>ST-SIG — SIGNATURE</v>
      </c>
    </row>
    <row r="77" ht="15.0" customHeight="1">
      <c r="A77" s="22" t="s">
        <v>181</v>
      </c>
      <c r="B77" s="24" t="s">
        <v>198</v>
      </c>
      <c r="C77" s="34" t="str">
        <f t="array" ref="C77">XLOOKUP($B77,'🔖 CODES DE RÉFÉRENCE'!$B:$B,'🔖 CODES DE RÉFÉRENCE'!$C:$C,"")</f>
        <v>ULTRA EXCLUSIF</v>
      </c>
      <c r="D77" s="34" t="str">
        <f t="array" ref="D77">XLOOKUP($B77,'🔖 CODES DE RÉFÉRENCE'!$B:$B,'🔖 CODES DE RÉFÉRENCE'!$D:$D,"")</f>
        <v>Palace · adresse iconique · TIER Platinum · VIP confidentiel</v>
      </c>
      <c r="E77" s="23" t="s">
        <v>56</v>
      </c>
      <c r="F77" s="23" t="s">
        <v>51</v>
      </c>
      <c r="G77" s="23" t="s">
        <v>51</v>
      </c>
      <c r="H77" s="23" t="s">
        <v>56</v>
      </c>
      <c r="I77" s="23" t="s">
        <v>58</v>
      </c>
      <c r="J77" s="23" t="str">
        <f t="shared" si="1"/>
        <v>ST-ULT — ULTRA EXCLUSIF</v>
      </c>
    </row>
    <row r="78" ht="15.0" customHeight="1">
      <c r="A78" s="22" t="s">
        <v>76</v>
      </c>
      <c r="B78" s="24" t="s">
        <v>83</v>
      </c>
      <c r="C78" s="34" t="str">
        <f t="array" ref="C78">XLOOKUP($B78,'🔖 CODES DE RÉFÉRENCE'!$B:$B,'🔖 CODES DE RÉFÉRENCE'!$C:$C,"")</f>
        <v>ROMANTIQUE</v>
      </c>
      <c r="D78" s="34" t="str">
        <f t="array" ref="D78">XLOOKUP($B78,'🔖 CODES DE RÉFÉRENCE'!$B:$B,'🔖 CODES DE RÉFÉRENCE'!$D:$D,"")</f>
        <v>Romantique · intime · +20 pts (M1) · priorise pack Signature</v>
      </c>
      <c r="E78" s="23" t="s">
        <v>56</v>
      </c>
      <c r="F78" s="23" t="s">
        <v>51</v>
      </c>
      <c r="G78" s="23" t="s">
        <v>51</v>
      </c>
      <c r="H78" s="23" t="s">
        <v>56</v>
      </c>
      <c r="I78" s="23" t="s">
        <v>58</v>
      </c>
      <c r="J78" s="23" t="str">
        <f t="shared" si="1"/>
        <v>AMB-ROM — ROMANTIQUE</v>
      </c>
    </row>
    <row r="79" ht="15.0" customHeight="1">
      <c r="A79" s="22" t="s">
        <v>76</v>
      </c>
      <c r="B79" s="24" t="s">
        <v>96</v>
      </c>
      <c r="C79" s="34" t="str">
        <f t="array" ref="C79">XLOOKUP($B79,'🔖 CODES DE RÉFÉRENCE'!$B:$B,'🔖 CODES DE RÉFÉRENCE'!$C:$C,"")</f>
        <v>ZEN &amp; BIEN-ÊTRE</v>
      </c>
      <c r="D79" s="34" t="str">
        <f t="array" ref="D79">XLOOKUP($B79,'🔖 CODES DE RÉFÉRENCE'!$B:$B,'🔖 CODES DE RÉFÉRENCE'!$D:$D,"")</f>
        <v>Zen · bien-être · immersion · priorise pack Immersif</v>
      </c>
      <c r="E79" s="23" t="s">
        <v>56</v>
      </c>
      <c r="F79" s="23" t="s">
        <v>51</v>
      </c>
      <c r="G79" s="23" t="s">
        <v>51</v>
      </c>
      <c r="H79" s="23" t="s">
        <v>56</v>
      </c>
      <c r="I79" s="23" t="s">
        <v>58</v>
      </c>
      <c r="J79" s="23" t="str">
        <f t="shared" si="1"/>
        <v>AMB-ZEN — ZEN &amp; BIEN-ÊTRE</v>
      </c>
    </row>
    <row r="80" ht="15.0" customHeight="1">
      <c r="A80" s="22" t="s">
        <v>76</v>
      </c>
      <c r="B80" s="24" t="s">
        <v>105</v>
      </c>
      <c r="C80" s="34" t="str">
        <f t="array" ref="C80">XLOOKUP($B80,'🔖 CODES DE RÉFÉRENCE'!$B:$B,'🔖 CODES DE RÉFÉRENCE'!$C:$C,"")</f>
        <v>FESTIF</v>
      </c>
      <c r="D80" s="34" t="str">
        <f t="array" ref="D80">XLOOKUP($B80,'🔖 CODES DE RÉFÉRENCE'!$B:$B,'🔖 CODES DE RÉFÉRENCE'!$D:$D,"")</f>
        <v>Festif · DJ · groupe · priorise Expérientiel · ✕ incompatible Zen</v>
      </c>
      <c r="E80" s="23" t="s">
        <v>56</v>
      </c>
      <c r="F80" s="23" t="s">
        <v>51</v>
      </c>
      <c r="G80" s="23" t="s">
        <v>51</v>
      </c>
      <c r="H80" s="23" t="s">
        <v>56</v>
      </c>
      <c r="I80" s="23" t="s">
        <v>58</v>
      </c>
      <c r="J80" s="23" t="str">
        <f t="shared" si="1"/>
        <v>AMB-FES — FESTIF</v>
      </c>
    </row>
    <row r="81" ht="15.0" customHeight="1">
      <c r="A81" s="22" t="s">
        <v>76</v>
      </c>
      <c r="B81" s="24" t="s">
        <v>115</v>
      </c>
      <c r="C81" s="34" t="str">
        <f t="array" ref="C81">XLOOKUP($B81,'🔖 CODES DE RÉFÉRENCE'!$B:$B,'🔖 CODES DE RÉFÉRENCE'!$C:$C,"")</f>
        <v>PROFESSIONNEL</v>
      </c>
      <c r="D81" s="34" t="str">
        <f t="array" ref="D81">XLOOKUP($B81,'🔖 CODES DE RÉFÉRENCE'!$B:$B,'🔖 CODES DE RÉFÉRENCE'!$D:$D,"")</f>
        <v>Business · corporate · lounge · priorise pack Corporate</v>
      </c>
      <c r="E81" s="23" t="s">
        <v>56</v>
      </c>
      <c r="F81" s="23" t="s">
        <v>51</v>
      </c>
      <c r="G81" s="23" t="s">
        <v>51</v>
      </c>
      <c r="H81" s="23" t="s">
        <v>56</v>
      </c>
      <c r="I81" s="23" t="s">
        <v>58</v>
      </c>
      <c r="J81" s="23" t="str">
        <f t="shared" si="1"/>
        <v>AMB-PRO — PROFESSIONNEL</v>
      </c>
    </row>
    <row r="82" ht="15.0" customHeight="1">
      <c r="A82" s="22" t="s">
        <v>76</v>
      </c>
      <c r="B82" s="24" t="s">
        <v>123</v>
      </c>
      <c r="C82" s="34" t="str">
        <f t="array" ref="C82">XLOOKUP($B82,'🔖 CODES DE RÉFÉRENCE'!$B:$B,'🔖 CODES DE RÉFÉRENCE'!$C:$C,"")</f>
        <v>FAMILIAL</v>
      </c>
      <c r="D82" s="34" t="str">
        <f t="array" ref="D82">XLOOKUP($B82,'🔖 CODES DE RÉFÉRENCE'!$B:$B,'🔖 CODES DE RÉFÉRENCE'!$D:$D,"")</f>
        <v>Familial · multi-générations · POI famille</v>
      </c>
      <c r="E82" s="23" t="s">
        <v>56</v>
      </c>
      <c r="F82" s="23" t="s">
        <v>51</v>
      </c>
      <c r="G82" s="23" t="s">
        <v>51</v>
      </c>
      <c r="H82" s="23" t="s">
        <v>56</v>
      </c>
      <c r="I82" s="23" t="s">
        <v>58</v>
      </c>
      <c r="J82" s="23" t="str">
        <f t="shared" si="1"/>
        <v>AMB-FAM — FAMILIAL</v>
      </c>
    </row>
    <row r="83" ht="15.0" customHeight="1">
      <c r="A83" s="22" t="s">
        <v>1135</v>
      </c>
      <c r="B83" s="24" t="s">
        <v>1136</v>
      </c>
      <c r="C83" s="34" t="str">
        <f t="array" ref="C83">XLOOKUP($B83,'🔖 CODES DE RÉFÉRENCE'!$B:$B,'🔖 CODES DE RÉFÉRENCE'!$C:$C,"")</f>
        <v>KIDS FRIENDLY</v>
      </c>
      <c r="D83" s="34" t="str">
        <f t="array" ref="D83">XLOOKUP($B83,'🔖 CODES DE RÉFÉRENCE'!$B:$B,'🔖 CODES DE RÉFÉRENCE'!$D:$D,"")</f>
        <v>[Attribut HEB+ESP] Enfants bienvenus · caractérise lieu familial</v>
      </c>
      <c r="E83" s="23" t="s">
        <v>56</v>
      </c>
      <c r="F83" s="23" t="s">
        <v>51</v>
      </c>
      <c r="G83" s="23" t="s">
        <v>51</v>
      </c>
      <c r="H83" s="23" t="s">
        <v>56</v>
      </c>
      <c r="I83" s="23" t="s">
        <v>58</v>
      </c>
      <c r="J83" s="23" t="str">
        <f t="shared" si="1"/>
        <v>KD-KFR — KIDS FRIENDLY</v>
      </c>
    </row>
    <row r="84" ht="15.0" customHeight="1">
      <c r="A84" s="22" t="s">
        <v>1135</v>
      </c>
      <c r="B84" s="24" t="s">
        <v>1140</v>
      </c>
      <c r="C84" s="34" t="str">
        <f t="array" ref="C84">XLOOKUP($B84,'🔖 CODES DE RÉFÉRENCE'!$B:$B,'🔖 CODES DE RÉFÉRENCE'!$C:$C,"")</f>
        <v>KIDS CLUB</v>
      </c>
      <c r="D84" s="34" t="str">
        <f t="array" ref="D84">XLOOKUP($B84,'🔖 CODES DE RÉFÉRENCE'!$B:$B,'🔖 CODES DE RÉFÉRENCE'!$D:$D,"")</f>
        <v>[Attribut HEB+ESP] Kids club structuré · personnel dédié</v>
      </c>
      <c r="E84" s="23" t="s">
        <v>56</v>
      </c>
      <c r="F84" s="23" t="s">
        <v>51</v>
      </c>
      <c r="G84" s="23" t="s">
        <v>51</v>
      </c>
      <c r="H84" s="23" t="s">
        <v>56</v>
      </c>
      <c r="I84" s="23" t="s">
        <v>58</v>
      </c>
      <c r="J84" s="23" t="str">
        <f t="shared" si="1"/>
        <v>KD-CLB — KIDS CLUB</v>
      </c>
    </row>
    <row r="85" ht="15.0" customHeight="1">
      <c r="A85" s="22" t="s">
        <v>1135</v>
      </c>
      <c r="B85" s="24" t="s">
        <v>1143</v>
      </c>
      <c r="C85" s="34" t="str">
        <f t="array" ref="C85">XLOOKUP($B85,'🔖 CODES DE RÉFÉRENCE'!$B:$B,'🔖 CODES DE RÉFÉRENCE'!$C:$C,"")</f>
        <v>PISCINE SÉCURISÉE</v>
      </c>
      <c r="D85" s="34" t="str">
        <f t="array" ref="D85">XLOOKUP($B85,'🔖 CODES DE RÉFÉRENCE'!$B:$B,'🔖 CODES DE RÉFÉRENCE'!$D:$D,"")</f>
        <v>[Attribut HEB+ESP] Piscine clôturée · zone enfants sécurisée</v>
      </c>
      <c r="E85" s="23" t="s">
        <v>56</v>
      </c>
      <c r="F85" s="23" t="s">
        <v>51</v>
      </c>
      <c r="G85" s="23" t="s">
        <v>51</v>
      </c>
      <c r="H85" s="23" t="s">
        <v>56</v>
      </c>
      <c r="I85" s="23" t="s">
        <v>58</v>
      </c>
      <c r="J85" s="23" t="str">
        <f t="shared" si="1"/>
        <v>KD-PIS — PISCINE SÉCURISÉE</v>
      </c>
    </row>
    <row r="86" ht="15.0" customHeight="1">
      <c r="A86" s="22" t="s">
        <v>1135</v>
      </c>
      <c r="B86" s="24" t="s">
        <v>1147</v>
      </c>
      <c r="C86" s="34" t="str">
        <f t="array" ref="C86">XLOOKUP($B86,'🔖 CODES DE RÉFÉRENCE'!$B:$B,'🔖 CODES DE RÉFÉRENCE'!$C:$C,"")</f>
        <v>ÉQUIPEMENT activités enfants (du lieu)</v>
      </c>
      <c r="D86" s="34" t="str">
        <f t="array" ref="D86">XLOOKUP($B86,'🔖 CODES DE RÉFÉRENCE'!$B:$B,'🔖 CODES DE RÉFÉRENCE'!$D:$D,"")</f>
        <v>[Attribut HEB+ESP] Équipements/activités enfants sur le lieu</v>
      </c>
      <c r="E86" s="23" t="s">
        <v>56</v>
      </c>
      <c r="F86" s="23" t="s">
        <v>51</v>
      </c>
      <c r="G86" s="23" t="s">
        <v>51</v>
      </c>
      <c r="H86" s="23" t="s">
        <v>56</v>
      </c>
      <c r="I86" s="23" t="s">
        <v>58</v>
      </c>
      <c r="J86" s="23" t="str">
        <f t="shared" si="1"/>
        <v>KD-ACT — ÉQUIPEMENT activités enfants (du lieu)</v>
      </c>
    </row>
    <row r="87" ht="15.0" customHeight="1">
      <c r="A87" s="22" t="s">
        <v>1156</v>
      </c>
      <c r="B87" s="24" t="s">
        <v>1157</v>
      </c>
      <c r="C87" s="34" t="str">
        <f t="array" ref="C87">XLOOKUP($B87,'🔖 CODES DE RÉFÉRENCE'!$B:$B,'🔖 CODES DE RÉFÉRENCE'!$C:$C,"")</f>
        <v>Fleuriste événementiel</v>
      </c>
      <c r="D87" s="34" t="str">
        <f t="array" ref="D87">XLOOKUP($B87,'🔖 CODES DE RÉFÉRENCE'!$B:$B,'🔖 CODES DE RÉFÉRENCE'!$D:$D,"")</f>
        <v>Décoration</v>
      </c>
      <c r="E87" s="23" t="s">
        <v>56</v>
      </c>
      <c r="F87" s="23" t="s">
        <v>51</v>
      </c>
      <c r="G87" s="23" t="s">
        <v>51</v>
      </c>
      <c r="H87" s="23" t="s">
        <v>56</v>
      </c>
      <c r="I87" s="23" t="s">
        <v>58</v>
      </c>
      <c r="J87" s="23" t="str">
        <f t="shared" si="1"/>
        <v>EVT-FLO — Fleuriste événementiel</v>
      </c>
    </row>
    <row r="88" ht="15.0" customHeight="1">
      <c r="A88" s="22" t="s">
        <v>1156</v>
      </c>
      <c r="B88" s="24" t="s">
        <v>1162</v>
      </c>
      <c r="C88" s="34" t="str">
        <f t="array" ref="C88">XLOOKUP($B88,'🔖 CODES DE RÉFÉRENCE'!$B:$B,'🔖 CODES DE RÉFÉRENCE'!$C:$C,"")</f>
        <v>Décorateur arches &amp; cérémonies</v>
      </c>
      <c r="D88" s="34" t="str">
        <f t="array" ref="D88">XLOOKUP($B88,'🔖 CODES DE RÉFÉRENCE'!$B:$B,'🔖 CODES DE RÉFÉRENCE'!$D:$D,"")</f>
        <v>Décoration</v>
      </c>
      <c r="E88" s="23" t="s">
        <v>56</v>
      </c>
      <c r="F88" s="23" t="s">
        <v>51</v>
      </c>
      <c r="G88" s="23" t="s">
        <v>51</v>
      </c>
      <c r="H88" s="23" t="s">
        <v>56</v>
      </c>
      <c r="I88" s="23" t="s">
        <v>58</v>
      </c>
      <c r="J88" s="23" t="str">
        <f t="shared" si="1"/>
        <v>EVT-ARC — Décorateur arches &amp; cérémonies</v>
      </c>
    </row>
    <row r="89" ht="15.0" customHeight="1">
      <c r="A89" s="22" t="s">
        <v>1156</v>
      </c>
      <c r="B89" s="24" t="s">
        <v>1165</v>
      </c>
      <c r="C89" s="34" t="str">
        <f t="array" ref="C89">XLOOKUP($B89,'🔖 CODES DE RÉFÉRENCE'!$B:$B,'🔖 CODES DE RÉFÉRENCE'!$C:$C,"")</f>
        <v>Loueur mobilier événementiel</v>
      </c>
      <c r="D89" s="34" t="str">
        <f t="array" ref="D89">XLOOKUP($B89,'🔖 CODES DE RÉFÉRENCE'!$B:$B,'🔖 CODES DE RÉFÉRENCE'!$D:$D,"")</f>
        <v>Décoration</v>
      </c>
      <c r="E89" s="23" t="s">
        <v>56</v>
      </c>
      <c r="F89" s="23" t="s">
        <v>51</v>
      </c>
      <c r="G89" s="23" t="s">
        <v>51</v>
      </c>
      <c r="H89" s="23" t="s">
        <v>56</v>
      </c>
      <c r="I89" s="23" t="s">
        <v>58</v>
      </c>
      <c r="J89" s="23" t="str">
        <f t="shared" si="1"/>
        <v>EVT-LOC — Loueur mobilier événementiel</v>
      </c>
    </row>
    <row r="90" ht="15.0" customHeight="1">
      <c r="A90" s="22" t="s">
        <v>1156</v>
      </c>
      <c r="B90" s="24" t="s">
        <v>1168</v>
      </c>
      <c r="C90" s="34" t="str">
        <f t="array" ref="C90">XLOOKUP($B90,'🔖 CODES DE RÉFÉRENCE'!$B:$B,'🔖 CODES DE RÉFÉRENCE'!$C:$C,"")</f>
        <v>Prestataire éclairage</v>
      </c>
      <c r="D90" s="34" t="str">
        <f t="array" ref="D90">XLOOKUP($B90,'🔖 CODES DE RÉFÉRENCE'!$B:$B,'🔖 CODES DE RÉFÉRENCE'!$D:$D,"")</f>
        <v>Son &amp; lumière</v>
      </c>
      <c r="E90" s="23" t="s">
        <v>56</v>
      </c>
      <c r="F90" s="23" t="s">
        <v>51</v>
      </c>
      <c r="G90" s="23" t="s">
        <v>51</v>
      </c>
      <c r="H90" s="23" t="s">
        <v>56</v>
      </c>
      <c r="I90" s="23" t="s">
        <v>58</v>
      </c>
      <c r="J90" s="23" t="str">
        <f t="shared" si="1"/>
        <v>EVT-LUM — Prestataire éclairage</v>
      </c>
    </row>
    <row r="91" ht="15.0" customHeight="1">
      <c r="A91" s="22" t="s">
        <v>1156</v>
      </c>
      <c r="B91" s="24" t="s">
        <v>1171</v>
      </c>
      <c r="C91" s="34" t="str">
        <f t="array" ref="C91">XLOOKUP($B91,'🔖 CODES DE RÉFÉRENCE'!$B:$B,'🔖 CODES DE RÉFÉRENCE'!$C:$C,"")</f>
        <v>Prestataire sonorisation</v>
      </c>
      <c r="D91" s="34" t="str">
        <f t="array" ref="D91">XLOOKUP($B91,'🔖 CODES DE RÉFÉRENCE'!$B:$B,'🔖 CODES DE RÉFÉRENCE'!$D:$D,"")</f>
        <v>Son &amp; lumière</v>
      </c>
      <c r="E91" s="23" t="s">
        <v>56</v>
      </c>
      <c r="F91" s="23" t="s">
        <v>51</v>
      </c>
      <c r="G91" s="23" t="s">
        <v>51</v>
      </c>
      <c r="H91" s="23" t="s">
        <v>56</v>
      </c>
      <c r="I91" s="23" t="s">
        <v>58</v>
      </c>
      <c r="J91" s="23" t="str">
        <f t="shared" si="1"/>
        <v>EVT-SOU — Prestataire sonorisation</v>
      </c>
    </row>
    <row r="92" ht="15.0" customHeight="1">
      <c r="A92" s="22" t="s">
        <v>1156</v>
      </c>
      <c r="B92" s="24" t="s">
        <v>1176</v>
      </c>
      <c r="C92" s="34" t="str">
        <f t="array" ref="C92">XLOOKUP($B92,'🔖 CODES DE RÉFÉRENCE'!$B:$B,'🔖 CODES DE RÉFÉRENCE'!$C:$C,"")</f>
        <v>Prestataire audiovisuel</v>
      </c>
      <c r="D92" s="34" t="str">
        <f t="array" ref="D92">XLOOKUP($B92,'🔖 CODES DE RÉFÉRENCE'!$B:$B,'🔖 CODES DE RÉFÉRENCE'!$D:$D,"")</f>
        <v>Son &amp; lumière</v>
      </c>
      <c r="E92" s="23" t="s">
        <v>56</v>
      </c>
      <c r="F92" s="23" t="s">
        <v>51</v>
      </c>
      <c r="G92" s="23" t="s">
        <v>51</v>
      </c>
      <c r="H92" s="23" t="s">
        <v>56</v>
      </c>
      <c r="I92" s="23" t="s">
        <v>58</v>
      </c>
      <c r="J92" s="23" t="str">
        <f t="shared" si="1"/>
        <v>EVT-SCR — Prestataire audiovisuel</v>
      </c>
    </row>
    <row r="93" ht="15.0" customHeight="1">
      <c r="A93" s="22" t="s">
        <v>1156</v>
      </c>
      <c r="B93" s="24" t="s">
        <v>1179</v>
      </c>
      <c r="C93" s="34" t="str">
        <f t="array" ref="C93">XLOOKUP($B93,'🔖 CODES DE RÉFÉRENCE'!$B:$B,'🔖 CODES DE RÉFÉRENCE'!$C:$C,"")</f>
        <v>Prestataire mapping vidéo</v>
      </c>
      <c r="D93" s="34" t="str">
        <f t="array" ref="D93">XLOOKUP($B93,'🔖 CODES DE RÉFÉRENCE'!$B:$B,'🔖 CODES DE RÉFÉRENCE'!$D:$D,"")</f>
        <v>Son &amp; lumière</v>
      </c>
      <c r="E93" s="23" t="s">
        <v>56</v>
      </c>
      <c r="F93" s="23" t="s">
        <v>51</v>
      </c>
      <c r="G93" s="23" t="s">
        <v>51</v>
      </c>
      <c r="H93" s="23" t="s">
        <v>56</v>
      </c>
      <c r="I93" s="23" t="s">
        <v>58</v>
      </c>
      <c r="J93" s="23" t="str">
        <f t="shared" si="1"/>
        <v>EVT-LAS — Prestataire mapping vidéo</v>
      </c>
    </row>
    <row r="94" ht="15.0" customHeight="1">
      <c r="A94" s="22" t="s">
        <v>1156</v>
      </c>
      <c r="B94" s="24" t="s">
        <v>1183</v>
      </c>
      <c r="C94" s="34" t="str">
        <f t="array" ref="C94">XLOOKUP($B94,'🔖 CODES DE RÉFÉRENCE'!$B:$B,'🔖 CODES DE RÉFÉRENCE'!$C:$C,"")</f>
        <v>Prestataire pyrotechnie</v>
      </c>
      <c r="D94" s="34" t="str">
        <f t="array" ref="D94">XLOOKUP($B94,'🔖 CODES DE RÉFÉRENCE'!$B:$B,'🔖 CODES DE RÉFÉRENCE'!$D:$D,"")</f>
        <v>Son &amp; lumière</v>
      </c>
      <c r="E94" s="23" t="s">
        <v>56</v>
      </c>
      <c r="F94" s="23" t="s">
        <v>51</v>
      </c>
      <c r="G94" s="23" t="s">
        <v>51</v>
      </c>
      <c r="H94" s="23" t="s">
        <v>56</v>
      </c>
      <c r="I94" s="23" t="s">
        <v>58</v>
      </c>
      <c r="J94" s="23" t="str">
        <f t="shared" si="1"/>
        <v>EVT-PYR — Prestataire pyrotechnie</v>
      </c>
    </row>
    <row r="95" ht="15.0" customHeight="1">
      <c r="A95" s="22" t="s">
        <v>1156</v>
      </c>
      <c r="B95" s="24" t="s">
        <v>1185</v>
      </c>
      <c r="C95" s="34" t="str">
        <f t="array" ref="C95">XLOOKUP($B95,'🔖 CODES DE RÉFÉRENCE'!$B:$B,'🔖 CODES DE RÉFÉRENCE'!$C:$C,"")</f>
        <v>Prestataire effets spéciaux</v>
      </c>
      <c r="D95" s="34" t="str">
        <f t="array" ref="D95">XLOOKUP($B95,'🔖 CODES DE RÉFÉRENCE'!$B:$B,'🔖 CODES DE RÉFÉRENCE'!$D:$D,"")</f>
        <v>Son &amp; lumière</v>
      </c>
      <c r="E95" s="23" t="s">
        <v>56</v>
      </c>
      <c r="F95" s="23" t="s">
        <v>51</v>
      </c>
      <c r="G95" s="23" t="s">
        <v>51</v>
      </c>
      <c r="H95" s="23" t="s">
        <v>56</v>
      </c>
      <c r="I95" s="23" t="s">
        <v>58</v>
      </c>
      <c r="J95" s="23" t="str">
        <f t="shared" si="1"/>
        <v>EVT-FXS — Prestataire effets spéciaux</v>
      </c>
    </row>
    <row r="96" ht="15.0" customHeight="1">
      <c r="A96" s="22" t="s">
        <v>1156</v>
      </c>
      <c r="B96" s="24" t="s">
        <v>1190</v>
      </c>
      <c r="C96" s="34" t="str">
        <f t="array" ref="C96">XLOOKUP($B96,'🔖 CODES DE RÉFÉRENCE'!$B:$B,'🔖 CODES DE RÉFÉRENCE'!$C:$C,"")</f>
        <v>DJ</v>
      </c>
      <c r="D96" s="34" t="str">
        <f t="array" ref="D96">XLOOKUP($B96,'🔖 CODES DE RÉFÉRENCE'!$B:$B,'🔖 CODES DE RÉFÉRENCE'!$D:$D,"")</f>
        <v>Animation</v>
      </c>
      <c r="E96" s="23" t="s">
        <v>56</v>
      </c>
      <c r="F96" s="23" t="s">
        <v>51</v>
      </c>
      <c r="G96" s="23" t="s">
        <v>51</v>
      </c>
      <c r="H96" s="23" t="s">
        <v>56</v>
      </c>
      <c r="I96" s="23" t="s">
        <v>58</v>
      </c>
      <c r="J96" s="23" t="str">
        <f t="shared" si="1"/>
        <v>EVT-DJ — DJ</v>
      </c>
    </row>
    <row r="97" ht="15.0" customHeight="1">
      <c r="A97" s="22" t="s">
        <v>1156</v>
      </c>
      <c r="B97" s="24" t="s">
        <v>1198</v>
      </c>
      <c r="C97" s="34" t="str">
        <f t="array" ref="C97">XLOOKUP($B97,'🔖 CODES DE RÉFÉRENCE'!$B:$B,'🔖 CODES DE RÉFÉRENCE'!$C:$C,"")</f>
        <v>Musicien live</v>
      </c>
      <c r="D97" s="34" t="str">
        <f t="array" ref="D97">XLOOKUP($B97,'🔖 CODES DE RÉFÉRENCE'!$B:$B,'🔖 CODES DE RÉFÉRENCE'!$D:$D,"")</f>
        <v>Animation</v>
      </c>
      <c r="E97" s="23" t="s">
        <v>56</v>
      </c>
      <c r="F97" s="23" t="s">
        <v>51</v>
      </c>
      <c r="G97" s="23" t="s">
        <v>51</v>
      </c>
      <c r="H97" s="23" t="s">
        <v>56</v>
      </c>
      <c r="I97" s="23" t="s">
        <v>58</v>
      </c>
      <c r="J97" s="23" t="str">
        <f t="shared" si="1"/>
        <v>EVT-LIV — Musicien live</v>
      </c>
    </row>
    <row r="98" ht="15.0" customHeight="1">
      <c r="A98" s="22" t="s">
        <v>1156</v>
      </c>
      <c r="B98" s="24" t="s">
        <v>1203</v>
      </c>
      <c r="C98" s="34" t="str">
        <f t="array" ref="C98">XLOOKUP($B98,'🔖 CODES DE RÉFÉRENCE'!$B:$B,'🔖 CODES DE RÉFÉRENCE'!$C:$C,"")</f>
        <v>Groupe gnaoua</v>
      </c>
      <c r="D98" s="34" t="str">
        <f t="array" ref="D98">XLOOKUP($B98,'🔖 CODES DE RÉFÉRENCE'!$B:$B,'🔖 CODES DE RÉFÉRENCE'!$D:$D,"")</f>
        <v>Animation</v>
      </c>
      <c r="E98" s="23" t="s">
        <v>56</v>
      </c>
      <c r="F98" s="23" t="s">
        <v>51</v>
      </c>
      <c r="G98" s="23" t="s">
        <v>51</v>
      </c>
      <c r="H98" s="23" t="s">
        <v>56</v>
      </c>
      <c r="I98" s="23" t="s">
        <v>58</v>
      </c>
      <c r="J98" s="23" t="str">
        <f t="shared" si="1"/>
        <v>EVT-GNA — Groupe gnaoua</v>
      </c>
    </row>
    <row r="99" ht="15.0" customHeight="1">
      <c r="A99" s="22" t="s">
        <v>1156</v>
      </c>
      <c r="B99" s="24" t="s">
        <v>1209</v>
      </c>
      <c r="C99" s="34" t="str">
        <f t="array" ref="C99">XLOOKUP($B99,'🔖 CODES DE RÉFÉRENCE'!$B:$B,'🔖 CODES DE RÉFÉRENCE'!$C:$C,"")</f>
        <v>Danseuse / performer</v>
      </c>
      <c r="D99" s="34" t="str">
        <f t="array" ref="D99">XLOOKUP($B99,'🔖 CODES DE RÉFÉRENCE'!$B:$B,'🔖 CODES DE RÉFÉRENCE'!$D:$D,"")</f>
        <v>Animation</v>
      </c>
      <c r="E99" s="23" t="s">
        <v>56</v>
      </c>
      <c r="F99" s="23" t="s">
        <v>51</v>
      </c>
      <c r="G99" s="23" t="s">
        <v>51</v>
      </c>
      <c r="H99" s="23" t="s">
        <v>56</v>
      </c>
      <c r="I99" s="23" t="s">
        <v>58</v>
      </c>
      <c r="J99" s="23" t="str">
        <f t="shared" si="1"/>
        <v>EVT-DAN — Danseuse / performer</v>
      </c>
    </row>
    <row r="100" ht="15.0" customHeight="1">
      <c r="A100" s="22" t="s">
        <v>1156</v>
      </c>
      <c r="B100" s="24" t="s">
        <v>1214</v>
      </c>
      <c r="C100" s="34" t="str">
        <f t="array" ref="C100">XLOOKUP($B100,'🔖 CODES DE RÉFÉRENCE'!$B:$B,'🔖 CODES DE RÉFÉRENCE'!$C:$C,"")</f>
        <v>Animateur événementiel</v>
      </c>
      <c r="D100" s="34" t="str">
        <f t="array" ref="D100">XLOOKUP($B100,'🔖 CODES DE RÉFÉRENCE'!$B:$B,'🔖 CODES DE RÉFÉRENCE'!$D:$D,"")</f>
        <v>Animation</v>
      </c>
      <c r="E100" s="23" t="s">
        <v>56</v>
      </c>
      <c r="F100" s="23" t="s">
        <v>51</v>
      </c>
      <c r="G100" s="23" t="s">
        <v>51</v>
      </c>
      <c r="H100" s="23" t="s">
        <v>56</v>
      </c>
      <c r="I100" s="23" t="s">
        <v>58</v>
      </c>
      <c r="J100" s="23" t="str">
        <f t="shared" si="1"/>
        <v>EVT-ANI — Animateur événementiel</v>
      </c>
    </row>
    <row r="101" ht="15.0" customHeight="1">
      <c r="A101" s="22" t="s">
        <v>1156</v>
      </c>
      <c r="B101" s="24" t="s">
        <v>1221</v>
      </c>
      <c r="C101" s="34" t="str">
        <f t="array" ref="C101">XLOOKUP($B101,'🔖 CODES DE RÉFÉRENCE'!$B:$B,'🔖 CODES DE RÉFÉRENCE'!$C:$C,"")</f>
        <v>Maître de cérémonie</v>
      </c>
      <c r="D101" s="34" t="str">
        <f t="array" ref="D101">XLOOKUP($B101,'🔖 CODES DE RÉFÉRENCE'!$B:$B,'🔖 CODES DE RÉFÉRENCE'!$D:$D,"")</f>
        <v>Animation</v>
      </c>
      <c r="E101" s="23" t="s">
        <v>56</v>
      </c>
      <c r="F101" s="23" t="s">
        <v>51</v>
      </c>
      <c r="G101" s="23" t="s">
        <v>51</v>
      </c>
      <c r="H101" s="23" t="s">
        <v>56</v>
      </c>
      <c r="I101" s="23" t="s">
        <v>58</v>
      </c>
      <c r="J101" s="23" t="str">
        <f t="shared" si="1"/>
        <v>EVT-MAS — Maître de cérémonie</v>
      </c>
    </row>
    <row r="102" ht="15.0" customHeight="1">
      <c r="A102" s="22" t="s">
        <v>1156</v>
      </c>
      <c r="B102" s="24" t="s">
        <v>1228</v>
      </c>
      <c r="C102" s="34" t="str">
        <f t="array" ref="C102">XLOOKUP($B102,'🔖 CODES DE RÉFÉRENCE'!$B:$B,'🔖 CODES DE RÉFÉRENCE'!$C:$C,"")</f>
        <v>Photographe</v>
      </c>
      <c r="D102" s="34" t="str">
        <f t="array" ref="D102">XLOOKUP($B102,'🔖 CODES DE RÉFÉRENCE'!$B:$B,'🔖 CODES DE RÉFÉRENCE'!$D:$D,"")</f>
        <v>Photo &amp; vidéo</v>
      </c>
      <c r="E102" s="23" t="s">
        <v>56</v>
      </c>
      <c r="F102" s="23" t="s">
        <v>51</v>
      </c>
      <c r="G102" s="23" t="s">
        <v>51</v>
      </c>
      <c r="H102" s="23" t="s">
        <v>56</v>
      </c>
      <c r="I102" s="23" t="s">
        <v>58</v>
      </c>
      <c r="J102" s="23" t="str">
        <f t="shared" si="1"/>
        <v>EVT-PHO — Photographe</v>
      </c>
    </row>
    <row r="103" ht="15.0" customHeight="1">
      <c r="A103" s="22" t="s">
        <v>1156</v>
      </c>
      <c r="B103" s="24" t="s">
        <v>1236</v>
      </c>
      <c r="C103" s="34" t="str">
        <f t="array" ref="C103">XLOOKUP($B103,'🔖 CODES DE RÉFÉRENCE'!$B:$B,'🔖 CODES DE RÉFÉRENCE'!$C:$C,"")</f>
        <v>Vidéaste</v>
      </c>
      <c r="D103" s="34" t="str">
        <f t="array" ref="D103">XLOOKUP($B103,'🔖 CODES DE RÉFÉRENCE'!$B:$B,'🔖 CODES DE RÉFÉRENCE'!$D:$D,"")</f>
        <v>Photo &amp; vidéo</v>
      </c>
      <c r="E103" s="23" t="s">
        <v>56</v>
      </c>
      <c r="F103" s="23" t="s">
        <v>51</v>
      </c>
      <c r="G103" s="23" t="s">
        <v>51</v>
      </c>
      <c r="H103" s="23" t="s">
        <v>56</v>
      </c>
      <c r="I103" s="23" t="s">
        <v>58</v>
      </c>
      <c r="J103" s="23" t="str">
        <f t="shared" si="1"/>
        <v>EVT-VID — Vidéaste</v>
      </c>
    </row>
    <row r="104" ht="15.0" customHeight="1">
      <c r="A104" s="22" t="s">
        <v>1156</v>
      </c>
      <c r="B104" s="24" t="s">
        <v>1242</v>
      </c>
      <c r="C104" s="34" t="str">
        <f t="array" ref="C104">XLOOKUP($B104,'🔖 CODES DE RÉFÉRENCE'!$B:$B,'🔖 CODES DE RÉFÉRENCE'!$C:$C,"")</f>
        <v>Télépilote drone</v>
      </c>
      <c r="D104" s="34" t="str">
        <f t="array" ref="D104">XLOOKUP($B104,'🔖 CODES DE RÉFÉRENCE'!$B:$B,'🔖 CODES DE RÉFÉRENCE'!$D:$D,"")</f>
        <v>Photo &amp; vidéo</v>
      </c>
      <c r="E104" s="23" t="s">
        <v>56</v>
      </c>
      <c r="F104" s="23" t="s">
        <v>51</v>
      </c>
      <c r="G104" s="23" t="s">
        <v>51</v>
      </c>
      <c r="H104" s="23" t="s">
        <v>56</v>
      </c>
      <c r="I104" s="23" t="s">
        <v>58</v>
      </c>
      <c r="J104" s="23" t="str">
        <f t="shared" si="1"/>
        <v>EVT-DRN — Télépilote drone</v>
      </c>
    </row>
    <row r="105" ht="15.0" customHeight="1">
      <c r="A105" s="22" t="s">
        <v>1156</v>
      </c>
      <c r="B105" s="24" t="s">
        <v>1247</v>
      </c>
      <c r="C105" s="34" t="str">
        <f t="array" ref="C105">XLOOKUP($B105,'🔖 CODES DE RÉFÉRENCE'!$B:$B,'🔖 CODES DE RÉFÉRENCE'!$C:$C,"")</f>
        <v>Maquilleuse professionnelle</v>
      </c>
      <c r="D105" s="34" t="str">
        <f t="array" ref="D105">XLOOKUP($B105,'🔖 CODES DE RÉFÉRENCE'!$B:$B,'🔖 CODES DE RÉFÉRENCE'!$D:$D,"")</f>
        <v>Beauté</v>
      </c>
      <c r="E105" s="23" t="s">
        <v>56</v>
      </c>
      <c r="F105" s="23" t="s">
        <v>51</v>
      </c>
      <c r="G105" s="23" t="s">
        <v>51</v>
      </c>
      <c r="H105" s="23" t="s">
        <v>56</v>
      </c>
      <c r="I105" s="23" t="s">
        <v>58</v>
      </c>
      <c r="J105" s="23" t="str">
        <f t="shared" si="1"/>
        <v>EVT-MUA — Maquilleuse professionnelle</v>
      </c>
    </row>
    <row r="106" ht="15.0" customHeight="1">
      <c r="A106" s="22" t="s">
        <v>1156</v>
      </c>
      <c r="B106" s="24" t="s">
        <v>1251</v>
      </c>
      <c r="C106" s="34" t="str">
        <f t="array" ref="C106">XLOOKUP($B106,'🔖 CODES DE RÉFÉRENCE'!$B:$B,'🔖 CODES DE RÉFÉRENCE'!$C:$C,"")</f>
        <v>Coiffeuse événementielle</v>
      </c>
      <c r="D106" s="34" t="str">
        <f t="array" ref="D106">XLOOKUP($B106,'🔖 CODES DE RÉFÉRENCE'!$B:$B,'🔖 CODES DE RÉFÉRENCE'!$D:$D,"")</f>
        <v>Beauté</v>
      </c>
      <c r="E106" s="23" t="s">
        <v>56</v>
      </c>
      <c r="F106" s="23" t="s">
        <v>51</v>
      </c>
      <c r="G106" s="23" t="s">
        <v>51</v>
      </c>
      <c r="H106" s="23" t="s">
        <v>56</v>
      </c>
      <c r="I106" s="23" t="s">
        <v>58</v>
      </c>
      <c r="J106" s="23" t="str">
        <f t="shared" si="1"/>
        <v>EVT-HAI — Coiffeuse événementielle</v>
      </c>
    </row>
    <row r="107" ht="15.0" customHeight="1">
      <c r="A107" s="22" t="s">
        <v>1156</v>
      </c>
      <c r="B107" s="24" t="s">
        <v>1256</v>
      </c>
      <c r="C107" s="34" t="str">
        <f t="array" ref="C107">XLOOKUP($B107,'🔖 CODES DE RÉFÉRENCE'!$B:$B,'🔖 CODES DE RÉFÉRENCE'!$C:$C,"")</f>
        <v>Styliste ongulaire</v>
      </c>
      <c r="D107" s="34" t="str">
        <f t="array" ref="D107">XLOOKUP($B107,'🔖 CODES DE RÉFÉRENCE'!$B:$B,'🔖 CODES DE RÉFÉRENCE'!$D:$D,"")</f>
        <v>Beauté</v>
      </c>
      <c r="E107" s="23" t="s">
        <v>56</v>
      </c>
      <c r="F107" s="23" t="s">
        <v>51</v>
      </c>
      <c r="G107" s="23" t="s">
        <v>51</v>
      </c>
      <c r="H107" s="23" t="s">
        <v>56</v>
      </c>
      <c r="I107" s="23" t="s">
        <v>58</v>
      </c>
      <c r="J107" s="23" t="str">
        <f t="shared" si="1"/>
        <v>EVT-NAI — Styliste ongulaire</v>
      </c>
    </row>
    <row r="108" ht="15.0" customHeight="1">
      <c r="A108" s="22" t="s">
        <v>1156</v>
      </c>
      <c r="B108" s="24" t="s">
        <v>1261</v>
      </c>
      <c r="C108" s="34" t="str">
        <f t="array" ref="C108">XLOOKUP($B108,'🔖 CODES DE RÉFÉRENCE'!$B:$B,'🔖 CODES DE RÉFÉRENCE'!$C:$C,"")</f>
        <v>Barbier premium</v>
      </c>
      <c r="D108" s="34" t="str">
        <f t="array" ref="D108">XLOOKUP($B108,'🔖 CODES DE RÉFÉRENCE'!$B:$B,'🔖 CODES DE RÉFÉRENCE'!$D:$D,"")</f>
        <v>Beauté</v>
      </c>
      <c r="E108" s="23" t="s">
        <v>56</v>
      </c>
      <c r="F108" s="23" t="s">
        <v>51</v>
      </c>
      <c r="G108" s="23" t="s">
        <v>51</v>
      </c>
      <c r="H108" s="23" t="s">
        <v>56</v>
      </c>
      <c r="I108" s="23" t="s">
        <v>58</v>
      </c>
      <c r="J108" s="23" t="str">
        <f t="shared" si="1"/>
        <v>EVT-BRB — Barbier premium</v>
      </c>
    </row>
    <row r="109" ht="15.0" customHeight="1">
      <c r="A109" s="22" t="s">
        <v>1156</v>
      </c>
      <c r="B109" s="24" t="s">
        <v>1268</v>
      </c>
      <c r="C109" s="34" t="str">
        <f t="array" ref="C109">XLOOKUP($B109,'🔖 CODES DE RÉFÉRENCE'!$B:$B,'🔖 CODES DE RÉFÉRENCE'!$C:$C,"")</f>
        <v>Praticien massage à domicile</v>
      </c>
      <c r="D109" s="34" t="str">
        <f t="array" ref="D109">XLOOKUP($B109,'🔖 CODES DE RÉFÉRENCE'!$B:$B,'🔖 CODES DE RÉFÉRENCE'!$D:$D,"")</f>
        <v>Bien-être</v>
      </c>
      <c r="E109" s="23" t="s">
        <v>56</v>
      </c>
      <c r="F109" s="23" t="s">
        <v>51</v>
      </c>
      <c r="G109" s="23" t="s">
        <v>51</v>
      </c>
      <c r="H109" s="23" t="s">
        <v>56</v>
      </c>
      <c r="I109" s="23" t="s">
        <v>58</v>
      </c>
      <c r="J109" s="23" t="str">
        <f t="shared" si="1"/>
        <v>EVT-MASG — Praticien massage à domicile</v>
      </c>
    </row>
    <row r="110" ht="15.0" customHeight="1">
      <c r="A110" s="22" t="s">
        <v>1156</v>
      </c>
      <c r="B110" s="24" t="s">
        <v>1274</v>
      </c>
      <c r="C110" s="34" t="str">
        <f t="array" ref="C110">XLOOKUP($B110,'🔖 CODES DE RÉFÉRENCE'!$B:$B,'🔖 CODES DE RÉFÉRENCE'!$C:$C,"")</f>
        <v>Spa mobile</v>
      </c>
      <c r="D110" s="34" t="str">
        <f t="array" ref="D110">XLOOKUP($B110,'🔖 CODES DE RÉFÉRENCE'!$B:$B,'🔖 CODES DE RÉFÉRENCE'!$D:$D,"")</f>
        <v>Bien-être</v>
      </c>
      <c r="E110" s="23" t="s">
        <v>56</v>
      </c>
      <c r="F110" s="23" t="s">
        <v>51</v>
      </c>
      <c r="G110" s="23" t="s">
        <v>51</v>
      </c>
      <c r="H110" s="23" t="s">
        <v>56</v>
      </c>
      <c r="I110" s="23" t="s">
        <v>58</v>
      </c>
      <c r="J110" s="23" t="str">
        <f t="shared" si="1"/>
        <v>EVT-SPA — Spa mobile</v>
      </c>
    </row>
    <row r="111" ht="15.0" customHeight="1">
      <c r="A111" s="22" t="s">
        <v>1156</v>
      </c>
      <c r="B111" s="24" t="s">
        <v>1278</v>
      </c>
      <c r="C111" s="34" t="str">
        <f t="array" ref="C111">XLOOKUP($B111,'🔖 CODES DE RÉFÉRENCE'!$B:$B,'🔖 CODES DE RÉFÉRENCE'!$C:$C,"")</f>
        <v>Hammam &amp; rituels marocains</v>
      </c>
      <c r="D111" s="34" t="str">
        <f t="array" ref="D111">XLOOKUP($B111,'🔖 CODES DE RÉFÉRENCE'!$B:$B,'🔖 CODES DE RÉFÉRENCE'!$D:$D,"")</f>
        <v>Bien-être</v>
      </c>
      <c r="E111" s="23" t="s">
        <v>56</v>
      </c>
      <c r="F111" s="23" t="s">
        <v>51</v>
      </c>
      <c r="G111" s="23" t="s">
        <v>51</v>
      </c>
      <c r="H111" s="23" t="s">
        <v>56</v>
      </c>
      <c r="I111" s="23" t="s">
        <v>58</v>
      </c>
      <c r="J111" s="23" t="str">
        <f t="shared" si="1"/>
        <v>EVT-HAM — Hammam &amp; rituels marocains</v>
      </c>
    </row>
    <row r="112" ht="15.0" customHeight="1">
      <c r="A112" s="22" t="s">
        <v>1156</v>
      </c>
      <c r="B112" s="24" t="s">
        <v>1281</v>
      </c>
      <c r="C112" s="34" t="str">
        <f t="array" ref="C112">XLOOKUP($B112,'🔖 CODES DE RÉFÉRENCE'!$B:$B,'🔖 CODES DE RÉFÉRENCE'!$C:$C,"")</f>
        <v>Professeur de yoga</v>
      </c>
      <c r="D112" s="34" t="str">
        <f t="array" ref="D112">XLOOKUP($B112,'🔖 CODES DE RÉFÉRENCE'!$B:$B,'🔖 CODES DE RÉFÉRENCE'!$D:$D,"")</f>
        <v>Bien-être</v>
      </c>
      <c r="E112" s="23" t="s">
        <v>56</v>
      </c>
      <c r="F112" s="23" t="s">
        <v>51</v>
      </c>
      <c r="G112" s="23" t="s">
        <v>51</v>
      </c>
      <c r="H112" s="23" t="s">
        <v>56</v>
      </c>
      <c r="I112" s="23" t="s">
        <v>58</v>
      </c>
      <c r="J112" s="23" t="str">
        <f t="shared" si="1"/>
        <v>EVT-YOG — Professeur de yoga</v>
      </c>
    </row>
    <row r="113" ht="15.0" customHeight="1">
      <c r="A113" s="22" t="s">
        <v>1156</v>
      </c>
      <c r="B113" s="24" t="s">
        <v>1284</v>
      </c>
      <c r="C113" s="34" t="str">
        <f t="array" ref="C113">XLOOKUP($B113,'🔖 CODES DE RÉFÉRENCE'!$B:$B,'🔖 CODES DE RÉFÉRENCE'!$C:$C,"")</f>
        <v>Professeur de pilates</v>
      </c>
      <c r="D113" s="34" t="str">
        <f t="array" ref="D113">XLOOKUP($B113,'🔖 CODES DE RÉFÉRENCE'!$B:$B,'🔖 CODES DE RÉFÉRENCE'!$D:$D,"")</f>
        <v>Bien-être</v>
      </c>
      <c r="E113" s="23" t="s">
        <v>56</v>
      </c>
      <c r="F113" s="23" t="s">
        <v>51</v>
      </c>
      <c r="G113" s="23" t="s">
        <v>51</v>
      </c>
      <c r="H113" s="23" t="s">
        <v>56</v>
      </c>
      <c r="I113" s="23" t="s">
        <v>58</v>
      </c>
      <c r="J113" s="23" t="str">
        <f t="shared" si="1"/>
        <v>EVT-PIL — Professeur de pilates</v>
      </c>
    </row>
    <row r="114" ht="15.0" customHeight="1">
      <c r="A114" s="22" t="s">
        <v>1156</v>
      </c>
      <c r="B114" s="24" t="s">
        <v>1286</v>
      </c>
      <c r="C114" s="34" t="str">
        <f t="array" ref="C114">XLOOKUP($B114,'🔖 CODES DE RÉFÉRENCE'!$B:$B,'🔖 CODES DE RÉFÉRENCE'!$C:$C,"")</f>
        <v>Coach sportif privé</v>
      </c>
      <c r="D114" s="34" t="str">
        <f t="array" ref="D114">XLOOKUP($B114,'🔖 CODES DE RÉFÉRENCE'!$B:$B,'🔖 CODES DE RÉFÉRENCE'!$D:$D,"")</f>
        <v>Bien-être</v>
      </c>
      <c r="E114" s="23" t="s">
        <v>56</v>
      </c>
      <c r="F114" s="23" t="s">
        <v>51</v>
      </c>
      <c r="G114" s="23" t="s">
        <v>51</v>
      </c>
      <c r="H114" s="23" t="s">
        <v>56</v>
      </c>
      <c r="I114" s="23" t="s">
        <v>58</v>
      </c>
      <c r="J114" s="23" t="str">
        <f t="shared" si="1"/>
        <v>EVT-FIT — Coach sportif privé</v>
      </c>
    </row>
    <row r="115" ht="15.0" customHeight="1">
      <c r="A115" s="22" t="s">
        <v>1156</v>
      </c>
      <c r="B115" s="24" t="s">
        <v>1289</v>
      </c>
      <c r="C115" s="34" t="str">
        <f t="array" ref="C115">XLOOKUP($B115,'🔖 CODES DE RÉFÉRENCE'!$B:$B,'🔖 CODES DE RÉFÉRENCE'!$C:$C,"")</f>
        <v>Traiteur événementiel</v>
      </c>
      <c r="D115" s="34" t="str">
        <f t="array" ref="D115">XLOOKUP($B115,'🔖 CODES DE RÉFÉRENCE'!$B:$B,'🔖 CODES DE RÉFÉRENCE'!$D:$D,"")</f>
        <v>Traiteur</v>
      </c>
      <c r="E115" s="23" t="s">
        <v>56</v>
      </c>
      <c r="F115" s="23" t="s">
        <v>51</v>
      </c>
      <c r="G115" s="23" t="s">
        <v>51</v>
      </c>
      <c r="H115" s="23" t="s">
        <v>56</v>
      </c>
      <c r="I115" s="23" t="s">
        <v>58</v>
      </c>
      <c r="J115" s="23" t="str">
        <f t="shared" si="1"/>
        <v>EVT-TRA — Traiteur événementiel</v>
      </c>
    </row>
    <row r="116" ht="15.0" customHeight="1">
      <c r="A116" s="22" t="s">
        <v>1156</v>
      </c>
      <c r="B116" s="24" t="s">
        <v>1293</v>
      </c>
      <c r="C116" s="34" t="str">
        <f t="array" ref="C116">XLOOKUP($B116,'🔖 CODES DE RÉFÉRENCE'!$B:$B,'🔖 CODES DE RÉFÉRENCE'!$C:$C,"")</f>
        <v>Chef privé</v>
      </c>
      <c r="D116" s="34" t="str">
        <f t="array" ref="D116">XLOOKUP($B116,'🔖 CODES DE RÉFÉRENCE'!$B:$B,'🔖 CODES DE RÉFÉRENCE'!$D:$D,"")</f>
        <v>Traiteur</v>
      </c>
      <c r="E116" s="23" t="s">
        <v>56</v>
      </c>
      <c r="F116" s="23" t="s">
        <v>51</v>
      </c>
      <c r="G116" s="23" t="s">
        <v>51</v>
      </c>
      <c r="H116" s="23" t="s">
        <v>56</v>
      </c>
      <c r="I116" s="23" t="s">
        <v>58</v>
      </c>
      <c r="J116" s="23" t="str">
        <f t="shared" si="1"/>
        <v>EVT-CHE — Chef privé</v>
      </c>
    </row>
    <row r="117" ht="15.0" customHeight="1">
      <c r="A117" s="22" t="s">
        <v>1156</v>
      </c>
      <c r="B117" s="24" t="s">
        <v>1295</v>
      </c>
      <c r="C117" s="34" t="str">
        <f t="array" ref="C117">XLOOKUP($B117,'🔖 CODES DE RÉFÉRENCE'!$B:$B,'🔖 CODES DE RÉFÉRENCE'!$C:$C,"")</f>
        <v>Pâtissier événementiel</v>
      </c>
      <c r="D117" s="34" t="str">
        <f t="array" ref="D117">XLOOKUP($B117,'🔖 CODES DE RÉFÉRENCE'!$B:$B,'🔖 CODES DE RÉFÉRENCE'!$D:$D,"")</f>
        <v>Pâtisserie</v>
      </c>
      <c r="E117" s="23" t="s">
        <v>56</v>
      </c>
      <c r="F117" s="23" t="s">
        <v>51</v>
      </c>
      <c r="G117" s="23" t="s">
        <v>51</v>
      </c>
      <c r="H117" s="23" t="s">
        <v>56</v>
      </c>
      <c r="I117" s="23" t="s">
        <v>58</v>
      </c>
      <c r="J117" s="23" t="str">
        <f t="shared" si="1"/>
        <v>EVT-PAT — Pâtissier événementiel</v>
      </c>
    </row>
    <row r="118" ht="15.0" customHeight="1">
      <c r="A118" s="22" t="s">
        <v>1156</v>
      </c>
      <c r="B118" s="24" t="s">
        <v>1301</v>
      </c>
      <c r="C118" s="34" t="str">
        <f t="array" ref="C118">XLOOKUP($B118,'🔖 CODES DE RÉFÉRENCE'!$B:$B,'🔖 CODES DE RÉFÉRENCE'!$C:$C,"")</f>
        <v>Mixologue</v>
      </c>
      <c r="D118" s="34" t="str">
        <f t="array" ref="D118">XLOOKUP($B118,'🔖 CODES DE RÉFÉRENCE'!$B:$B,'🔖 CODES DE RÉFÉRENCE'!$D:$D,"")</f>
        <v>Boissons</v>
      </c>
      <c r="E118" s="23" t="s">
        <v>56</v>
      </c>
      <c r="F118" s="23" t="s">
        <v>51</v>
      </c>
      <c r="G118" s="23" t="s">
        <v>51</v>
      </c>
      <c r="H118" s="23" t="s">
        <v>56</v>
      </c>
      <c r="I118" s="23" t="s">
        <v>58</v>
      </c>
      <c r="J118" s="23" t="str">
        <f t="shared" si="1"/>
        <v>EVT-MIX — Mixologue</v>
      </c>
    </row>
    <row r="119" ht="15.0" customHeight="1">
      <c r="A119" s="22" t="s">
        <v>1156</v>
      </c>
      <c r="B119" s="24" t="s">
        <v>1305</v>
      </c>
      <c r="C119" s="34" t="str">
        <f t="array" ref="C119">XLOOKUP($B119,'🔖 CODES DE RÉFÉRENCE'!$B:$B,'🔖 CODES DE RÉFÉRENCE'!$C:$C,"")</f>
        <v>Sommelier</v>
      </c>
      <c r="D119" s="34" t="str">
        <f t="array" ref="D119">XLOOKUP($B119,'🔖 CODES DE RÉFÉRENCE'!$B:$B,'🔖 CODES DE RÉFÉRENCE'!$D:$D,"")</f>
        <v>Boissons</v>
      </c>
      <c r="E119" s="23" t="s">
        <v>56</v>
      </c>
      <c r="F119" s="23" t="s">
        <v>51</v>
      </c>
      <c r="G119" s="23" t="s">
        <v>51</v>
      </c>
      <c r="H119" s="23" t="s">
        <v>56</v>
      </c>
      <c r="I119" s="23" t="s">
        <v>58</v>
      </c>
      <c r="J119" s="23" t="str">
        <f t="shared" si="1"/>
        <v>EVT-WIN — Sommelier</v>
      </c>
    </row>
    <row r="120" ht="15.0" customHeight="1">
      <c r="A120" s="22" t="s">
        <v>1156</v>
      </c>
      <c r="B120" s="24" t="s">
        <v>1310</v>
      </c>
      <c r="C120" s="34" t="str">
        <f t="array" ref="C120">XLOOKUP($B120,'🔖 CODES DE RÉFÉRENCE'!$B:$B,'🔖 CODES DE RÉFÉRENCE'!$C:$C,"")</f>
        <v>Barista</v>
      </c>
      <c r="D120" s="34" t="str">
        <f t="array" ref="D120">XLOOKUP($B120,'🔖 CODES DE RÉFÉRENCE'!$B:$B,'🔖 CODES DE RÉFÉRENCE'!$D:$D,"")</f>
        <v>Boissons</v>
      </c>
      <c r="E120" s="23" t="s">
        <v>56</v>
      </c>
      <c r="F120" s="23" t="s">
        <v>51</v>
      </c>
      <c r="G120" s="23" t="s">
        <v>51</v>
      </c>
      <c r="H120" s="23" t="s">
        <v>56</v>
      </c>
      <c r="I120" s="23" t="s">
        <v>58</v>
      </c>
      <c r="J120" s="23" t="str">
        <f t="shared" si="1"/>
        <v>EVT-CAF — Barista</v>
      </c>
    </row>
    <row r="121" ht="15.0" customHeight="1">
      <c r="A121" s="22" t="s">
        <v>1156</v>
      </c>
      <c r="B121" s="24" t="s">
        <v>1314</v>
      </c>
      <c r="C121" s="34" t="str">
        <f t="array" ref="C121">XLOOKUP($B121,'🔖 CODES DE RÉFÉRENCE'!$B:$B,'🔖 CODES DE RÉFÉRENCE'!$C:$C,"")</f>
        <v>Bar à jus healthy</v>
      </c>
      <c r="D121" s="34" t="str">
        <f t="array" ref="D121">XLOOKUP($B121,'🔖 CODES DE RÉFÉRENCE'!$B:$B,'🔖 CODES DE RÉFÉRENCE'!$D:$D,"")</f>
        <v>Boissons</v>
      </c>
      <c r="E121" s="23" t="s">
        <v>56</v>
      </c>
      <c r="F121" s="23" t="s">
        <v>51</v>
      </c>
      <c r="G121" s="23" t="s">
        <v>51</v>
      </c>
      <c r="H121" s="23" t="s">
        <v>56</v>
      </c>
      <c r="I121" s="23" t="s">
        <v>58</v>
      </c>
      <c r="J121" s="23" t="str">
        <f t="shared" si="1"/>
        <v>EVT-JUS — Bar à jus healthy</v>
      </c>
    </row>
    <row r="122" ht="15.0" customHeight="1">
      <c r="A122" s="22" t="s">
        <v>1156</v>
      </c>
      <c r="B122" s="24" t="s">
        <v>1317</v>
      </c>
      <c r="C122" s="34" t="str">
        <f t="array" ref="C122">XLOOKUP($B122,'🔖 CODES DE RÉFÉRENCE'!$B:$B,'🔖 CODES DE RÉFÉRENCE'!$C:$C,"")</f>
        <v>Service thé marocain</v>
      </c>
      <c r="D122" s="34" t="str">
        <f t="array" ref="D122">XLOOKUP($B122,'🔖 CODES DE RÉFÉRENCE'!$B:$B,'🔖 CODES DE RÉFÉRENCE'!$D:$D,"")</f>
        <v>Boissons</v>
      </c>
      <c r="E122" s="23" t="s">
        <v>56</v>
      </c>
      <c r="F122" s="23" t="s">
        <v>51</v>
      </c>
      <c r="G122" s="23" t="s">
        <v>51</v>
      </c>
      <c r="H122" s="23" t="s">
        <v>56</v>
      </c>
      <c r="I122" s="23" t="s">
        <v>58</v>
      </c>
      <c r="J122" s="23" t="str">
        <f t="shared" si="1"/>
        <v>EVT-TEA — Service thé marocain</v>
      </c>
    </row>
    <row r="123" ht="15.0" customHeight="1">
      <c r="A123" s="22" t="s">
        <v>1156</v>
      </c>
      <c r="B123" s="24" t="s">
        <v>1323</v>
      </c>
      <c r="C123" s="34" t="str">
        <f t="array" ref="C123">XLOOKUP($B123,'🔖 CODES DE RÉFÉRENCE'!$B:$B,'🔖 CODES DE RÉFÉRENCE'!$C:$C,"")</f>
        <v>Bar à chicha</v>
      </c>
      <c r="D123" s="34" t="str">
        <f t="array" ref="D123">XLOOKUP($B123,'🔖 CODES DE RÉFÉRENCE'!$B:$B,'🔖 CODES DE RÉFÉRENCE'!$D:$D,"")</f>
        <v>Boissons</v>
      </c>
      <c r="E123" s="23" t="s">
        <v>56</v>
      </c>
      <c r="F123" s="23" t="s">
        <v>51</v>
      </c>
      <c r="G123" s="23" t="s">
        <v>51</v>
      </c>
      <c r="H123" s="23" t="s">
        <v>56</v>
      </c>
      <c r="I123" s="23" t="s">
        <v>58</v>
      </c>
      <c r="J123" s="23" t="str">
        <f t="shared" si="1"/>
        <v>EVT-SHI — Bar à chicha</v>
      </c>
    </row>
    <row r="124" ht="15.0" customHeight="1">
      <c r="A124" s="22" t="s">
        <v>1156</v>
      </c>
      <c r="B124" s="24" t="s">
        <v>1326</v>
      </c>
      <c r="C124" s="34" t="str">
        <f t="array" ref="C124">XLOOKUP($B124,'🔖 CODES DE RÉFÉRENCE'!$B:$B,'🔖 CODES DE RÉFÉRENCE'!$C:$C,"")</f>
        <v>Écailler / bar à huîtres</v>
      </c>
      <c r="D124" s="34" t="str">
        <f t="array" ref="D124">XLOOKUP($B124,'🔖 CODES DE RÉFÉRENCE'!$B:$B,'🔖 CODES DE RÉFÉRENCE'!$D:$D,"")</f>
        <v>Expérience culinaire</v>
      </c>
      <c r="E124" s="23" t="s">
        <v>56</v>
      </c>
      <c r="F124" s="23" t="s">
        <v>51</v>
      </c>
      <c r="G124" s="23" t="s">
        <v>51</v>
      </c>
      <c r="H124" s="23" t="s">
        <v>56</v>
      </c>
      <c r="I124" s="23" t="s">
        <v>58</v>
      </c>
      <c r="J124" s="23" t="str">
        <f t="shared" si="1"/>
        <v>EVT-OYS — Écailler / bar à huîtres</v>
      </c>
    </row>
    <row r="125" ht="15.0" customHeight="1">
      <c r="A125" s="22" t="s">
        <v>1156</v>
      </c>
      <c r="B125" s="24" t="s">
        <v>1333</v>
      </c>
      <c r="C125" s="34" t="str">
        <f t="array" ref="C125">XLOOKUP($B125,'🔖 CODES DE RÉFÉRENCE'!$B:$B,'🔖 CODES DE RÉFÉRENCE'!$C:$C,"")</f>
        <v>Food corner &amp; stands culinaires</v>
      </c>
      <c r="D125" s="34" t="str">
        <f t="array" ref="D125">XLOOKUP($B125,'🔖 CODES DE RÉFÉRENCE'!$B:$B,'🔖 CODES DE RÉFÉRENCE'!$D:$D,"")</f>
        <v>Food premium</v>
      </c>
      <c r="E125" s="23" t="s">
        <v>56</v>
      </c>
      <c r="F125" s="23" t="s">
        <v>51</v>
      </c>
      <c r="G125" s="23" t="s">
        <v>51</v>
      </c>
      <c r="H125" s="23" t="s">
        <v>56</v>
      </c>
      <c r="I125" s="23" t="s">
        <v>58</v>
      </c>
      <c r="J125" s="23" t="str">
        <f t="shared" si="1"/>
        <v>EVT-FOC — Food corner &amp; stands culinaires</v>
      </c>
    </row>
    <row r="126" ht="15.0" customHeight="1">
      <c r="A126" s="22" t="s">
        <v>1156</v>
      </c>
      <c r="B126" s="24" t="s">
        <v>1342</v>
      </c>
      <c r="C126" s="34" t="str">
        <f t="array" ref="C126">XLOOKUP($B126,'🔖 CODES DE RÉFÉRENCE'!$B:$B,'🔖 CODES DE RÉFÉRENCE'!$C:$C,"")</f>
        <v>Wedding planner</v>
      </c>
      <c r="D126" s="34" t="str">
        <f t="array" ref="D126">XLOOKUP($B126,'🔖 CODES DE RÉFÉRENCE'!$B:$B,'🔖 CODES DE RÉFÉRENCE'!$D:$D,"")</f>
        <v>Coordination</v>
      </c>
      <c r="E126" s="23" t="s">
        <v>56</v>
      </c>
      <c r="F126" s="23" t="s">
        <v>51</v>
      </c>
      <c r="G126" s="23" t="s">
        <v>51</v>
      </c>
      <c r="H126" s="23" t="s">
        <v>56</v>
      </c>
      <c r="I126" s="23" t="s">
        <v>58</v>
      </c>
      <c r="J126" s="23" t="str">
        <f t="shared" si="1"/>
        <v>EVT-WED — Wedding planner</v>
      </c>
    </row>
    <row r="127" ht="15.0" customHeight="1">
      <c r="A127" s="22" t="s">
        <v>1156</v>
      </c>
      <c r="B127" s="24" t="s">
        <v>1350</v>
      </c>
      <c r="C127" s="34" t="str">
        <f t="array" ref="C127">XLOOKUP($B127,'🔖 CODES DE RÉFÉRENCE'!$B:$B,'🔖 CODES DE RÉFÉRENCE'!$C:$C,"")</f>
        <v>Organisateur EVJF / EVG</v>
      </c>
      <c r="D127" s="34" t="str">
        <f t="array" ref="D127">XLOOKUP($B127,'🔖 CODES DE RÉFÉRENCE'!$B:$B,'🔖 CODES DE RÉFÉRENCE'!$D:$D,"")</f>
        <v>Coordination</v>
      </c>
      <c r="E127" s="23" t="s">
        <v>56</v>
      </c>
      <c r="F127" s="23" t="s">
        <v>51</v>
      </c>
      <c r="G127" s="23" t="s">
        <v>51</v>
      </c>
      <c r="H127" s="23" t="s">
        <v>56</v>
      </c>
      <c r="I127" s="23" t="s">
        <v>58</v>
      </c>
      <c r="J127" s="23" t="str">
        <f t="shared" si="1"/>
        <v>EVT-EVP — Organisateur EVJF / EVG</v>
      </c>
    </row>
    <row r="128" ht="15.0" customHeight="1">
      <c r="A128" s="22" t="s">
        <v>1156</v>
      </c>
      <c r="B128" s="24" t="s">
        <v>1361</v>
      </c>
      <c r="C128" s="34" t="str">
        <f t="array" ref="C128">XLOOKUP($B128,'🔖 CODES DE RÉFÉRENCE'!$B:$B,'🔖 CODES DE RÉFÉRENCE'!$C:$C,"")</f>
        <v>Organisateur événementiel corporate</v>
      </c>
      <c r="D128" s="34" t="str">
        <f t="array" ref="D128">XLOOKUP($B128,'🔖 CODES DE RÉFÉRENCE'!$B:$B,'🔖 CODES DE RÉFÉRENCE'!$D:$D,"")</f>
        <v>Coordination</v>
      </c>
      <c r="E128" s="23" t="s">
        <v>56</v>
      </c>
      <c r="F128" s="23" t="s">
        <v>51</v>
      </c>
      <c r="G128" s="23" t="s">
        <v>51</v>
      </c>
      <c r="H128" s="23" t="s">
        <v>56</v>
      </c>
      <c r="I128" s="23" t="s">
        <v>58</v>
      </c>
      <c r="J128" s="23" t="str">
        <f t="shared" si="1"/>
        <v>EVT-COR — Organisateur événementiel corporate</v>
      </c>
    </row>
    <row r="129" ht="15.0" customHeight="1">
      <c r="A129" s="22" t="s">
        <v>1156</v>
      </c>
      <c r="B129" s="24" t="s">
        <v>1371</v>
      </c>
      <c r="C129" s="34" t="str">
        <f t="array" ref="C129">XLOOKUP($B129,'🔖 CODES DE RÉFÉRENCE'!$B:$B,'🔖 CODES DE RÉFÉRENCE'!$C:$C,"")</f>
        <v>Concierge événementiel</v>
      </c>
      <c r="D129" s="34" t="str">
        <f t="array" ref="D129">XLOOKUP($B129,'🔖 CODES DE RÉFÉRENCE'!$B:$B,'🔖 CODES DE RÉFÉRENCE'!$D:$D,"")</f>
        <v>Coordination</v>
      </c>
      <c r="E129" s="23" t="s">
        <v>56</v>
      </c>
      <c r="F129" s="23" t="s">
        <v>51</v>
      </c>
      <c r="G129" s="23" t="s">
        <v>51</v>
      </c>
      <c r="H129" s="23" t="s">
        <v>56</v>
      </c>
      <c r="I129" s="23" t="s">
        <v>58</v>
      </c>
      <c r="J129" s="23" t="str">
        <f t="shared" si="1"/>
        <v>EVT-CON — Concierge événementiel</v>
      </c>
    </row>
    <row r="130" ht="15.0" customHeight="1">
      <c r="A130" s="22" t="s">
        <v>1156</v>
      </c>
      <c r="B130" s="24" t="s">
        <v>1379</v>
      </c>
      <c r="C130" s="34" t="str">
        <f t="array" ref="C130">XLOOKUP($B130,'🔖 CODES DE RÉFÉRENCE'!$B:$B,'🔖 CODES DE RÉFÉRENCE'!$C:$C,"")</f>
        <v>Agence hôtesses &amp; accueil</v>
      </c>
      <c r="D130" s="34" t="str">
        <f t="array" ref="D130">XLOOKUP($B130,'🔖 CODES DE RÉFÉRENCE'!$B:$B,'🔖 CODES DE RÉFÉRENCE'!$D:$D,"")</f>
        <v>Accueil</v>
      </c>
      <c r="E130" s="23" t="s">
        <v>56</v>
      </c>
      <c r="F130" s="23" t="s">
        <v>51</v>
      </c>
      <c r="G130" s="23" t="s">
        <v>51</v>
      </c>
      <c r="H130" s="23" t="s">
        <v>56</v>
      </c>
      <c r="I130" s="23" t="s">
        <v>58</v>
      </c>
      <c r="J130" s="23" t="str">
        <f t="shared" si="1"/>
        <v>EVT-HOS — Agence hôtesses &amp; accueil</v>
      </c>
    </row>
    <row r="131" ht="15.0" customHeight="1">
      <c r="A131" s="22" t="s">
        <v>1156</v>
      </c>
      <c r="B131" s="24" t="s">
        <v>1390</v>
      </c>
      <c r="C131" s="34" t="str">
        <f t="array" ref="C131">XLOOKUP($B131,'🔖 CODES DE RÉFÉRENCE'!$B:$B,'🔖 CODES DE RÉFÉRENCE'!$C:$C,"")</f>
        <v>Service voiturier</v>
      </c>
      <c r="D131" s="34" t="str">
        <f t="array" ref="D131">XLOOKUP($B131,'🔖 CODES DE RÉFÉRENCE'!$B:$B,'🔖 CODES DE RÉFÉRENCE'!$D:$D,"")</f>
        <v>Transport</v>
      </c>
      <c r="E131" s="23" t="s">
        <v>56</v>
      </c>
      <c r="F131" s="23" t="s">
        <v>51</v>
      </c>
      <c r="G131" s="23" t="s">
        <v>51</v>
      </c>
      <c r="H131" s="23" t="s">
        <v>56</v>
      </c>
      <c r="I131" s="23" t="s">
        <v>58</v>
      </c>
      <c r="J131" s="23" t="str">
        <f t="shared" si="1"/>
        <v>EVT-VAL — Service voiturier</v>
      </c>
    </row>
    <row r="132" ht="15.0" customHeight="1">
      <c r="A132" s="22" t="s">
        <v>1156</v>
      </c>
      <c r="B132" s="24" t="s">
        <v>1401</v>
      </c>
      <c r="C132" s="34" t="str">
        <f t="array" ref="C132">XLOOKUP($B132,'🔖 CODES DE RÉFÉRENCE'!$B:$B,'🔖 CODES DE RÉFÉRENCE'!$C:$C,"")</f>
        <v>Animateur enfants événementiel</v>
      </c>
      <c r="D132" s="34" t="str">
        <f t="array" ref="D132">XLOOKUP($B132,'🔖 CODES DE RÉFÉRENCE'!$B:$B,'🔖 CODES DE RÉFÉRENCE'!$D:$D,"")</f>
        <v>Famille &amp; Enfants</v>
      </c>
      <c r="E132" s="23" t="s">
        <v>56</v>
      </c>
      <c r="F132" s="23" t="s">
        <v>51</v>
      </c>
      <c r="G132" s="23" t="s">
        <v>51</v>
      </c>
      <c r="H132" s="23" t="s">
        <v>56</v>
      </c>
      <c r="I132" s="23" t="s">
        <v>58</v>
      </c>
      <c r="J132" s="23" t="str">
        <f t="shared" si="1"/>
        <v>EVT-ANE — Animateur enfants événementiel</v>
      </c>
    </row>
    <row r="133" ht="15.0" customHeight="1">
      <c r="A133" s="129" t="s">
        <v>1475</v>
      </c>
      <c r="B133" s="129" t="s">
        <v>1477</v>
      </c>
      <c r="C133" s="129" t="str">
        <f t="array" ref="C133">XLOOKUP($B133,'🔖 CODES DE RÉFÉRENCE'!$B:$B,'🔖 CODES DE RÉFÉRENCE'!$C:$C,"")</f>
        <v>RELAIS &amp; CHÂTEAUX</v>
      </c>
      <c r="D133" s="129" t="str">
        <f t="array" ref="D133">XLOOKUP($B133,'🔖 CODES DE RÉFÉRENCE'!$B:$B,'🔖 CODES DE RÉFÉRENCE'!$D:$D,"")</f>
        <v>Association internationale d'hôtels &amp; tables d'exception</v>
      </c>
      <c r="E133" s="129" t="s">
        <v>51</v>
      </c>
      <c r="F133" s="129" t="s">
        <v>51</v>
      </c>
      <c r="G133" s="129" t="s">
        <v>51</v>
      </c>
      <c r="H133" s="129" t="s">
        <v>56</v>
      </c>
      <c r="I133" s="129" t="s">
        <v>58</v>
      </c>
      <c r="J133" s="129" t="str">
        <f t="shared" si="1"/>
        <v>LAB-RC — RELAIS &amp; CHÂTEAUX</v>
      </c>
    </row>
    <row r="134" ht="15.0" customHeight="1">
      <c r="A134" s="129" t="s">
        <v>1475</v>
      </c>
      <c r="B134" s="129" t="s">
        <v>1482</v>
      </c>
      <c r="C134" s="129" t="str">
        <f t="array" ref="C134">XLOOKUP($B134,'🔖 CODES DE RÉFÉRENCE'!$B:$B,'🔖 CODES DE RÉFÉRENCE'!$C:$C,"")</f>
        <v>VIRTUOSO</v>
      </c>
      <c r="D134" s="129" t="str">
        <f t="array" ref="D134">XLOOKUP($B134,'🔖 CODES DE RÉFÉRENCE'!$B:$B,'🔖 CODES DE RÉFÉRENCE'!$D:$D,"")</f>
        <v>Réseau prestige d'agences de voyages de luxe</v>
      </c>
      <c r="E134" s="129" t="s">
        <v>51</v>
      </c>
      <c r="F134" s="129" t="s">
        <v>51</v>
      </c>
      <c r="G134" s="129" t="s">
        <v>51</v>
      </c>
      <c r="H134" s="129" t="s">
        <v>56</v>
      </c>
      <c r="I134" s="129" t="s">
        <v>58</v>
      </c>
      <c r="J134" s="129" t="str">
        <f t="shared" si="1"/>
        <v>LAB-VIRT — VIRTUOSO</v>
      </c>
    </row>
    <row r="135" ht="15.0" customHeight="1">
      <c r="A135" s="129" t="s">
        <v>1475</v>
      </c>
      <c r="B135" s="129" t="s">
        <v>1485</v>
      </c>
      <c r="C135" s="129" t="str">
        <f t="array" ref="C135">XLOOKUP($B135,'🔖 CODES DE RÉFÉRENCE'!$B:$B,'🔖 CODES DE RÉFÉRENCE'!$C:$C,"")</f>
        <v>MICHELIN KEY</v>
      </c>
      <c r="D135" s="129" t="str">
        <f t="array" ref="D135">XLOOKUP($B135,'🔖 CODES DE RÉFÉRENCE'!$B:$B,'🔖 CODES DE RÉFÉRENCE'!$D:$D,"")</f>
        <v>Distinction hôtelière du Guide Michelin</v>
      </c>
      <c r="E135" s="129" t="s">
        <v>51</v>
      </c>
      <c r="F135" s="129" t="s">
        <v>51</v>
      </c>
      <c r="G135" s="129" t="s">
        <v>51</v>
      </c>
      <c r="H135" s="129" t="s">
        <v>56</v>
      </c>
      <c r="I135" s="129" t="s">
        <v>58</v>
      </c>
      <c r="J135" s="129" t="str">
        <f t="shared" si="1"/>
        <v>LAB-MICH — MICHELIN KEY</v>
      </c>
    </row>
    <row r="136" ht="15.0" customHeight="1">
      <c r="A136" s="129" t="s">
        <v>1475</v>
      </c>
      <c r="B136" s="129" t="s">
        <v>1489</v>
      </c>
      <c r="C136" s="129" t="str">
        <f t="array" ref="C136">XLOOKUP($B136,'🔖 CODES DE RÉFÉRENCE'!$B:$B,'🔖 CODES DE RÉFÉRENCE'!$C:$C,"")</f>
        <v>MR &amp; MRS SMITH</v>
      </c>
      <c r="D136" s="129" t="str">
        <f t="array" ref="D136">XLOOKUP($B136,'🔖 CODES DE RÉFÉRENCE'!$B:$B,'🔖 CODES DE RÉFÉRENCE'!$D:$D,"")</f>
        <v>Curation hôtels boutique &amp; lifestyle</v>
      </c>
      <c r="E136" s="129" t="s">
        <v>51</v>
      </c>
      <c r="F136" s="129" t="s">
        <v>51</v>
      </c>
      <c r="G136" s="129" t="s">
        <v>51</v>
      </c>
      <c r="H136" s="129" t="s">
        <v>56</v>
      </c>
      <c r="I136" s="129" t="s">
        <v>58</v>
      </c>
      <c r="J136" s="129" t="str">
        <f t="shared" si="1"/>
        <v>LAB-MMS — MR &amp; MRS SMITH</v>
      </c>
    </row>
    <row r="137" ht="15.0" customHeight="1">
      <c r="A137" s="129" t="s">
        <v>1475</v>
      </c>
      <c r="B137" s="129" t="s">
        <v>1500</v>
      </c>
      <c r="C137" s="129" t="str">
        <f t="array" ref="C137">XLOOKUP($B137,'🔖 CODES DE RÉFÉRENCE'!$B:$B,'🔖 CODES DE RÉFÉRENCE'!$C:$C,"")</f>
        <v>TABLET HOTELS</v>
      </c>
      <c r="D137" s="129" t="str">
        <f t="array" ref="D137">XLOOKUP($B137,'🔖 CODES DE RÉFÉRENCE'!$B:$B,'🔖 CODES DE RÉFÉRENCE'!$D:$D,"")</f>
        <v>Curation hôtels design</v>
      </c>
      <c r="E137" s="129" t="s">
        <v>51</v>
      </c>
      <c r="F137" s="129" t="s">
        <v>51</v>
      </c>
      <c r="G137" s="129" t="s">
        <v>51</v>
      </c>
      <c r="H137" s="129" t="s">
        <v>56</v>
      </c>
      <c r="I137" s="129" t="s">
        <v>58</v>
      </c>
      <c r="J137" s="129" t="str">
        <f t="shared" si="1"/>
        <v>LAB-TBL — TABLET HOTELS</v>
      </c>
    </row>
    <row r="138" ht="15.0" customHeight="1">
      <c r="A138" s="129" t="s">
        <v>1475</v>
      </c>
      <c r="B138" s="129" t="s">
        <v>1505</v>
      </c>
      <c r="C138" s="129" t="str">
        <f t="array" ref="C138">XLOOKUP($B138,'🔖 CODES DE RÉFÉRENCE'!$B:$B,'🔖 CODES DE RÉFÉRENCE'!$C:$C,"")</f>
        <v>SMALL LUXURY HOTELS</v>
      </c>
      <c r="D138" s="129" t="str">
        <f t="array" ref="D138">XLOOKUP($B138,'🔖 CODES DE RÉFÉRENCE'!$B:$B,'🔖 CODES DE RÉFÉRENCE'!$D:$D,"")</f>
        <v>Réseau international d'hôtels de luxe indépendants</v>
      </c>
      <c r="E138" s="129" t="s">
        <v>51</v>
      </c>
      <c r="F138" s="129" t="s">
        <v>51</v>
      </c>
      <c r="G138" s="129" t="s">
        <v>51</v>
      </c>
      <c r="H138" s="129" t="s">
        <v>56</v>
      </c>
      <c r="I138" s="129" t="s">
        <v>58</v>
      </c>
      <c r="J138" s="129" t="str">
        <f t="shared" si="1"/>
        <v>LAB-SLH — SMALL LUXURY HOTELS</v>
      </c>
    </row>
    <row r="139" ht="15.0" customHeight="1">
      <c r="A139" s="129" t="s">
        <v>1475</v>
      </c>
      <c r="B139" s="129" t="s">
        <v>1510</v>
      </c>
      <c r="C139" s="129" t="str">
        <f t="array" ref="C139">XLOOKUP($B139,'🔖 CODES DE RÉFÉRENCE'!$B:$B,'🔖 CODES DE RÉFÉRENCE'!$C:$C,"")</f>
        <v>LEADING HOTELS OF THE WORLD</v>
      </c>
      <c r="D139" s="129" t="str">
        <f t="array" ref="D139">XLOOKUP($B139,'🔖 CODES DE RÉFÉRENCE'!$B:$B,'🔖 CODES DE RÉFÉRENCE'!$D:$D,"")</f>
        <v>Réseau international d'hôtels de luxe indépendants</v>
      </c>
      <c r="E139" s="129" t="s">
        <v>51</v>
      </c>
      <c r="F139" s="129" t="s">
        <v>51</v>
      </c>
      <c r="G139" s="129" t="s">
        <v>51</v>
      </c>
      <c r="H139" s="129" t="s">
        <v>56</v>
      </c>
      <c r="I139" s="129" t="s">
        <v>58</v>
      </c>
      <c r="J139" s="129" t="str">
        <f t="shared" si="1"/>
        <v>LAB-LHW — LEADING HOTELS OF THE WORLD</v>
      </c>
    </row>
    <row r="140" ht="15.0" customHeight="1">
      <c r="A140" s="129" t="s">
        <v>1475</v>
      </c>
      <c r="B140" s="129" t="s">
        <v>1519</v>
      </c>
      <c r="C140" s="129" t="str">
        <f t="array" ref="C140">XLOOKUP($B140,'🔖 CODES DE RÉFÉRENCE'!$B:$B,'🔖 CODES DE RÉFÉRENCE'!$C:$C,"")</f>
        <v>CONDÉ NAST</v>
      </c>
      <c r="D140" s="129" t="str">
        <f t="array" ref="D140">XLOOKUP($B140,'🔖 CODES DE RÉFÉRENCE'!$B:$B,'🔖 CODES DE RÉFÉRENCE'!$D:$D,"")</f>
        <v>Reconnaissance presse (Condé Nast Traveler)</v>
      </c>
      <c r="E140" s="129" t="s">
        <v>51</v>
      </c>
      <c r="F140" s="129" t="s">
        <v>51</v>
      </c>
      <c r="G140" s="129" t="s">
        <v>51</v>
      </c>
      <c r="H140" s="129" t="s">
        <v>56</v>
      </c>
      <c r="I140" s="129" t="s">
        <v>58</v>
      </c>
      <c r="J140" s="129" t="str">
        <f t="shared" si="1"/>
        <v>LAB-CN — CONDÉ NAST</v>
      </c>
    </row>
    <row r="141" ht="15.0" customHeight="1">
      <c r="A141" s="129" t="s">
        <v>1475</v>
      </c>
      <c r="B141" s="129" t="s">
        <v>1530</v>
      </c>
      <c r="C141" s="129" t="str">
        <f t="array" ref="C141">XLOOKUP($B141,'🔖 CODES DE RÉFÉRENCE'!$B:$B,'🔖 CODES DE RÉFÉRENCE'!$C:$C,"")</f>
        <v>TRAVEL + LEISURE</v>
      </c>
      <c r="D141" s="129" t="str">
        <f t="array" ref="D141">XLOOKUP($B141,'🔖 CODES DE RÉFÉRENCE'!$B:$B,'🔖 CODES DE RÉFÉRENCE'!$D:$D,"")</f>
        <v>Reconnaissance presse (Travel + Leisure)</v>
      </c>
      <c r="E141" s="129" t="s">
        <v>51</v>
      </c>
      <c r="F141" s="129" t="s">
        <v>51</v>
      </c>
      <c r="G141" s="129" t="s">
        <v>51</v>
      </c>
      <c r="H141" s="129" t="s">
        <v>56</v>
      </c>
      <c r="I141" s="129" t="s">
        <v>58</v>
      </c>
      <c r="J141" s="129" t="str">
        <f t="shared" si="1"/>
        <v>LAB-TL — TRAVEL + LEISURE</v>
      </c>
    </row>
    <row r="142" ht="15.0" customHeight="1">
      <c r="A142" s="22" t="s">
        <v>1541</v>
      </c>
      <c r="B142" s="24" t="s">
        <v>1544</v>
      </c>
      <c r="C142" s="34" t="str">
        <f t="array" ref="C142">XLOOKUP($B142,'🔖 CODES DE RÉFÉRENCE'!$B:$B,'🔖 CODES DE RÉFÉRENCE'!$C:$C,"")</f>
        <v>RIAD PRIVATISABLE</v>
      </c>
      <c r="D142" s="34" t="str">
        <f t="array" ref="D142">XLOOKUP($B142,'🔖 CODES DE RÉFÉRENCE'!$B:$B,'🔖 CODES DE RÉFÉRENCE'!$D:$D,"")</f>
        <v>Intime · Médina · Romantique · Heritage</v>
      </c>
      <c r="E142" s="23" t="s">
        <v>56</v>
      </c>
      <c r="F142" s="23" t="s">
        <v>51</v>
      </c>
      <c r="G142" s="23" t="s">
        <v>51</v>
      </c>
      <c r="H142" s="23" t="s">
        <v>56</v>
      </c>
      <c r="I142" s="23" t="s">
        <v>58</v>
      </c>
      <c r="J142" s="23" t="str">
        <f t="shared" si="1"/>
        <v>EP-RIA — RIAD PRIVATISABLE</v>
      </c>
    </row>
    <row r="143" ht="15.0" customHeight="1">
      <c r="A143" s="22" t="s">
        <v>1541</v>
      </c>
      <c r="B143" s="24" t="s">
        <v>1555</v>
      </c>
      <c r="C143" s="34" t="str">
        <f t="array" ref="C143">XLOOKUP($B143,'🔖 CODES DE RÉFÉRENCE'!$B:$B,'🔖 CODES DE RÉFÉRENCE'!$C:$C,"")</f>
        <v>PALAIS PRIVATISABLE</v>
      </c>
      <c r="D143" s="34" t="str">
        <f t="array" ref="D143">XLOOKUP($B143,'🔖 CODES DE RÉFÉRENCE'!$B:$B,'🔖 CODES DE RÉFÉRENCE'!$D:$D,"")</f>
        <v>Prestige marocain · Cérémonial · Luxe traditionnel</v>
      </c>
      <c r="E143" s="23" t="s">
        <v>56</v>
      </c>
      <c r="F143" s="23" t="s">
        <v>51</v>
      </c>
      <c r="G143" s="23" t="s">
        <v>51</v>
      </c>
      <c r="H143" s="23" t="s">
        <v>56</v>
      </c>
      <c r="I143" s="23" t="s">
        <v>58</v>
      </c>
      <c r="J143" s="23" t="str">
        <f t="shared" si="1"/>
        <v>EP-PAL — PALAIS PRIVATISABLE</v>
      </c>
    </row>
    <row r="144" ht="15.0" customHeight="1">
      <c r="A144" s="22" t="s">
        <v>1541</v>
      </c>
      <c r="B144" s="24" t="s">
        <v>1567</v>
      </c>
      <c r="C144" s="34" t="str">
        <f t="array" ref="C144">XLOOKUP($B144,'🔖 CODES DE RÉFÉRENCE'!$B:$B,'🔖 CODES DE RÉFÉRENCE'!$C:$C,"")</f>
        <v>VILLA PRIVÉE</v>
      </c>
      <c r="D144" s="34" t="str">
        <f t="array" ref="D144">XLOOKUP($B144,'🔖 CODES DE RÉFÉRENCE'!$B:$B,'🔖 CODES DE RÉFÉRENCE'!$D:$D,"")</f>
        <v>Lifestyle · Groupe · Exclusif · Piscine</v>
      </c>
      <c r="E144" s="23" t="s">
        <v>56</v>
      </c>
      <c r="F144" s="23" t="s">
        <v>51</v>
      </c>
      <c r="G144" s="23" t="s">
        <v>51</v>
      </c>
      <c r="H144" s="23" t="s">
        <v>56</v>
      </c>
      <c r="I144" s="23" t="s">
        <v>58</v>
      </c>
      <c r="J144" s="23" t="str">
        <f t="shared" si="1"/>
        <v>EP-VIL — VILLA PRIVÉE</v>
      </c>
    </row>
    <row r="145" ht="15.0" customHeight="1">
      <c r="A145" s="22" t="s">
        <v>1541</v>
      </c>
      <c r="B145" s="24" t="s">
        <v>1579</v>
      </c>
      <c r="C145" s="34" t="str">
        <f t="array" ref="C145">XLOOKUP($B145,'🔖 CODES DE RÉFÉRENCE'!$B:$B,'🔖 CODES DE RÉFÉRENCE'!$C:$C,"")</f>
        <v>DOMAINE PRIVÉ</v>
      </c>
      <c r="D145" s="34" t="str">
        <f t="array" ref="D145">XLOOKUP($B145,'🔖 CODES DE RÉFÉRENCE'!$B:$B,'🔖 CODES DE RÉFÉRENCE'!$D:$D,"")</f>
        <v>Grande capacité · Nature · Signature</v>
      </c>
      <c r="E145" s="23" t="s">
        <v>56</v>
      </c>
      <c r="F145" s="23" t="s">
        <v>51</v>
      </c>
      <c r="G145" s="23" t="s">
        <v>51</v>
      </c>
      <c r="H145" s="23" t="s">
        <v>56</v>
      </c>
      <c r="I145" s="23" t="s">
        <v>58</v>
      </c>
      <c r="J145" s="23" t="str">
        <f t="shared" si="1"/>
        <v>EP-DOM — DOMAINE PRIVÉ</v>
      </c>
    </row>
    <row r="146" ht="15.0" customHeight="1">
      <c r="A146" s="22" t="s">
        <v>1541</v>
      </c>
      <c r="B146" s="24" t="s">
        <v>1586</v>
      </c>
      <c r="C146" s="34" t="str">
        <f t="array" ref="C146">XLOOKUP($B146,'🔖 CODES DE RÉFÉRENCE'!$B:$B,'🔖 CODES DE RÉFÉRENCE'!$C:$C,"")</f>
        <v>TOIT-TERRASSE PRIVATISABLE</v>
      </c>
      <c r="D146" s="34" t="str">
        <f t="array" ref="D146">XLOOKUP($B146,'🔖 CODES DE RÉFÉRENCE'!$B:$B,'🔖 CODES DE RÉFÉRENCE'!$D:$D,"")</f>
        <v>Sunset · Cocktails · Vue · Chic urbain</v>
      </c>
      <c r="E146" s="23" t="s">
        <v>56</v>
      </c>
      <c r="F146" s="23" t="s">
        <v>51</v>
      </c>
      <c r="G146" s="23" t="s">
        <v>51</v>
      </c>
      <c r="H146" s="23" t="s">
        <v>56</v>
      </c>
      <c r="I146" s="23" t="s">
        <v>58</v>
      </c>
      <c r="J146" s="23" t="str">
        <f t="shared" si="1"/>
        <v>EP-ROO — TOIT-TERRASSE PRIVATISABLE</v>
      </c>
    </row>
    <row r="147" ht="15.0" customHeight="1">
      <c r="A147" s="22" t="s">
        <v>1541</v>
      </c>
      <c r="B147" s="24" t="s">
        <v>1594</v>
      </c>
      <c r="C147" s="34" t="str">
        <f t="array" ref="C147">XLOOKUP($B147,'🔖 CODES DE RÉFÉRENCE'!$B:$B,'🔖 CODES DE RÉFÉRENCE'!$C:$C,"")</f>
        <v>RESTAURANT PRIVATISABLE</v>
      </c>
      <c r="D147" s="34" t="str">
        <f t="array" ref="D147">XLOOKUP($B147,'🔖 CODES DE RÉFÉRENCE'!$B:$B,'🔖 CODES DE RÉFÉRENCE'!$D:$D,"")</f>
        <v>Gastronomie · Expérience culinaire</v>
      </c>
      <c r="E147" s="23" t="s">
        <v>56</v>
      </c>
      <c r="F147" s="23" t="s">
        <v>51</v>
      </c>
      <c r="G147" s="23" t="s">
        <v>51</v>
      </c>
      <c r="H147" s="23" t="s">
        <v>56</v>
      </c>
      <c r="I147" s="23" t="s">
        <v>58</v>
      </c>
      <c r="J147" s="23" t="str">
        <f t="shared" si="1"/>
        <v>EP-RES — RESTAURANT PRIVATISABLE</v>
      </c>
    </row>
    <row r="148" ht="15.0" customHeight="1">
      <c r="A148" s="22" t="s">
        <v>1541</v>
      </c>
      <c r="B148" s="24" t="s">
        <v>1601</v>
      </c>
      <c r="C148" s="34" t="str">
        <f t="array" ref="C148">XLOOKUP($B148,'🔖 CODES DE RÉFÉRENCE'!$B:$B,'🔖 CODES DE RÉFÉRENCE'!$C:$C,"")</f>
        <v>PISCINE CLUB PRIVATISABLE</v>
      </c>
      <c r="D148" s="34" t="str">
        <f t="array" ref="D148">XLOOKUP($B148,'🔖 CODES DE RÉFÉRENCE'!$B:$B,'🔖 CODES DE RÉFÉRENCE'!$D:$D,"")</f>
        <v>Lifestyle · Day vibe · DJ · Resort</v>
      </c>
      <c r="E148" s="23" t="s">
        <v>56</v>
      </c>
      <c r="F148" s="23" t="s">
        <v>51</v>
      </c>
      <c r="G148" s="23" t="s">
        <v>51</v>
      </c>
      <c r="H148" s="23" t="s">
        <v>56</v>
      </c>
      <c r="I148" s="23" t="s">
        <v>58</v>
      </c>
      <c r="J148" s="23" t="str">
        <f t="shared" si="1"/>
        <v>EP-POL — PISCINE CLUB PRIVATISABLE</v>
      </c>
    </row>
    <row r="149" ht="15.0" customHeight="1">
      <c r="A149" s="22" t="s">
        <v>1541</v>
      </c>
      <c r="B149" s="24" t="s">
        <v>1611</v>
      </c>
      <c r="C149" s="34" t="str">
        <f t="array" ref="C149">XLOOKUP($B149,'🔖 CODES DE RÉFÉRENCE'!$B:$B,'🔖 CODES DE RÉFÉRENCE'!$C:$C,"")</f>
        <v>CLUB DE PLAGE PRIVATISABLE</v>
      </c>
      <c r="D149" s="34" t="str">
        <f t="array" ref="D149">XLOOKUP($B149,'🔖 CODES DE RÉFÉRENCE'!$B:$B,'🔖 CODES DE RÉFÉRENCE'!$D:$D,"")</f>
        <v>Festif · Sunset · Bord de mer</v>
      </c>
      <c r="E149" s="23" t="s">
        <v>56</v>
      </c>
      <c r="F149" s="23" t="s">
        <v>51</v>
      </c>
      <c r="G149" s="23" t="s">
        <v>51</v>
      </c>
      <c r="H149" s="23" t="s">
        <v>56</v>
      </c>
      <c r="I149" s="23" t="s">
        <v>58</v>
      </c>
      <c r="J149" s="23" t="str">
        <f t="shared" si="1"/>
        <v>EP-BEA — CLUB DE PLAGE PRIVATISABLE</v>
      </c>
    </row>
    <row r="150" ht="15.0" customHeight="1">
      <c r="A150" s="22" t="s">
        <v>1541</v>
      </c>
      <c r="B150" s="24" t="s">
        <v>1620</v>
      </c>
      <c r="C150" s="34" t="str">
        <f t="array" ref="C150">XLOOKUP($B150,'🔖 CODES DE RÉFÉRENCE'!$B:$B,'🔖 CODES DE RÉFÉRENCE'!$C:$C,"")</f>
        <v>BIVOUAC PRIVATISABLE</v>
      </c>
      <c r="D150" s="34" t="str">
        <f t="array" ref="D150">XLOOKUP($B150,'🔖 CODES DE RÉFÉRENCE'!$B:$B,'🔖 CODES DE RÉFÉRENCE'!$D:$D,"")</f>
        <v>Bohème chic · Immersion · Nomade</v>
      </c>
      <c r="E150" s="23" t="s">
        <v>56</v>
      </c>
      <c r="F150" s="23" t="s">
        <v>51</v>
      </c>
      <c r="G150" s="23" t="s">
        <v>51</v>
      </c>
      <c r="H150" s="23" t="s">
        <v>56</v>
      </c>
      <c r="I150" s="23" t="s">
        <v>58</v>
      </c>
      <c r="J150" s="23" t="str">
        <f t="shared" si="1"/>
        <v>EP-BIV — BIVOUAC PRIVATISABLE</v>
      </c>
    </row>
    <row r="151" ht="15.0" customHeight="1">
      <c r="A151" s="22" t="s">
        <v>1541</v>
      </c>
      <c r="B151" s="24" t="s">
        <v>1629</v>
      </c>
      <c r="C151" s="34" t="str">
        <f t="array" ref="C151">XLOOKUP($B151,'🔖 CODES DE RÉFÉRENCE'!$B:$B,'🔖 CODES DE RÉFÉRENCE'!$C:$C,"")</f>
        <v>JARDIN PRIVATISABLE</v>
      </c>
      <c r="D151" s="34" t="str">
        <f t="array" ref="D151">XLOOKUP($B151,'🔖 CODES DE RÉFÉRENCE'!$B:$B,'🔖 CODES DE RÉFÉRENCE'!$D:$D,"")</f>
        <v>Élégant · Familial · Nature</v>
      </c>
      <c r="E151" s="23" t="s">
        <v>56</v>
      </c>
      <c r="F151" s="23" t="s">
        <v>51</v>
      </c>
      <c r="G151" s="23" t="s">
        <v>51</v>
      </c>
      <c r="H151" s="23" t="s">
        <v>56</v>
      </c>
      <c r="I151" s="23" t="s">
        <v>58</v>
      </c>
      <c r="J151" s="23" t="str">
        <f t="shared" si="1"/>
        <v>EP-JAR — JARDIN PRIVATISABLE</v>
      </c>
    </row>
    <row r="152" ht="15.0" customHeight="1">
      <c r="A152" s="22" t="s">
        <v>1541</v>
      </c>
      <c r="B152" s="24" t="s">
        <v>1635</v>
      </c>
      <c r="C152" s="34" t="str">
        <f t="array" ref="C152">XLOOKUP($B152,'🔖 CODES DE RÉFÉRENCE'!$B:$B,'🔖 CODES DE RÉFÉRENCE'!$C:$C,"")</f>
        <v>SALLE DE RÉCEPTION</v>
      </c>
      <c r="D152" s="34" t="str">
        <f t="array" ref="D152">XLOOKUP($B152,'🔖 CODES DE RÉFÉRENCE'!$B:$B,'🔖 CODES DE RÉFÉRENCE'!$D:$D,"")</f>
        <v>Événementiel classique</v>
      </c>
      <c r="E152" s="23" t="s">
        <v>56</v>
      </c>
      <c r="F152" s="23" t="s">
        <v>51</v>
      </c>
      <c r="G152" s="23" t="s">
        <v>51</v>
      </c>
      <c r="H152" s="23" t="s">
        <v>56</v>
      </c>
      <c r="I152" s="23" t="s">
        <v>58</v>
      </c>
      <c r="J152" s="23" t="str">
        <f t="shared" si="1"/>
        <v>EP-REC — SALLE DE RÉCEPTION</v>
      </c>
    </row>
    <row r="153" ht="15.0" customHeight="1">
      <c r="A153" s="22" t="s">
        <v>1541</v>
      </c>
      <c r="B153" s="24" t="s">
        <v>1645</v>
      </c>
      <c r="C153" s="34" t="str">
        <f t="array" ref="C153">XLOOKUP($B153,'🔖 CODES DE RÉFÉRENCE'!$B:$B,'🔖 CODES DE RÉFÉRENCE'!$C:$C,"")</f>
        <v>SALLE DE SÉMINAIRE</v>
      </c>
      <c r="D153" s="34" t="str">
        <f t="array" ref="D153">XLOOKUP($B153,'🔖 CODES DE RÉFÉRENCE'!$B:$B,'🔖 CODES DE RÉFÉRENCE'!$D:$D,"")</f>
        <v>Corporate · Business</v>
      </c>
      <c r="E153" s="23" t="s">
        <v>56</v>
      </c>
      <c r="F153" s="23" t="s">
        <v>51</v>
      </c>
      <c r="G153" s="23" t="s">
        <v>51</v>
      </c>
      <c r="H153" s="23" t="s">
        <v>56</v>
      </c>
      <c r="I153" s="23" t="s">
        <v>58</v>
      </c>
      <c r="J153" s="23" t="str">
        <f t="shared" si="1"/>
        <v>EP-SEM — SALLE DE SÉMINAIRE</v>
      </c>
    </row>
    <row r="154" ht="15.0" customHeight="1">
      <c r="A154" s="22" t="s">
        <v>1541</v>
      </c>
      <c r="B154" s="24" t="s">
        <v>1655</v>
      </c>
      <c r="C154" s="34" t="str">
        <f t="array" ref="C154">XLOOKUP($B154,'🔖 CODES DE RÉFÉRENCE'!$B:$B,'🔖 CODES DE RÉFÉRENCE'!$C:$C,"")</f>
        <v>SPA / HAMMAM PRIVATISABLE</v>
      </c>
      <c r="D154" s="34" t="str">
        <f t="array" ref="D154">XLOOKUP($B154,'🔖 CODES DE RÉFÉRENCE'!$B:$B,'🔖 CODES DE RÉFÉRENCE'!$D:$D,"")</f>
        <v>Bien-être · Détente · VIP</v>
      </c>
      <c r="E154" s="23" t="s">
        <v>56</v>
      </c>
      <c r="F154" s="23" t="s">
        <v>51</v>
      </c>
      <c r="G154" s="23" t="s">
        <v>51</v>
      </c>
      <c r="H154" s="23" t="s">
        <v>56</v>
      </c>
      <c r="I154" s="23" t="s">
        <v>58</v>
      </c>
      <c r="J154" s="23" t="str">
        <f t="shared" si="1"/>
        <v>EP-SPA — SPA / HAMMAM PRIVATISABLE</v>
      </c>
    </row>
    <row r="155" ht="15.0" customHeight="1">
      <c r="A155" s="22" t="s">
        <v>1541</v>
      </c>
      <c r="B155" s="24" t="s">
        <v>1665</v>
      </c>
      <c r="C155" s="34" t="str">
        <f t="array" ref="C155">XLOOKUP($B155,'🔖 CODES DE RÉFÉRENCE'!$B:$B,'🔖 CODES DE RÉFÉRENCE'!$C:$C,"")</f>
        <v>GALERIE D'ART PRIVATISABLE</v>
      </c>
      <c r="D155" s="34" t="str">
        <f t="array" ref="D155">XLOOKUP($B155,'🔖 CODES DE RÉFÉRENCE'!$B:$B,'🔖 CODES DE RÉFÉRENCE'!$D:$D,"")</f>
        <v>Culturel · Expositions · Vernissages</v>
      </c>
      <c r="E155" s="23" t="s">
        <v>56</v>
      </c>
      <c r="F155" s="23" t="s">
        <v>51</v>
      </c>
      <c r="G155" s="23" t="s">
        <v>51</v>
      </c>
      <c r="H155" s="23" t="s">
        <v>56</v>
      </c>
      <c r="I155" s="23" t="s">
        <v>58</v>
      </c>
      <c r="J155" s="23" t="str">
        <f t="shared" si="1"/>
        <v>EP-GAL — GALERIE D'ART PRIVATISABLE</v>
      </c>
    </row>
    <row r="156" ht="15.0" customHeight="1">
      <c r="A156" s="22" t="s">
        <v>1541</v>
      </c>
      <c r="B156" s="24" t="s">
        <v>1673</v>
      </c>
      <c r="C156" s="34" t="str">
        <f t="array" ref="C156">XLOOKUP($B156,'🔖 CODES DE RÉFÉRENCE'!$B:$B,'🔖 CODES DE RÉFÉRENCE'!$C:$C,"")</f>
        <v>YACHT / BATEAU PRIVATISABLE</v>
      </c>
      <c r="D156" s="34" t="str">
        <f t="array" ref="D156">XLOOKUP($B156,'🔖 CODES DE RÉFÉRENCE'!$B:$B,'🔖 CODES DE RÉFÉRENCE'!$D:$D,"")</f>
        <v>Nautique · Exclusif · Sunset en mer</v>
      </c>
      <c r="E156" s="23" t="s">
        <v>56</v>
      </c>
      <c r="F156" s="23" t="s">
        <v>51</v>
      </c>
      <c r="G156" s="23" t="s">
        <v>51</v>
      </c>
      <c r="H156" s="23" t="s">
        <v>56</v>
      </c>
      <c r="I156" s="23" t="s">
        <v>58</v>
      </c>
      <c r="J156" s="23" t="str">
        <f t="shared" si="1"/>
        <v>EP-YAC — YACHT / BATEAU PRIVATISABLE</v>
      </c>
    </row>
    <row r="157" ht="15.0" customHeight="1">
      <c r="A157" s="22" t="s">
        <v>1541</v>
      </c>
      <c r="B157" s="24" t="s">
        <v>1684</v>
      </c>
      <c r="C157" s="34" t="str">
        <f t="array" ref="C157">XLOOKUP($B157,'🔖 CODES DE RÉFÉRENCE'!$B:$B,'🔖 CODES DE RÉFÉRENCE'!$C:$C,"")</f>
        <v>ESPACE ÉVÉNEMENTIEL POLYVALENT</v>
      </c>
      <c r="D157" s="34" t="str">
        <f t="array" ref="D157">XLOOKUP($B157,'🔖 CODES DE RÉFÉRENCE'!$B:$B,'🔖 CODES DE RÉFÉRENCE'!$D:$D,"")</f>
        <v>Modulable · Grande capacité · Multi-usage</v>
      </c>
      <c r="E157" s="23" t="s">
        <v>56</v>
      </c>
      <c r="F157" s="23" t="s">
        <v>51</v>
      </c>
      <c r="G157" s="23" t="s">
        <v>51</v>
      </c>
      <c r="H157" s="23" t="s">
        <v>56</v>
      </c>
      <c r="I157" s="23" t="s">
        <v>58</v>
      </c>
      <c r="J157" s="23" t="str">
        <f t="shared" si="1"/>
        <v>EP-EVT — ESPACE ÉVÉNEMENTIEL POLYVALENT</v>
      </c>
    </row>
    <row r="158" ht="15.0" customHeight="1">
      <c r="A158" s="22" t="s">
        <v>1719</v>
      </c>
      <c r="B158" s="24" t="s">
        <v>1721</v>
      </c>
      <c r="C158" s="34" t="str">
        <f t="array" ref="C158">XLOOKUP($B158,'🔖 CODES DE RÉFÉRENCE'!$B:$B,'🔖 CODES DE RÉFÉRENCE'!$C:$C,"")</f>
        <v>SOLO</v>
      </c>
      <c r="D158" s="34" t="str">
        <f t="array" ref="D158">XLOOKUP($B158,'🔖 CODES DE RÉFÉRENCE'!$B:$B,'🔖 CODES DE RÉFÉRENCE'!$D:$D,"")</f>
        <v>1 voyageur</v>
      </c>
      <c r="E158" s="23" t="s">
        <v>56</v>
      </c>
      <c r="F158" s="23" t="s">
        <v>56</v>
      </c>
      <c r="G158" s="23" t="s">
        <v>51</v>
      </c>
      <c r="H158" s="23" t="s">
        <v>56</v>
      </c>
      <c r="I158" s="23" t="s">
        <v>58</v>
      </c>
      <c r="J158" s="23" t="str">
        <f t="shared" si="1"/>
        <v>TV-SOL — SOLO</v>
      </c>
    </row>
    <row r="159" ht="15.0" customHeight="1">
      <c r="A159" s="22" t="s">
        <v>1719</v>
      </c>
      <c r="B159" s="24" t="s">
        <v>1730</v>
      </c>
      <c r="C159" s="34" t="str">
        <f t="array" ref="C159">XLOOKUP($B159,'🔖 CODES DE RÉFÉRENCE'!$B:$B,'🔖 CODES DE RÉFÉRENCE'!$C:$C,"")</f>
        <v>COUPLE</v>
      </c>
      <c r="D159" s="34" t="str">
        <f t="array" ref="D159">XLOOKUP($B159,'🔖 CODES DE RÉFÉRENCE'!$B:$B,'🔖 CODES DE RÉFÉRENCE'!$D:$D,"")</f>
        <v>2 voyageurs</v>
      </c>
      <c r="E159" s="23" t="s">
        <v>56</v>
      </c>
      <c r="F159" s="23" t="s">
        <v>56</v>
      </c>
      <c r="G159" s="23" t="s">
        <v>51</v>
      </c>
      <c r="H159" s="23" t="s">
        <v>56</v>
      </c>
      <c r="I159" s="23" t="s">
        <v>58</v>
      </c>
      <c r="J159" s="23" t="str">
        <f t="shared" si="1"/>
        <v>TV-CPL — COUPLE</v>
      </c>
    </row>
    <row r="160" ht="15.0" customHeight="1">
      <c r="A160" s="22" t="s">
        <v>1719</v>
      </c>
      <c r="B160" s="24" t="s">
        <v>1736</v>
      </c>
      <c r="C160" s="34" t="str">
        <f t="array" ref="C160">XLOOKUP($B160,'🔖 CODES DE RÉFÉRENCE'!$B:$B,'🔖 CODES DE RÉFÉRENCE'!$C:$C,"")</f>
        <v>GROUPE</v>
      </c>
      <c r="D160" s="34" t="str">
        <f t="array" ref="D160">XLOOKUP($B160,'🔖 CODES DE RÉFÉRENCE'!$B:$B,'🔖 CODES DE RÉFÉRENCE'!$D:$D,"")</f>
        <v>3 voyageurs et +</v>
      </c>
      <c r="E160" s="23" t="s">
        <v>56</v>
      </c>
      <c r="F160" s="23" t="s">
        <v>56</v>
      </c>
      <c r="G160" s="23" t="s">
        <v>51</v>
      </c>
      <c r="H160" s="23" t="s">
        <v>56</v>
      </c>
      <c r="I160" s="23" t="s">
        <v>58</v>
      </c>
      <c r="J160" s="23" t="str">
        <f t="shared" si="1"/>
        <v>TV-GRP — GROUPE</v>
      </c>
    </row>
    <row r="161" ht="15.0" customHeight="1">
      <c r="A161" s="22" t="s">
        <v>1846</v>
      </c>
      <c r="B161" s="24" t="s">
        <v>1847</v>
      </c>
      <c r="C161" s="34" t="str">
        <f t="array" ref="C161">XLOOKUP($B161,'🔖 CODES DE RÉFÉRENCE'!$B:$B,'🔖 CODES DE RÉFÉRENCE'!$C:$C,"")</f>
        <v>INSTITUTION</v>
      </c>
      <c r="D161" s="34" t="str">
        <f t="array" ref="D161">XLOOKUP($B161,'🔖 CODES DE RÉFÉRENCE'!$B:$B,'🔖 CODES DE RÉFÉRENCE'!$D:$D,"")</f>
        <v>15+ ans · « Adresse mythique · 100 ans d'histoire »</v>
      </c>
      <c r="E161" s="23" t="s">
        <v>56</v>
      </c>
      <c r="F161" s="23" t="s">
        <v>56</v>
      </c>
      <c r="G161" s="23" t="s">
        <v>51</v>
      </c>
      <c r="H161" s="23" t="s">
        <v>56</v>
      </c>
      <c r="I161" s="23" t="s">
        <v>58</v>
      </c>
      <c r="J161" s="23" t="str">
        <f t="shared" si="1"/>
        <v>ANC-INST — INSTITUTION</v>
      </c>
    </row>
    <row r="162" ht="15.0" customHeight="1">
      <c r="A162" s="22" t="s">
        <v>1846</v>
      </c>
      <c r="B162" s="24" t="s">
        <v>1859</v>
      </c>
      <c r="C162" s="34" t="str">
        <f t="array" ref="C162">XLOOKUP($B162,'🔖 CODES DE RÉFÉRENCE'!$B:$B,'🔖 CODES DE RÉFÉRENCE'!$C:$C,"")</f>
        <v>NOUVEAU SPOT</v>
      </c>
      <c r="D162" s="34" t="str">
        <f t="array" ref="D162">XLOOKUP($B162,'🔖 CODES DE RÉFÉRENCE'!$B:$B,'🔖 CODES DE RÉFÉRENCE'!$D:$D,"")</f>
        <v>&lt; 3 ans · « Nouvelle découverte · à tester en avant-première »</v>
      </c>
      <c r="E162" s="23" t="s">
        <v>56</v>
      </c>
      <c r="F162" s="23" t="s">
        <v>56</v>
      </c>
      <c r="G162" s="23" t="s">
        <v>51</v>
      </c>
      <c r="H162" s="23" t="s">
        <v>56</v>
      </c>
      <c r="I162" s="23" t="s">
        <v>58</v>
      </c>
      <c r="J162" s="23" t="str">
        <f t="shared" si="1"/>
        <v>ANC-NEW — NOUVEAU SPOT</v>
      </c>
    </row>
    <row r="163" ht="15.0" customHeight="1">
      <c r="A163" s="22" t="s">
        <v>456</v>
      </c>
      <c r="B163" s="24" t="s">
        <v>459</v>
      </c>
      <c r="C163" s="34" t="str">
        <f t="array" ref="C163">XLOOKUP($B163,'🔖 CODES DE RÉFÉRENCE'!$B:$B,'🔖 CODES DE RÉFÉRENCE'!$C:$C,"")</f>
        <v>🔔 UNE CLOCHE</v>
      </c>
      <c r="D163" s="34" t="str">
        <f t="array" ref="D163">XLOOKUP($B163,'🔖 CODES DE RÉFÉRENCE'!$B:$B,'🔖 CODES DE RÉFÉRENCE'!$D:$D,"")</f>
        <v>Note finale 0 – 2,0 · Hors standard / non retenu</v>
      </c>
      <c r="E163" s="23" t="s">
        <v>56</v>
      </c>
      <c r="F163" s="23" t="s">
        <v>56</v>
      </c>
      <c r="G163" s="23" t="s">
        <v>51</v>
      </c>
      <c r="H163" s="23" t="s">
        <v>56</v>
      </c>
      <c r="I163" s="23" t="s">
        <v>58</v>
      </c>
      <c r="J163" s="23" t="str">
        <f t="shared" si="1"/>
        <v>LVL-1 — 🔔 UNE CLOCHE</v>
      </c>
    </row>
    <row r="164" ht="15.0" customHeight="1">
      <c r="A164" s="22" t="s">
        <v>456</v>
      </c>
      <c r="B164" s="24" t="s">
        <v>465</v>
      </c>
      <c r="C164" s="34" t="str">
        <f t="array" ref="C164">XLOOKUP($B164,'🔖 CODES DE RÉFÉRENCE'!$B:$B,'🔖 CODES DE RÉFÉRENCE'!$C:$C,"")</f>
        <v>🔔🔔 DEUX CLOCHES</v>
      </c>
      <c r="D164" s="34" t="str">
        <f t="array" ref="D164">XLOOKUP($B164,'🔖 CODES DE RÉFÉRENCE'!$B:$B,'🔖 CODES DE RÉFÉRENCE'!$D:$D,"")</f>
        <v>Note finale 2,1 – 3,5 · Correct sans plus</v>
      </c>
      <c r="E164" s="23" t="s">
        <v>56</v>
      </c>
      <c r="F164" s="23" t="s">
        <v>56</v>
      </c>
      <c r="G164" s="23" t="s">
        <v>51</v>
      </c>
      <c r="H164" s="23" t="s">
        <v>56</v>
      </c>
      <c r="I164" s="23" t="s">
        <v>58</v>
      </c>
      <c r="J164" s="23" t="str">
        <f t="shared" si="1"/>
        <v>LVL-2 — 🔔🔔 DEUX CLOCHES</v>
      </c>
    </row>
    <row r="165" ht="15.0" customHeight="1">
      <c r="A165" s="22" t="s">
        <v>456</v>
      </c>
      <c r="B165" s="24" t="s">
        <v>473</v>
      </c>
      <c r="C165" s="34" t="str">
        <f t="array" ref="C165">XLOOKUP($B165,'🔖 CODES DE RÉFÉRENCE'!$B:$B,'🔖 CODES DE RÉFÉRENCE'!$C:$C,"")</f>
        <v>🔔🔔🔔 TROIS CLOCHES</v>
      </c>
      <c r="D165" s="34" t="str">
        <f t="array" ref="D165">XLOOKUP($B165,'🔖 CODES DE RÉFÉRENCE'!$B:$B,'🔖 CODES DE RÉFÉRENCE'!$D:$D,"")</f>
        <v>Note finale 3,6 – 4,0 · Bonne adresse</v>
      </c>
      <c r="E165" s="23" t="s">
        <v>56</v>
      </c>
      <c r="F165" s="23" t="s">
        <v>56</v>
      </c>
      <c r="G165" s="23" t="s">
        <v>51</v>
      </c>
      <c r="H165" s="23" t="s">
        <v>56</v>
      </c>
      <c r="I165" s="23" t="s">
        <v>58</v>
      </c>
      <c r="J165" s="23" t="str">
        <f t="shared" si="1"/>
        <v>LVL-3 — 🔔🔔🔔 TROIS CLOCHES</v>
      </c>
    </row>
    <row r="166" ht="15.0" customHeight="1">
      <c r="A166" s="22" t="s">
        <v>456</v>
      </c>
      <c r="B166" s="24" t="s">
        <v>479</v>
      </c>
      <c r="C166" s="34" t="str">
        <f t="array" ref="C166">XLOOKUP($B166,'🔖 CODES DE RÉFÉRENCE'!$B:$B,'🔖 CODES DE RÉFÉRENCE'!$C:$C,"")</f>
        <v>🔔🔔🔔🔔 QUATRE CLOCHES</v>
      </c>
      <c r="D166" s="34" t="str">
        <f t="array" ref="D166">XLOOKUP($B166,'🔖 CODES DE RÉFÉRENCE'!$B:$B,'🔖 CODES DE RÉFÉRENCE'!$D:$D,"")</f>
        <v>Note finale 4,1 – 4,5 · Exceptionnel</v>
      </c>
      <c r="E166" s="23" t="s">
        <v>56</v>
      </c>
      <c r="F166" s="23" t="s">
        <v>56</v>
      </c>
      <c r="G166" s="23" t="s">
        <v>51</v>
      </c>
      <c r="H166" s="23" t="s">
        <v>56</v>
      </c>
      <c r="I166" s="23" t="s">
        <v>58</v>
      </c>
      <c r="J166" s="23" t="str">
        <f t="shared" si="1"/>
        <v>LVL-4 — 🔔🔔🔔🔔 QUATRE CLOCHES</v>
      </c>
    </row>
    <row r="167" ht="15.0" customHeight="1">
      <c r="A167" s="22" t="s">
        <v>456</v>
      </c>
      <c r="B167" s="24" t="s">
        <v>487</v>
      </c>
      <c r="C167" s="34" t="str">
        <f t="array" ref="C167">XLOOKUP($B167,'🔖 CODES DE RÉFÉRENCE'!$B:$B,'🔖 CODES DE RÉFÉRENCE'!$C:$C,"")</f>
        <v>🔔🔔🔔🔔🔔 CINQ CLOCHES</v>
      </c>
      <c r="D167" s="34" t="str">
        <f t="array" ref="D167">XLOOKUP($B167,'🔖 CODES DE RÉFÉRENCE'!$B:$B,'🔖 CODES DE RÉFÉRENCE'!$D:$D,"")</f>
        <v>Note finale 4,6 – 5,0 · Ultime / signature mondiale</v>
      </c>
      <c r="E167" s="23" t="s">
        <v>56</v>
      </c>
      <c r="F167" s="23" t="s">
        <v>56</v>
      </c>
      <c r="G167" s="23" t="s">
        <v>51</v>
      </c>
      <c r="H167" s="23" t="s">
        <v>56</v>
      </c>
      <c r="I167" s="23" t="s">
        <v>58</v>
      </c>
      <c r="J167" s="23" t="str">
        <f t="shared" si="1"/>
        <v>LVL-5 — 🔔🔔🔔🔔🔔 CINQ CLOCHES</v>
      </c>
    </row>
    <row r="168" ht="15.0" customHeight="1">
      <c r="A168" s="23" t="s">
        <v>22</v>
      </c>
      <c r="B168" s="23" t="s">
        <v>492</v>
      </c>
      <c r="C168" s="23" t="str">
        <f t="array" ref="C168">XLOOKUP($B168,'🔖 CODES DE RÉFÉRENCE'!$B:$B,'🔖 CODES DE RÉFÉRENCE'!$C:$C,"")</f>
        <v>DÉVERSÉ</v>
      </c>
      <c r="D168" s="23" t="str">
        <f t="array" ref="D168">XLOOKUP($B168,'🔖 CODES DE RÉFÉRENCE'!$B:$B,'🔖 CODES DE RÉFÉRENCE'!$D:$D,"")</f>
        <v>Vient d'être ingéré · 0 évaluation · pas dans la matrice</v>
      </c>
      <c r="E168" s="23" t="s">
        <v>56</v>
      </c>
      <c r="F168" s="23" t="s">
        <v>56</v>
      </c>
      <c r="G168" s="23" t="s">
        <v>51</v>
      </c>
      <c r="H168" s="23" t="s">
        <v>56</v>
      </c>
      <c r="I168" s="23" t="s">
        <v>58</v>
      </c>
      <c r="J168" s="23" t="str">
        <f t="shared" si="1"/>
        <v>STATUT-DEV — DÉVERSÉ</v>
      </c>
    </row>
    <row r="169" ht="15.0" customHeight="1">
      <c r="A169" s="23" t="s">
        <v>22</v>
      </c>
      <c r="B169" s="23" t="s">
        <v>501</v>
      </c>
      <c r="C169" s="23" t="str">
        <f t="array" ref="C169">XLOOKUP($B169,'🔖 CODES DE RÉFÉRENCE'!$B:$B,'🔖 CODES DE RÉFÉRENCE'!$C:$C,"")</f>
        <v>EN ÉVALUATION</v>
      </c>
      <c r="D169" s="23" t="str">
        <f t="array" ref="D169">XLOOKUP($B169,'🔖 CODES DE RÉFÉRENCE'!$B:$B,'🔖 CODES DE RÉFÉRENCE'!$D:$D,"")</f>
        <v>Visite SOLY programmée · coef en cours</v>
      </c>
      <c r="E169" s="23" t="s">
        <v>56</v>
      </c>
      <c r="F169" s="23" t="s">
        <v>56</v>
      </c>
      <c r="G169" s="23" t="s">
        <v>51</v>
      </c>
      <c r="H169" s="23" t="s">
        <v>56</v>
      </c>
      <c r="I169" s="23" t="s">
        <v>58</v>
      </c>
      <c r="J169" s="23" t="str">
        <f t="shared" si="1"/>
        <v>STATUT-EVA — EN ÉVALUATION</v>
      </c>
    </row>
    <row r="170" ht="15.0" customHeight="1">
      <c r="A170" s="23" t="s">
        <v>22</v>
      </c>
      <c r="B170" s="23" t="s">
        <v>507</v>
      </c>
      <c r="C170" s="23" t="str">
        <f t="array" ref="C170">XLOOKUP($B170,'🔖 CODES DE RÉFÉRENCE'!$B:$B,'🔖 CODES DE RÉFÉRENCE'!$C:$C,"")</f>
        <v>QUALIFIÉ</v>
      </c>
      <c r="D170" s="23" t="str">
        <f t="array" ref="D170">XLOOKUP($B170,'🔖 CODES DE RÉFÉRENCE'!$B:$B,'🔖 CODES DE RÉFÉRENCE'!$D:$D,"")</f>
        <v>Coef attribué · LVL calculé · cloches visibles · dans la matrice</v>
      </c>
      <c r="E170" s="23" t="s">
        <v>56</v>
      </c>
      <c r="F170" s="23" t="s">
        <v>56</v>
      </c>
      <c r="G170" s="23" t="s">
        <v>51</v>
      </c>
      <c r="H170" s="23" t="s">
        <v>56</v>
      </c>
      <c r="I170" s="23" t="s">
        <v>58</v>
      </c>
      <c r="J170" s="23" t="str">
        <f t="shared" si="1"/>
        <v>STATUT-QUA — QUALIFIÉ</v>
      </c>
    </row>
    <row r="171" ht="15.0" customHeight="1">
      <c r="A171" s="23" t="s">
        <v>22</v>
      </c>
      <c r="B171" s="23" t="s">
        <v>515</v>
      </c>
      <c r="C171" s="23" t="str">
        <f t="array" ref="C171">XLOOKUP($B171,'🔖 CODES DE RÉFÉRENCE'!$B:$B,'🔖 CODES DE RÉFÉRENCE'!$C:$C,"")</f>
        <v>DÉRÉFÉRENCÉ</v>
      </c>
      <c r="D171" s="23" t="str">
        <f t="array" ref="D171">XLOOKUP($B171,'🔖 CODES DE RÉFÉRENCE'!$B:$B,'🔖 CODES DE RÉFÉRENCE'!$D:$D,"")</f>
        <v>Archivé · note dégradée ou arrêt collaboration · plus dans la matrice</v>
      </c>
      <c r="E171" s="23" t="s">
        <v>56</v>
      </c>
      <c r="F171" s="23" t="s">
        <v>56</v>
      </c>
      <c r="G171" s="23" t="s">
        <v>51</v>
      </c>
      <c r="H171" s="23" t="s">
        <v>56</v>
      </c>
      <c r="I171" s="23" t="s">
        <v>58</v>
      </c>
      <c r="J171" s="23" t="str">
        <f t="shared" si="1"/>
        <v>STATUT-DER — DÉRÉFÉRENCÉ</v>
      </c>
    </row>
    <row r="172" ht="15.0" customHeight="1">
      <c r="A172" s="206" t="s">
        <v>1432</v>
      </c>
      <c r="B172" s="207" t="s">
        <v>1434</v>
      </c>
      <c r="C172" s="208" t="str">
        <f t="array" ref="C172">XLOOKUP($B172,'🔖 CODES DE RÉFÉRENCE'!$B:$B,'🔖 CODES DE RÉFÉRENCE'!$C:$C,"")</f>
        <v>GOOGLE</v>
      </c>
      <c r="D172" s="208" t="str">
        <f t="array" ref="D172">XLOOKUP($B172,'🔖 CODES DE RÉFÉRENCE'!$B:$B,'🔖 CODES DE RÉFÉRENCE'!$D:$D,"")</f>
        <v>Note /5 + nombre d'avis · satisfaction réelle</v>
      </c>
      <c r="E172" s="13" t="s">
        <v>51</v>
      </c>
      <c r="F172" s="13" t="s">
        <v>51</v>
      </c>
      <c r="G172" s="13" t="s">
        <v>51</v>
      </c>
      <c r="H172" s="13" t="s">
        <v>51</v>
      </c>
      <c r="I172" s="13" t="s">
        <v>58</v>
      </c>
      <c r="J172" s="47" t="str">
        <f t="shared" si="1"/>
        <v>RAT-GOO — GOOGLE</v>
      </c>
    </row>
    <row r="173" ht="15.0" customHeight="1">
      <c r="A173" s="206" t="s">
        <v>1432</v>
      </c>
      <c r="B173" s="207" t="s">
        <v>1445</v>
      </c>
      <c r="C173" s="208" t="str">
        <f t="array" ref="C173">XLOOKUP($B173,'🔖 CODES DE RÉFÉRENCE'!$B:$B,'🔖 CODES DE RÉFÉRENCE'!$C:$C,"")</f>
        <v>TRIPADVISOR</v>
      </c>
      <c r="D173" s="208" t="str">
        <f t="array" ref="D173">XLOOKUP($B173,'🔖 CODES DE RÉFÉRENCE'!$B:$B,'🔖 CODES DE RÉFÉRENCE'!$D:$D,"")</f>
        <v>Note /5 + nombre d'avis</v>
      </c>
      <c r="E173" s="13" t="s">
        <v>51</v>
      </c>
      <c r="F173" s="13" t="s">
        <v>51</v>
      </c>
      <c r="G173" s="13" t="s">
        <v>51</v>
      </c>
      <c r="H173" s="13" t="s">
        <v>51</v>
      </c>
      <c r="I173" s="13" t="s">
        <v>58</v>
      </c>
      <c r="J173" s="47" t="str">
        <f t="shared" si="1"/>
        <v>RAT-TRI — TRIPADVISOR</v>
      </c>
    </row>
    <row r="174" ht="15.0" customHeight="1">
      <c r="A174" s="206" t="s">
        <v>1432</v>
      </c>
      <c r="B174" s="207" t="s">
        <v>1456</v>
      </c>
      <c r="C174" s="208" t="str">
        <f t="array" ref="C174">XLOOKUP($B174,'🔖 CODES DE RÉFÉRENCE'!$B:$B,'🔖 CODES DE RÉFÉRENCE'!$C:$C,"")</f>
        <v>BOOKING</v>
      </c>
      <c r="D174" s="208" t="str">
        <f t="array" ref="D174">XLOOKUP($B174,'🔖 CODES DE RÉFÉRENCE'!$B:$B,'🔖 CODES DE RÉFÉRENCE'!$D:$D,"")</f>
        <v>Note /10 + nombre d'avis</v>
      </c>
      <c r="E174" s="13" t="s">
        <v>51</v>
      </c>
      <c r="F174" s="13" t="s">
        <v>51</v>
      </c>
      <c r="G174" s="13" t="s">
        <v>51</v>
      </c>
      <c r="H174" s="13" t="s">
        <v>51</v>
      </c>
      <c r="I174" s="13" t="s">
        <v>58</v>
      </c>
      <c r="J174" s="47" t="str">
        <f t="shared" si="1"/>
        <v>RAT-BOO — BOOKING</v>
      </c>
    </row>
    <row r="175" ht="14.25" customHeight="1">
      <c r="A175" s="206" t="s">
        <v>1432</v>
      </c>
      <c r="B175" s="207" t="s">
        <v>1461</v>
      </c>
      <c r="C175" s="208" t="str">
        <f t="array" ref="C175">XLOOKUP($B175,'🔖 CODES DE RÉFÉRENCE'!$B:$B,'🔖 CODES DE RÉFÉRENCE'!$C:$C,"")</f>
        <v>AIRBNB</v>
      </c>
      <c r="D175" s="208" t="str">
        <f t="array" ref="D175">XLOOKUP($B175,'🔖 CODES DE RÉFÉRENCE'!$B:$B,'🔖 CODES DE RÉFÉRENCE'!$D:$D,"")</f>
        <v>Note /5 + nombre d'avis</v>
      </c>
      <c r="E175" s="13" t="s">
        <v>51</v>
      </c>
      <c r="F175" s="13" t="s">
        <v>51</v>
      </c>
      <c r="G175" s="13" t="s">
        <v>51</v>
      </c>
      <c r="H175" s="13" t="s">
        <v>51</v>
      </c>
      <c r="I175" s="13" t="s">
        <v>58</v>
      </c>
      <c r="J175" s="47" t="str">
        <f t="shared" si="1"/>
        <v>RAT-AIR — AIRBNB</v>
      </c>
    </row>
    <row r="176" ht="14.25" customHeight="1">
      <c r="A176" s="22" t="s">
        <v>1064</v>
      </c>
      <c r="B176" s="24" t="s">
        <v>1065</v>
      </c>
      <c r="C176" s="34" t="str">
        <f t="array" ref="C176">XLOOKUP($B176,'🔖 CODES DE RÉFÉRENCE'!$B:$B,'🔖 CODES DE RÉFÉRENCE'!$C:$C,"")</f>
        <v>COMMENTAIRE LIBRE</v>
      </c>
      <c r="D176" s="34" t="str">
        <f t="array" ref="D176">XLOOKUP($B176,'🔖 CODES DE RÉFÉRENCE'!$B:$B,'🔖 CODES DE RÉFÉRENCE'!$D:$D,"")</f>
        <v>Analyse sémantique IA · détection signaux faibles</v>
      </c>
      <c r="E176" s="23" t="s">
        <v>56</v>
      </c>
      <c r="F176" s="23" t="s">
        <v>56</v>
      </c>
      <c r="G176" s="23" t="s">
        <v>51</v>
      </c>
      <c r="H176" s="23" t="s">
        <v>51</v>
      </c>
      <c r="I176" s="23" t="s">
        <v>58</v>
      </c>
      <c r="J176" s="23" t="str">
        <f t="shared" si="1"/>
        <v>FB-COM — COMMENTAIRE LIBRE</v>
      </c>
    </row>
    <row r="177" ht="14.25" customHeight="1">
      <c r="A177" s="22" t="s">
        <v>1064</v>
      </c>
      <c r="B177" s="24" t="s">
        <v>1071</v>
      </c>
      <c r="C177" s="34" t="str">
        <f t="array" ref="C177">XLOOKUP($B177,'🔖 CODES DE RÉFÉRENCE'!$B:$B,'🔖 CODES DE RÉFÉRENCE'!$C:$C,"")</f>
        <v>SUGGESTION</v>
      </c>
      <c r="D177" s="34" t="str">
        <f t="array" ref="D177">XLOOKUP($B177,'🔖 CODES DE RÉFÉRENCE'!$B:$B,'🔖 CODES DE RÉFÉRENCE'!$D:$D,"")</f>
        <v>Proposition d'amélioration</v>
      </c>
      <c r="E177" s="23" t="s">
        <v>56</v>
      </c>
      <c r="F177" s="23" t="s">
        <v>56</v>
      </c>
      <c r="G177" s="23" t="s">
        <v>51</v>
      </c>
      <c r="H177" s="23" t="s">
        <v>51</v>
      </c>
      <c r="I177" s="23" t="s">
        <v>58</v>
      </c>
      <c r="J177" s="23" t="str">
        <f t="shared" si="1"/>
        <v>FB-SUG — SUGGESTION</v>
      </c>
    </row>
    <row r="178" ht="14.25" customHeight="1">
      <c r="A178" s="22" t="s">
        <v>1064</v>
      </c>
      <c r="B178" s="24" t="s">
        <v>1075</v>
      </c>
      <c r="C178" s="34" t="str">
        <f t="array" ref="C178">XLOOKUP($B178,'🔖 CODES DE RÉFÉRENCE'!$B:$B,'🔖 CODES DE RÉFÉRENCE'!$C:$C,"")</f>
        <v>INCIDENT SIGNALÉ</v>
      </c>
      <c r="D178" s="34" t="str">
        <f t="array" ref="D178">XLOOKUP($B178,'🔖 CODES DE RÉFÉRENCE'!$B:$B,'🔖 CODES DE RÉFÉRENCE'!$D:$D,"")</f>
        <v>Réclamation ou problème rencontré</v>
      </c>
      <c r="E178" s="23" t="s">
        <v>56</v>
      </c>
      <c r="F178" s="23" t="s">
        <v>56</v>
      </c>
      <c r="G178" s="23" t="s">
        <v>51</v>
      </c>
      <c r="H178" s="23" t="s">
        <v>51</v>
      </c>
      <c r="I178" s="23" t="s">
        <v>58</v>
      </c>
      <c r="J178" s="23" t="str">
        <f t="shared" si="1"/>
        <v>FB-PROB — INCIDENT SIGNALÉ</v>
      </c>
    </row>
    <row r="179" ht="14.25" customHeight="1">
      <c r="A179" s="22" t="s">
        <v>1064</v>
      </c>
      <c r="B179" s="24" t="s">
        <v>1079</v>
      </c>
      <c r="C179" s="34" t="str">
        <f t="array" ref="C179">XLOOKUP($B179,'🔖 CODES DE RÉFÉRENCE'!$B:$B,'🔖 CODES DE RÉFÉRENCE'!$C:$C,"")</f>
        <v>COUP DE CŒUR</v>
      </c>
      <c r="D179" s="34" t="str">
        <f t="array" ref="D179">XLOOKUP($B179,'🔖 CODES DE RÉFÉRENCE'!$B:$B,'🔖 CODES DE RÉFÉRENCE'!$D:$D,"")</f>
        <v>Moment marquant du séjour</v>
      </c>
      <c r="E179" s="23" t="s">
        <v>56</v>
      </c>
      <c r="F179" s="23" t="s">
        <v>56</v>
      </c>
      <c r="G179" s="23" t="s">
        <v>51</v>
      </c>
      <c r="H179" s="23" t="s">
        <v>51</v>
      </c>
      <c r="I179" s="23" t="s">
        <v>58</v>
      </c>
      <c r="J179" s="23" t="str">
        <f t="shared" si="1"/>
        <v>FB-COUP — COUP DE CŒUR</v>
      </c>
    </row>
    <row r="180" ht="14.25" customHeight="1">
      <c r="A180" s="23" t="s">
        <v>1824</v>
      </c>
      <c r="B180" s="23" t="s">
        <v>1827</v>
      </c>
      <c r="C180" s="23" t="str">
        <f t="array" ref="C180">XLOOKUP($B180,'🔖 CODES DE RÉFÉRENCE'!$B:$B,'🔖 CODES DE RÉFÉRENCE'!$C:$C,"")</f>
        <v>NOTE SUR-MESURE</v>
      </c>
      <c r="D180" s="23" t="str">
        <f t="array" ref="D180">XLOOKUP($B180,'🔖 CODES DE RÉFÉRENCE'!$B:$B,'🔖 CODES DE RÉFÉRENCE'!$D:$D,"")</f>
        <v>Capte la capacité à privatiser / composer (multi-lieux, fermeture d'un lieu, adaptabilité totale). Driver clé de BG5 et de HB-SUR. À intégrer en section A du Moteur (14e score).</v>
      </c>
      <c r="E180" s="23" t="s">
        <v>56</v>
      </c>
      <c r="F180" s="23" t="s">
        <v>56</v>
      </c>
      <c r="G180" s="23" t="s">
        <v>51</v>
      </c>
      <c r="H180" s="23" t="s">
        <v>56</v>
      </c>
      <c r="I180" s="23" t="s">
        <v>1836</v>
      </c>
      <c r="J180" s="23" t="str">
        <f t="shared" si="1"/>
        <v>SCORE_SUR_MESURE — NOTE SUR-MESURE</v>
      </c>
    </row>
    <row r="181" ht="14.25" customHeight="1">
      <c r="A181" s="22" t="s">
        <v>27</v>
      </c>
      <c r="B181" s="24" t="s">
        <v>71</v>
      </c>
      <c r="C181" s="34" t="str">
        <f t="array" ref="C181">XLOOKUP($B181,'🔖 CODES DE RÉFÉRENCE'!$B:$B,'🔖 CODES DE RÉFÉRENCE'!$C:$C,"")</f>
        <v>Solo</v>
      </c>
      <c r="D181" s="34" t="str">
        <f t="array" ref="D181">XLOOKUP($B181,'🔖 CODES DE RÉFÉRENCE'!$B:$B,'🔖 CODES DE RÉFÉRENCE'!$D:$D,"")</f>
        <v>Voyageur individuel</v>
      </c>
      <c r="E181" s="23" t="s">
        <v>56</v>
      </c>
      <c r="F181" s="23" t="s">
        <v>56</v>
      </c>
      <c r="G181" s="23" t="s">
        <v>51</v>
      </c>
      <c r="H181" s="23" t="s">
        <v>56</v>
      </c>
      <c r="I181" s="23" t="s">
        <v>58</v>
      </c>
      <c r="J181" s="23" t="str">
        <f t="shared" si="1"/>
        <v>PUB-SOL — Solo</v>
      </c>
    </row>
    <row r="182" ht="14.25" customHeight="1">
      <c r="A182" s="22" t="s">
        <v>27</v>
      </c>
      <c r="B182" s="24" t="s">
        <v>37</v>
      </c>
      <c r="C182" s="34" t="str">
        <f t="array" ref="C182">XLOOKUP($B182,'🔖 CODES DE RÉFÉRENCE'!$B:$B,'🔖 CODES DE RÉFÉRENCE'!$C:$C,"")</f>
        <v>Couple</v>
      </c>
      <c r="D182" s="34" t="str">
        <f t="array" ref="D182">XLOOKUP($B182,'🔖 CODES DE RÉFÉRENCE'!$B:$B,'🔖 CODES DE RÉFÉRENCE'!$D:$D,"")</f>
        <v>Clientèle en couple</v>
      </c>
      <c r="E182" s="23" t="s">
        <v>56</v>
      </c>
      <c r="F182" s="23" t="s">
        <v>56</v>
      </c>
      <c r="G182" s="23" t="s">
        <v>51</v>
      </c>
      <c r="H182" s="23" t="s">
        <v>56</v>
      </c>
      <c r="I182" s="23" t="s">
        <v>58</v>
      </c>
      <c r="J182" s="23" t="str">
        <f t="shared" si="1"/>
        <v>PUB-CPL — Couple</v>
      </c>
    </row>
    <row r="183" ht="14.25" customHeight="1">
      <c r="A183" s="22" t="s">
        <v>27</v>
      </c>
      <c r="B183" s="24" t="s">
        <v>43</v>
      </c>
      <c r="C183" s="34" t="str">
        <f t="array" ref="C183">XLOOKUP($B183,'🔖 CODES DE RÉFÉRENCE'!$B:$B,'🔖 CODES DE RÉFÉRENCE'!$C:$C,"")</f>
        <v>Famille</v>
      </c>
      <c r="D183" s="34" t="str">
        <f t="array" ref="D183">XLOOKUP($B183,'🔖 CODES DE RÉFÉRENCE'!$B:$B,'🔖 CODES DE RÉFÉRENCE'!$D:$D,"")</f>
        <v>Clientèle familiale</v>
      </c>
      <c r="E183" s="23" t="s">
        <v>56</v>
      </c>
      <c r="F183" s="23" t="s">
        <v>56</v>
      </c>
      <c r="G183" s="23" t="s">
        <v>51</v>
      </c>
      <c r="H183" s="23" t="s">
        <v>56</v>
      </c>
      <c r="I183" s="23" t="s">
        <v>58</v>
      </c>
      <c r="J183" s="23" t="str">
        <f t="shared" si="1"/>
        <v>PUB-FAM — Famille</v>
      </c>
    </row>
    <row r="184" ht="14.25" customHeight="1">
      <c r="A184" s="22" t="s">
        <v>27</v>
      </c>
      <c r="B184" s="24" t="s">
        <v>52</v>
      </c>
      <c r="C184" s="34" t="str">
        <f t="array" ref="C184">XLOOKUP($B184,'🔖 CODES DE RÉFÉRENCE'!$B:$B,'🔖 CODES DE RÉFÉRENCE'!$C:$C,"")</f>
        <v>Groupe</v>
      </c>
      <c r="D184" s="34" t="str">
        <f t="array" ref="D184">XLOOKUP($B184,'🔖 CODES DE RÉFÉRENCE'!$B:$B,'🔖 CODES DE RÉFÉRENCE'!$D:$D,"")</f>
        <v>Clientèle en groupe</v>
      </c>
      <c r="E184" s="23" t="s">
        <v>56</v>
      </c>
      <c r="F184" s="23" t="s">
        <v>56</v>
      </c>
      <c r="G184" s="23" t="s">
        <v>51</v>
      </c>
      <c r="H184" s="23" t="s">
        <v>56</v>
      </c>
      <c r="I184" s="23" t="s">
        <v>58</v>
      </c>
      <c r="J184" s="23" t="str">
        <f t="shared" si="1"/>
        <v>PUB-GRP — Groupe</v>
      </c>
    </row>
    <row r="185" ht="14.25" customHeight="1">
      <c r="A185" s="22" t="s">
        <v>27</v>
      </c>
      <c r="B185" s="24" t="s">
        <v>60</v>
      </c>
      <c r="C185" s="34" t="str">
        <f t="array" ref="C185">XLOOKUP($B185,'🔖 CODES DE RÉFÉRENCE'!$B:$B,'🔖 CODES DE RÉFÉRENCE'!$C:$C,"")</f>
        <v>Professionnel</v>
      </c>
      <c r="D185" s="34" t="str">
        <f t="array" ref="D185">XLOOKUP($B185,'🔖 CODES DE RÉFÉRENCE'!$B:$B,'🔖 CODES DE RÉFÉRENCE'!$D:$D,"")</f>
        <v>Clientèle affaires / corporate</v>
      </c>
      <c r="E185" s="23" t="s">
        <v>56</v>
      </c>
      <c r="F185" s="23" t="s">
        <v>56</v>
      </c>
      <c r="G185" s="23" t="s">
        <v>51</v>
      </c>
      <c r="H185" s="23" t="s">
        <v>56</v>
      </c>
      <c r="I185" s="23" t="s">
        <v>58</v>
      </c>
      <c r="J185" s="23" t="str">
        <f t="shared" si="1"/>
        <v>PUB-PRO — Professionnel</v>
      </c>
    </row>
    <row r="186" ht="14.25" customHeight="1">
      <c r="A186" s="22" t="s">
        <v>27</v>
      </c>
      <c r="B186" s="24" t="s">
        <v>31</v>
      </c>
      <c r="C186" s="34" t="str">
        <f t="array" ref="C186">XLOOKUP($B186,'🔖 CODES DE RÉFÉRENCE'!$B:$B,'🔖 CODES DE RÉFÉRENCE'!$C:$C,"")</f>
        <v>Adultes uniquement</v>
      </c>
      <c r="D186" s="34" t="str">
        <f t="array" ref="D186">XLOOKUP($B186,'🔖 CODES DE RÉFÉRENCE'!$B:$B,'🔖 CODES DE RÉFÉRENCE'!$D:$D,"")</f>
        <v>Lieu réservé aux adultes</v>
      </c>
      <c r="E186" s="23" t="s">
        <v>56</v>
      </c>
      <c r="F186" s="23" t="s">
        <v>56</v>
      </c>
      <c r="G186" s="23" t="s">
        <v>51</v>
      </c>
      <c r="H186" s="23" t="s">
        <v>56</v>
      </c>
      <c r="I186" s="23" t="s">
        <v>58</v>
      </c>
      <c r="J186" s="23" t="str">
        <f t="shared" si="1"/>
        <v>PUB-ADU — Adultes uniquement</v>
      </c>
    </row>
    <row r="187" ht="14.25" customHeight="1">
      <c r="A187" s="22" t="s">
        <v>204</v>
      </c>
      <c r="B187" s="24" t="s">
        <v>207</v>
      </c>
      <c r="C187" s="34" t="str">
        <f t="array" ref="C187">XLOOKUP($B187,'🔖 CODES DE RÉFÉRENCE'!$B:$B,'🔖 CODES DE RÉFÉRENCE'!$C:$C,"")</f>
        <v>Accès public</v>
      </c>
      <c r="D187" s="34" t="str">
        <f t="array" ref="D187">XLOOKUP($B187,'🔖 CODES DE RÉFÉRENCE'!$B:$B,'🔖 CODES DE RÉFÉRENCE'!$D:$D,"")</f>
        <v>Lieu ouvert au public</v>
      </c>
      <c r="E187" s="23" t="s">
        <v>56</v>
      </c>
      <c r="F187" s="23" t="s">
        <v>51</v>
      </c>
      <c r="G187" s="23" t="s">
        <v>51</v>
      </c>
      <c r="H187" s="23" t="s">
        <v>56</v>
      </c>
      <c r="I187" s="23" t="s">
        <v>58</v>
      </c>
      <c r="J187" s="23" t="str">
        <f t="shared" si="1"/>
        <v>ACC-PUB — Accès public</v>
      </c>
    </row>
    <row r="188" ht="14.25" customHeight="1">
      <c r="A188" s="206" t="s">
        <v>204</v>
      </c>
      <c r="B188" s="236" t="s">
        <v>217</v>
      </c>
      <c r="C188" s="237" t="str">
        <f t="array" ref="C188">XLOOKUP($B188,'🔖 CODES DE RÉFÉRENCE'!$B:$B,'🔖 CODES DE RÉFÉRENCE'!$C:$C,"")</f>
        <v>Accès clientèle</v>
      </c>
      <c r="D188" s="237" t="str">
        <f t="array" ref="D188">XLOOKUP($B188,'🔖 CODES DE RÉFÉRENCE'!$B:$B,'🔖 CODES DE RÉFÉRENCE'!$D:$D,"")</f>
        <v>Accès via consommation / clientèle</v>
      </c>
      <c r="E188" s="47" t="s">
        <v>56</v>
      </c>
      <c r="F188" s="47" t="s">
        <v>51</v>
      </c>
      <c r="G188" s="47" t="s">
        <v>51</v>
      </c>
      <c r="H188" s="47" t="s">
        <v>56</v>
      </c>
      <c r="I188" s="47" t="s">
        <v>58</v>
      </c>
      <c r="J188" s="47" t="str">
        <f t="shared" si="1"/>
        <v>ACC-CLI — Accès clientèle</v>
      </c>
    </row>
    <row r="189" ht="14.25" customHeight="1">
      <c r="A189" s="206" t="s">
        <v>204</v>
      </c>
      <c r="B189" s="236" t="s">
        <v>226</v>
      </c>
      <c r="C189" s="237" t="str">
        <f t="array" ref="C189">XLOOKUP($B189,'🔖 CODES DE RÉFÉRENCE'!$B:$B,'🔖 CODES DE RÉFÉRENCE'!$C:$C,"")</f>
        <v>Accès privé</v>
      </c>
      <c r="D189" s="237" t="str">
        <f t="array" ref="D189">XLOOKUP($B189,'🔖 CODES DE RÉFÉRENCE'!$B:$B,'🔖 CODES DE RÉFÉRENCE'!$D:$D,"")</f>
        <v>Privatisation / accès restreint</v>
      </c>
      <c r="E189" s="47" t="s">
        <v>56</v>
      </c>
      <c r="F189" s="47" t="s">
        <v>51</v>
      </c>
      <c r="G189" s="47" t="s">
        <v>51</v>
      </c>
      <c r="H189" s="47" t="s">
        <v>56</v>
      </c>
      <c r="I189" s="47" t="s">
        <v>58</v>
      </c>
      <c r="J189" s="47" t="str">
        <f t="shared" si="1"/>
        <v>ACC-PRV — Accès privé</v>
      </c>
    </row>
    <row r="190" ht="14.25" customHeight="1">
      <c r="A190" s="206" t="s">
        <v>1174</v>
      </c>
      <c r="B190" s="236" t="s">
        <v>2048</v>
      </c>
      <c r="C190" s="237" t="str">
        <f t="array" ref="C190">XLOOKUP($B190,'🔖 CODES DE RÉFÉRENCE'!$B:$B,'🔖 CODES DE RÉFÉRENCE'!$C:$C,"")</f>
        <v>Visite &amp; patrimoine</v>
      </c>
      <c r="D190" s="237" t="str">
        <f t="array" ref="D190">XLOOKUP($B190,'🔖 CODES DE RÉFÉRENCE'!$B:$B,'🔖 CODES DE RÉFÉRENCE'!$D:$D,"")</f>
        <v>Monuments · sites · culture</v>
      </c>
      <c r="E190" s="47" t="s">
        <v>56</v>
      </c>
      <c r="F190" s="47" t="s">
        <v>56</v>
      </c>
      <c r="G190" s="47" t="s">
        <v>51</v>
      </c>
      <c r="H190" s="47" t="s">
        <v>51</v>
      </c>
      <c r="I190" s="47" t="s">
        <v>58</v>
      </c>
      <c r="J190" s="47" t="str">
        <f t="shared" si="1"/>
        <v>POI-VIS — Visite &amp; patrimoine</v>
      </c>
    </row>
    <row r="191" ht="14.25" customHeight="1">
      <c r="A191" s="206" t="s">
        <v>1174</v>
      </c>
      <c r="B191" s="236" t="s">
        <v>2051</v>
      </c>
      <c r="C191" s="237" t="str">
        <f t="array" ref="C191">XLOOKUP($B191,'🔖 CODES DE RÉFÉRENCE'!$B:$B,'🔖 CODES DE RÉFÉRENCE'!$C:$C,"")</f>
        <v>Shopping &amp; artisanat</v>
      </c>
      <c r="D191" s="237" t="str">
        <f t="array" ref="D191">XLOOKUP($B191,'🔖 CODES DE RÉFÉRENCE'!$B:$B,'🔖 CODES DE RÉFÉRENCE'!$D:$D,"")</f>
        <v>Souks · boutiques · artisanat</v>
      </c>
      <c r="E191" s="47" t="s">
        <v>56</v>
      </c>
      <c r="F191" s="47" t="s">
        <v>56</v>
      </c>
      <c r="G191" s="47" t="s">
        <v>51</v>
      </c>
      <c r="H191" s="47" t="s">
        <v>51</v>
      </c>
      <c r="I191" s="47" t="s">
        <v>58</v>
      </c>
      <c r="J191" s="47" t="str">
        <f t="shared" si="1"/>
        <v>POI-SHO — Shopping &amp; artisanat</v>
      </c>
    </row>
    <row r="192" ht="14.25" customHeight="1">
      <c r="A192" s="206" t="s">
        <v>1174</v>
      </c>
      <c r="B192" s="236" t="s">
        <v>2054</v>
      </c>
      <c r="C192" s="237" t="str">
        <f t="array" ref="C192">XLOOKUP($B192,'🔖 CODES DE RÉFÉRENCE'!$B:$B,'🔖 CODES DE RÉFÉRENCE'!$C:$C,"")</f>
        <v>Food &amp; gastronomie</v>
      </c>
      <c r="D192" s="237" t="str">
        <f t="array" ref="D192">XLOOKUP($B192,'🔖 CODES DE RÉFÉRENCE'!$B:$B,'🔖 CODES DE RÉFÉRENCE'!$D:$D,"")</f>
        <v>Adresses food · marchés</v>
      </c>
      <c r="E192" s="47" t="s">
        <v>56</v>
      </c>
      <c r="F192" s="47" t="s">
        <v>56</v>
      </c>
      <c r="G192" s="47" t="s">
        <v>51</v>
      </c>
      <c r="H192" s="47" t="s">
        <v>51</v>
      </c>
      <c r="I192" s="47" t="s">
        <v>58</v>
      </c>
      <c r="J192" s="47" t="str">
        <f t="shared" si="1"/>
        <v>POI-FOO — Food &amp; gastronomie</v>
      </c>
    </row>
    <row r="193" ht="14.25" customHeight="1">
      <c r="A193" s="206" t="s">
        <v>1174</v>
      </c>
      <c r="B193" s="236" t="s">
        <v>2057</v>
      </c>
      <c r="C193" s="237" t="str">
        <f t="array" ref="C193">XLOOKUP($B193,'🔖 CODES DE RÉFÉRENCE'!$B:$B,'🔖 CODES DE RÉFÉRENCE'!$C:$C,"")</f>
        <v>Immersion locale</v>
      </c>
      <c r="D193" s="237" t="str">
        <f t="array" ref="D193">XLOOKUP($B193,'🔖 CODES DE RÉFÉRENCE'!$B:$B,'🔖 CODES DE RÉFÉRENCE'!$D:$D,"")</f>
        <v>Expériences immersives locales</v>
      </c>
      <c r="E193" s="47" t="s">
        <v>56</v>
      </c>
      <c r="F193" s="47" t="s">
        <v>56</v>
      </c>
      <c r="G193" s="47" t="s">
        <v>51</v>
      </c>
      <c r="H193" s="47" t="s">
        <v>51</v>
      </c>
      <c r="I193" s="47" t="s">
        <v>58</v>
      </c>
      <c r="J193" s="47" t="str">
        <f t="shared" si="1"/>
        <v>POI-IMM — Immersion locale</v>
      </c>
    </row>
    <row r="194" ht="14.25" customHeight="1">
      <c r="A194" s="206" t="s">
        <v>1174</v>
      </c>
      <c r="B194" s="236" t="s">
        <v>2060</v>
      </c>
      <c r="C194" s="237" t="str">
        <f t="array" ref="C194">XLOOKUP($B194,'🔖 CODES DE RÉFÉRENCE'!$B:$B,'🔖 CODES DE RÉFÉRENCE'!$C:$C,"")</f>
        <v>Point de vue &amp; panorama</v>
      </c>
      <c r="D194" s="237" t="str">
        <f t="array" ref="D194">XLOOKUP($B194,'🔖 CODES DE RÉFÉRENCE'!$B:$B,'🔖 CODES DE RÉFÉRENCE'!$D:$D,"")</f>
        <v>Belvédères · rooftops · panoramas</v>
      </c>
      <c r="E194" s="47" t="s">
        <v>56</v>
      </c>
      <c r="F194" s="47" t="s">
        <v>56</v>
      </c>
      <c r="G194" s="47" t="s">
        <v>51</v>
      </c>
      <c r="H194" s="47" t="s">
        <v>51</v>
      </c>
      <c r="I194" s="47" t="s">
        <v>58</v>
      </c>
      <c r="J194" s="47" t="str">
        <f t="shared" si="1"/>
        <v>POI-VUE — Point de vue &amp; panorama</v>
      </c>
    </row>
    <row r="195" ht="14.25" customHeight="1">
      <c r="A195" s="206" t="s">
        <v>1916</v>
      </c>
      <c r="B195" s="236" t="s">
        <v>1917</v>
      </c>
      <c r="C195" s="237" t="str">
        <f t="array" ref="C195">XLOOKUP($B195,'🔖 CODES DE RÉFÉRENCE'!$B:$B,'🔖 CODES DE RÉFÉRENCE'!$C:$C,"")</f>
        <v>Médina · Kasbah</v>
      </c>
      <c r="D195" s="237" t="str">
        <f t="array" ref="D195">XLOOKUP($B195,'🔖 CODES DE RÉFÉRENCE'!$B:$B,'🔖 CODES DE RÉFÉRENCE'!$D:$D,"")</f>
        <v>Marrakech</v>
      </c>
      <c r="E195" s="47" t="s">
        <v>56</v>
      </c>
      <c r="F195" s="47" t="s">
        <v>51</v>
      </c>
      <c r="G195" s="47" t="s">
        <v>51</v>
      </c>
      <c r="H195" s="47" t="s">
        <v>56</v>
      </c>
      <c r="I195" s="47" t="s">
        <v>1955</v>
      </c>
      <c r="J195" s="47" t="str">
        <f t="shared" si="1"/>
        <v>Z001 — Médina · Kasbah</v>
      </c>
    </row>
    <row r="196" ht="14.25" customHeight="1">
      <c r="A196" s="206" t="s">
        <v>1916</v>
      </c>
      <c r="B196" s="236" t="s">
        <v>1921</v>
      </c>
      <c r="C196" s="237" t="str">
        <f t="array" ref="C196">XLOOKUP($B196,'🔖 CODES DE RÉFÉRENCE'!$B:$B,'🔖 CODES DE RÉFÉRENCE'!$C:$C,"")</f>
        <v>Médina · Place Jemaa el-Fna</v>
      </c>
      <c r="D196" s="237" t="str">
        <f t="array" ref="D196">XLOOKUP($B196,'🔖 CODES DE RÉFÉRENCE'!$B:$B,'🔖 CODES DE RÉFÉRENCE'!$D:$D,"")</f>
        <v>Marrakech</v>
      </c>
      <c r="E196" s="47" t="s">
        <v>56</v>
      </c>
      <c r="F196" s="47" t="s">
        <v>51</v>
      </c>
      <c r="G196" s="47" t="s">
        <v>51</v>
      </c>
      <c r="H196" s="47" t="s">
        <v>56</v>
      </c>
      <c r="I196" s="47" t="s">
        <v>1955</v>
      </c>
      <c r="J196" s="47" t="str">
        <f t="shared" si="1"/>
        <v>Z002 — Médina · Place Jemaa el-Fna</v>
      </c>
    </row>
    <row r="197" ht="14.25" customHeight="1">
      <c r="A197" s="206" t="s">
        <v>1916</v>
      </c>
      <c r="B197" s="236" t="s">
        <v>1925</v>
      </c>
      <c r="C197" s="237" t="str">
        <f t="array" ref="C197">XLOOKUP($B197,'🔖 CODES DE RÉFÉRENCE'!$B:$B,'🔖 CODES DE RÉFÉRENCE'!$C:$C,"")</f>
        <v>Médina · Mouassine</v>
      </c>
      <c r="D197" s="237" t="str">
        <f t="array" ref="D197">XLOOKUP($B197,'🔖 CODES DE RÉFÉRENCE'!$B:$B,'🔖 CODES DE RÉFÉRENCE'!$D:$D,"")</f>
        <v>Marrakech</v>
      </c>
      <c r="E197" s="47" t="s">
        <v>56</v>
      </c>
      <c r="F197" s="47" t="s">
        <v>51</v>
      </c>
      <c r="G197" s="47" t="s">
        <v>51</v>
      </c>
      <c r="H197" s="47" t="s">
        <v>56</v>
      </c>
      <c r="I197" s="47" t="s">
        <v>1955</v>
      </c>
      <c r="J197" s="47" t="str">
        <f t="shared" si="1"/>
        <v>Z003 — Médina · Mouassine</v>
      </c>
    </row>
    <row r="198" ht="14.25" customHeight="1">
      <c r="A198" s="206" t="s">
        <v>1916</v>
      </c>
      <c r="B198" s="236" t="s">
        <v>1928</v>
      </c>
      <c r="C198" s="237" t="str">
        <f t="array" ref="C198">XLOOKUP($B198,'🔖 CODES DE RÉFÉRENCE'!$B:$B,'🔖 CODES DE RÉFÉRENCE'!$C:$C,"")</f>
        <v>Médina · Bab Doukkala</v>
      </c>
      <c r="D198" s="237" t="str">
        <f t="array" ref="D198">XLOOKUP($B198,'🔖 CODES DE RÉFÉRENCE'!$B:$B,'🔖 CODES DE RÉFÉRENCE'!$D:$D,"")</f>
        <v>Marrakech</v>
      </c>
      <c r="E198" s="47" t="s">
        <v>56</v>
      </c>
      <c r="F198" s="47" t="s">
        <v>51</v>
      </c>
      <c r="G198" s="47" t="s">
        <v>51</v>
      </c>
      <c r="H198" s="47" t="s">
        <v>56</v>
      </c>
      <c r="I198" s="47" t="s">
        <v>1955</v>
      </c>
      <c r="J198" s="47" t="str">
        <f t="shared" si="1"/>
        <v>Z004 — Médina · Bab Doukkala</v>
      </c>
    </row>
    <row r="199" ht="14.25" customHeight="1">
      <c r="A199" s="206" t="s">
        <v>1916</v>
      </c>
      <c r="B199" s="236" t="s">
        <v>1930</v>
      </c>
      <c r="C199" s="237" t="str">
        <f t="array" ref="C199">XLOOKUP($B199,'🔖 CODES DE RÉFÉRENCE'!$B:$B,'🔖 CODES DE RÉFÉRENCE'!$C:$C,"")</f>
        <v>Médina · Mellah</v>
      </c>
      <c r="D199" s="237" t="str">
        <f t="array" ref="D199">XLOOKUP($B199,'🔖 CODES DE RÉFÉRENCE'!$B:$B,'🔖 CODES DE RÉFÉRENCE'!$D:$D,"")</f>
        <v>Marrakech</v>
      </c>
      <c r="E199" s="47" t="s">
        <v>56</v>
      </c>
      <c r="F199" s="47" t="s">
        <v>51</v>
      </c>
      <c r="G199" s="47" t="s">
        <v>51</v>
      </c>
      <c r="H199" s="47" t="s">
        <v>56</v>
      </c>
      <c r="I199" s="47" t="s">
        <v>1955</v>
      </c>
      <c r="J199" s="47" t="str">
        <f t="shared" si="1"/>
        <v>Z005 — Médina · Mellah</v>
      </c>
    </row>
    <row r="200" ht="14.25" customHeight="1">
      <c r="A200" s="206" t="s">
        <v>1916</v>
      </c>
      <c r="B200" s="236" t="s">
        <v>1932</v>
      </c>
      <c r="C200" s="237" t="str">
        <f t="array" ref="C200">XLOOKUP($B200,'🔖 CODES DE RÉFÉRENCE'!$B:$B,'🔖 CODES DE RÉFÉRENCE'!$C:$C,"")</f>
        <v>Hivernage · Bab Jdid</v>
      </c>
      <c r="D200" s="237" t="str">
        <f t="array" ref="D200">XLOOKUP($B200,'🔖 CODES DE RÉFÉRENCE'!$B:$B,'🔖 CODES DE RÉFÉRENCE'!$D:$D,"")</f>
        <v>Marrakech</v>
      </c>
      <c r="E200" s="47" t="s">
        <v>56</v>
      </c>
      <c r="F200" s="47" t="s">
        <v>51</v>
      </c>
      <c r="G200" s="47" t="s">
        <v>51</v>
      </c>
      <c r="H200" s="47" t="s">
        <v>56</v>
      </c>
      <c r="I200" s="47" t="s">
        <v>1955</v>
      </c>
      <c r="J200" s="47" t="str">
        <f t="shared" si="1"/>
        <v>Z006 — Hivernage · Bab Jdid</v>
      </c>
    </row>
    <row r="201" ht="14.25" customHeight="1">
      <c r="A201" s="206" t="s">
        <v>1916</v>
      </c>
      <c r="B201" s="236" t="s">
        <v>1934</v>
      </c>
      <c r="C201" s="237" t="str">
        <f t="array" ref="C201">XLOOKUP($B201,'🔖 CODES DE RÉFÉRENCE'!$B:$B,'🔖 CODES DE RÉFÉRENCE'!$C:$C,"")</f>
        <v>Hivernage · Avenue Mohammed VI</v>
      </c>
      <c r="D201" s="237" t="str">
        <f t="array" ref="D201">XLOOKUP($B201,'🔖 CODES DE RÉFÉRENCE'!$B:$B,'🔖 CODES DE RÉFÉRENCE'!$D:$D,"")</f>
        <v>Marrakech</v>
      </c>
      <c r="E201" s="47" t="s">
        <v>56</v>
      </c>
      <c r="F201" s="47" t="s">
        <v>51</v>
      </c>
      <c r="G201" s="47" t="s">
        <v>51</v>
      </c>
      <c r="H201" s="47" t="s">
        <v>56</v>
      </c>
      <c r="I201" s="47" t="s">
        <v>1955</v>
      </c>
      <c r="J201" s="47" t="str">
        <f t="shared" si="1"/>
        <v>Z007 — Hivernage · Avenue Mohammed VI</v>
      </c>
    </row>
    <row r="202" ht="14.25" customHeight="1">
      <c r="A202" s="206" t="s">
        <v>1916</v>
      </c>
      <c r="B202" s="236" t="s">
        <v>1936</v>
      </c>
      <c r="C202" s="237" t="str">
        <f t="array" ref="C202">XLOOKUP($B202,'🔖 CODES DE RÉFÉRENCE'!$B:$B,'🔖 CODES DE RÉFÉRENCE'!$C:$C,"")</f>
        <v>Gueliz · Centre-ville</v>
      </c>
      <c r="D202" s="237" t="str">
        <f t="array" ref="D202">XLOOKUP($B202,'🔖 CODES DE RÉFÉRENCE'!$B:$B,'🔖 CODES DE RÉFÉRENCE'!$D:$D,"")</f>
        <v>Marrakech</v>
      </c>
      <c r="E202" s="47" t="s">
        <v>56</v>
      </c>
      <c r="F202" s="47" t="s">
        <v>51</v>
      </c>
      <c r="G202" s="47" t="s">
        <v>51</v>
      </c>
      <c r="H202" s="47" t="s">
        <v>56</v>
      </c>
      <c r="I202" s="47" t="s">
        <v>1955</v>
      </c>
      <c r="J202" s="47" t="str">
        <f t="shared" si="1"/>
        <v>Z008 — Gueliz · Centre-ville</v>
      </c>
    </row>
    <row r="203" ht="14.25" customHeight="1">
      <c r="A203" s="206" t="s">
        <v>1916</v>
      </c>
      <c r="B203" s="236" t="s">
        <v>1938</v>
      </c>
      <c r="C203" s="237" t="str">
        <f t="array" ref="C203">XLOOKUP($B203,'🔖 CODES DE RÉFÉRENCE'!$B:$B,'🔖 CODES DE RÉFÉRENCE'!$C:$C,"")</f>
        <v>Gueliz · Hassan II</v>
      </c>
      <c r="D203" s="237" t="str">
        <f t="array" ref="D203">XLOOKUP($B203,'🔖 CODES DE RÉFÉRENCE'!$B:$B,'🔖 CODES DE RÉFÉRENCE'!$D:$D,"")</f>
        <v>Marrakech</v>
      </c>
      <c r="E203" s="47" t="s">
        <v>56</v>
      </c>
      <c r="F203" s="47" t="s">
        <v>51</v>
      </c>
      <c r="G203" s="47" t="s">
        <v>51</v>
      </c>
      <c r="H203" s="47" t="s">
        <v>56</v>
      </c>
      <c r="I203" s="47" t="s">
        <v>1955</v>
      </c>
      <c r="J203" s="47" t="str">
        <f t="shared" si="1"/>
        <v>Z009 — Gueliz · Hassan II</v>
      </c>
    </row>
    <row r="204" ht="14.25" customHeight="1">
      <c r="A204" s="206" t="s">
        <v>1916</v>
      </c>
      <c r="B204" s="236" t="s">
        <v>1940</v>
      </c>
      <c r="C204" s="237" t="str">
        <f t="array" ref="C204">XLOOKUP($B204,'🔖 CODES DE RÉFÉRENCE'!$B:$B,'🔖 CODES DE RÉFÉRENCE'!$C:$C,"")</f>
        <v>Palmeraie · Circuit principal</v>
      </c>
      <c r="D204" s="237" t="str">
        <f t="array" ref="D204">XLOOKUP($B204,'🔖 CODES DE RÉFÉRENCE'!$B:$B,'🔖 CODES DE RÉFÉRENCE'!$D:$D,"")</f>
        <v>Marrakech</v>
      </c>
      <c r="E204" s="47" t="s">
        <v>56</v>
      </c>
      <c r="F204" s="47" t="s">
        <v>51</v>
      </c>
      <c r="G204" s="47" t="s">
        <v>51</v>
      </c>
      <c r="H204" s="47" t="s">
        <v>56</v>
      </c>
      <c r="I204" s="47" t="s">
        <v>1955</v>
      </c>
      <c r="J204" s="47" t="str">
        <f t="shared" si="1"/>
        <v>Z010 — Palmeraie · Circuit principal</v>
      </c>
    </row>
    <row r="205" ht="14.25" customHeight="1">
      <c r="A205" s="206" t="s">
        <v>1916</v>
      </c>
      <c r="B205" s="236" t="s">
        <v>1942</v>
      </c>
      <c r="C205" s="237" t="str">
        <f t="array" ref="C205">XLOOKUP($B205,'🔖 CODES DE RÉFÉRENCE'!$B:$B,'🔖 CODES DE RÉFÉRENCE'!$C:$C,"")</f>
        <v>Palmeraie · Route de Fès</v>
      </c>
      <c r="D205" s="237" t="str">
        <f t="array" ref="D205">XLOOKUP($B205,'🔖 CODES DE RÉFÉRENCE'!$B:$B,'🔖 CODES DE RÉFÉRENCE'!$D:$D,"")</f>
        <v>Marrakech</v>
      </c>
      <c r="E205" s="47" t="s">
        <v>56</v>
      </c>
      <c r="F205" s="47" t="s">
        <v>51</v>
      </c>
      <c r="G205" s="47" t="s">
        <v>51</v>
      </c>
      <c r="H205" s="47" t="s">
        <v>56</v>
      </c>
      <c r="I205" s="47" t="s">
        <v>1955</v>
      </c>
      <c r="J205" s="47" t="str">
        <f t="shared" si="1"/>
        <v>Z011 — Palmeraie · Route de Fès</v>
      </c>
    </row>
    <row r="206" ht="14.25" customHeight="1">
      <c r="A206" s="206" t="s">
        <v>1916</v>
      </c>
      <c r="B206" s="236" t="s">
        <v>1944</v>
      </c>
      <c r="C206" s="237" t="str">
        <f t="array" ref="C206">XLOOKUP($B206,'🔖 CODES DE RÉFÉRENCE'!$B:$B,'🔖 CODES DE RÉFÉRENCE'!$C:$C,"")</f>
        <v>Route Amizmiz · Selman / Beldi</v>
      </c>
      <c r="D206" s="237" t="str">
        <f t="array" ref="D206">XLOOKUP($B206,'🔖 CODES DE RÉFÉRENCE'!$B:$B,'🔖 CODES DE RÉFÉRENCE'!$D:$D,"")</f>
        <v>Marrakech</v>
      </c>
      <c r="E206" s="47" t="s">
        <v>56</v>
      </c>
      <c r="F206" s="47" t="s">
        <v>51</v>
      </c>
      <c r="G206" s="47" t="s">
        <v>51</v>
      </c>
      <c r="H206" s="47" t="s">
        <v>56</v>
      </c>
      <c r="I206" s="47" t="s">
        <v>1955</v>
      </c>
      <c r="J206" s="47" t="str">
        <f t="shared" si="1"/>
        <v>Z012 — Route Amizmiz · Selman / Beldi</v>
      </c>
    </row>
    <row r="207" ht="14.25" customHeight="1">
      <c r="A207" s="206" t="s">
        <v>1916</v>
      </c>
      <c r="B207" s="236" t="s">
        <v>1947</v>
      </c>
      <c r="C207" s="237" t="str">
        <f t="array" ref="C207">XLOOKUP($B207,'🔖 CODES DE RÉFÉRENCE'!$B:$B,'🔖 CODES DE RÉFÉRENCE'!$C:$C,"")</f>
        <v>Route Ourika · Mandarin / Royal Palm</v>
      </c>
      <c r="D207" s="237" t="str">
        <f t="array" ref="D207">XLOOKUP($B207,'🔖 CODES DE RÉFÉRENCE'!$B:$B,'🔖 CODES DE RÉFÉRENCE'!$D:$D,"")</f>
        <v>Marrakech</v>
      </c>
      <c r="E207" s="47" t="s">
        <v>56</v>
      </c>
      <c r="F207" s="47" t="s">
        <v>51</v>
      </c>
      <c r="G207" s="47" t="s">
        <v>51</v>
      </c>
      <c r="H207" s="47" t="s">
        <v>56</v>
      </c>
      <c r="I207" s="47" t="s">
        <v>1955</v>
      </c>
      <c r="J207" s="47" t="str">
        <f t="shared" si="1"/>
        <v>Z013 — Route Ourika · Mandarin / Royal Palm</v>
      </c>
    </row>
    <row r="208" ht="14.25" customHeight="1">
      <c r="A208" s="206" t="s">
        <v>1916</v>
      </c>
      <c r="B208" s="236" t="s">
        <v>1952</v>
      </c>
      <c r="C208" s="237" t="str">
        <f t="array" ref="C208">XLOOKUP($B208,'🔖 CODES DE RÉFÉRENCE'!$B:$B,'🔖 CODES DE RÉFÉRENCE'!$C:$C,"")</f>
        <v>Agafay · Désert Nord</v>
      </c>
      <c r="D208" s="237" t="str">
        <f t="array" ref="D208">XLOOKUP($B208,'🔖 CODES DE RÉFÉRENCE'!$B:$B,'🔖 CODES DE RÉFÉRENCE'!$D:$D,"")</f>
        <v>Hors ville</v>
      </c>
      <c r="E208" s="47" t="s">
        <v>56</v>
      </c>
      <c r="F208" s="47" t="s">
        <v>51</v>
      </c>
      <c r="G208" s="47" t="s">
        <v>51</v>
      </c>
      <c r="H208" s="47" t="s">
        <v>56</v>
      </c>
      <c r="I208" s="47" t="s">
        <v>1955</v>
      </c>
      <c r="J208" s="47" t="str">
        <f t="shared" si="1"/>
        <v>Z014 — Agafay · Désert Nord</v>
      </c>
    </row>
    <row r="209" ht="14.25" customHeight="1">
      <c r="A209" s="206" t="s">
        <v>1916</v>
      </c>
      <c r="B209" s="236" t="s">
        <v>1961</v>
      </c>
      <c r="C209" s="237" t="str">
        <f t="array" ref="C209">XLOOKUP($B209,'🔖 CODES DE RÉFÉRENCE'!$B:$B,'🔖 CODES DE RÉFÉRENCE'!$C:$C,"")</f>
        <v>Agafay · Désert Sud</v>
      </c>
      <c r="D209" s="237" t="str">
        <f t="array" ref="D209">XLOOKUP($B209,'🔖 CODES DE RÉFÉRENCE'!$B:$B,'🔖 CODES DE RÉFÉRENCE'!$D:$D,"")</f>
        <v>Hors ville</v>
      </c>
      <c r="E209" s="47" t="s">
        <v>56</v>
      </c>
      <c r="F209" s="47" t="s">
        <v>51</v>
      </c>
      <c r="G209" s="47" t="s">
        <v>51</v>
      </c>
      <c r="H209" s="47" t="s">
        <v>56</v>
      </c>
      <c r="I209" s="47" t="s">
        <v>1955</v>
      </c>
      <c r="J209" s="47" t="str">
        <f t="shared" si="1"/>
        <v>Z015 — Agafay · Désert Sud</v>
      </c>
    </row>
    <row r="210" ht="14.25" customHeight="1">
      <c r="A210" s="206" t="s">
        <v>1916</v>
      </c>
      <c r="B210" s="236" t="s">
        <v>1970</v>
      </c>
      <c r="C210" s="237" t="str">
        <f t="array" ref="C210">XLOOKUP($B210,'🔖 CODES DE RÉFÉRENCE'!$B:$B,'🔖 CODES DE RÉFÉRENCE'!$C:$C,"")</f>
        <v>Atlas Imlil · Vallée Imlil</v>
      </c>
      <c r="D210" s="237" t="str">
        <f t="array" ref="D210">XLOOKUP($B210,'🔖 CODES DE RÉFÉRENCE'!$B:$B,'🔖 CODES DE RÉFÉRENCE'!$D:$D,"")</f>
        <v>Hors ville</v>
      </c>
      <c r="E210" s="47" t="s">
        <v>56</v>
      </c>
      <c r="F210" s="47" t="s">
        <v>51</v>
      </c>
      <c r="G210" s="47" t="s">
        <v>51</v>
      </c>
      <c r="H210" s="47" t="s">
        <v>56</v>
      </c>
      <c r="I210" s="47" t="s">
        <v>1955</v>
      </c>
      <c r="J210" s="47" t="str">
        <f t="shared" si="1"/>
        <v>Z016 — Atlas Imlil · Vallée Imlil</v>
      </c>
    </row>
    <row r="211" ht="14.25" customHeight="1">
      <c r="A211" s="206" t="s">
        <v>1916</v>
      </c>
      <c r="B211" s="236" t="s">
        <v>1978</v>
      </c>
      <c r="C211" s="237" t="str">
        <f t="array" ref="C211">XLOOKUP($B211,'🔖 CODES DE RÉFÉRENCE'!$B:$B,'🔖 CODES DE RÉFÉRENCE'!$C:$C,"")</f>
        <v>Atlas Ourika · Vallée Ourika</v>
      </c>
      <c r="D211" s="237" t="str">
        <f t="array" ref="D211">XLOOKUP($B211,'🔖 CODES DE RÉFÉRENCE'!$B:$B,'🔖 CODES DE RÉFÉRENCE'!$D:$D,"")</f>
        <v>Hors ville</v>
      </c>
      <c r="E211" s="47" t="s">
        <v>56</v>
      </c>
      <c r="F211" s="47" t="s">
        <v>51</v>
      </c>
      <c r="G211" s="47" t="s">
        <v>51</v>
      </c>
      <c r="H211" s="47" t="s">
        <v>56</v>
      </c>
      <c r="I211" s="47" t="s">
        <v>1955</v>
      </c>
      <c r="J211" s="47" t="str">
        <f t="shared" si="1"/>
        <v>Z017 — Atlas Ourika · Vallée Ourika</v>
      </c>
    </row>
    <row r="212" ht="14.25" customHeight="1">
      <c r="A212" s="206" t="s">
        <v>1916</v>
      </c>
      <c r="B212" s="236" t="s">
        <v>1984</v>
      </c>
      <c r="C212" s="237" t="str">
        <f t="array" ref="C212">XLOOKUP($B212,'🔖 CODES DE RÉFÉRENCE'!$B:$B,'🔖 CODES DE RÉFÉRENCE'!$C:$C,"")</f>
        <v>Atlas Asni · Vallée Asni</v>
      </c>
      <c r="D212" s="237" t="str">
        <f t="array" ref="D212">XLOOKUP($B212,'🔖 CODES DE RÉFÉRENCE'!$B:$B,'🔖 CODES DE RÉFÉRENCE'!$D:$D,"")</f>
        <v>Hors ville</v>
      </c>
      <c r="E212" s="47" t="s">
        <v>56</v>
      </c>
      <c r="F212" s="47" t="s">
        <v>51</v>
      </c>
      <c r="G212" s="47" t="s">
        <v>51</v>
      </c>
      <c r="H212" s="47" t="s">
        <v>56</v>
      </c>
      <c r="I212" s="47" t="s">
        <v>1955</v>
      </c>
      <c r="J212" s="47" t="str">
        <f t="shared" si="1"/>
        <v>Z018 — Atlas Asni · Vallée Asni</v>
      </c>
    </row>
    <row r="213" ht="14.25" customHeight="1">
      <c r="A213" s="206" t="s">
        <v>1916</v>
      </c>
      <c r="B213" s="236" t="s">
        <v>1991</v>
      </c>
      <c r="C213" s="237" t="str">
        <f t="array" ref="C213">XLOOKUP($B213,'🔖 CODES DE RÉFÉRENCE'!$B:$B,'🔖 CODES DE RÉFÉRENCE'!$C:$C,"")</f>
        <v>Essaouira · Médina</v>
      </c>
      <c r="D213" s="237" t="str">
        <f t="array" ref="D213">XLOOKUP($B213,'🔖 CODES DE RÉFÉRENCE'!$B:$B,'🔖 CODES DE RÉFÉRENCE'!$D:$D,"")</f>
        <v>Hors ville</v>
      </c>
      <c r="E213" s="47" t="s">
        <v>56</v>
      </c>
      <c r="F213" s="47" t="s">
        <v>51</v>
      </c>
      <c r="G213" s="47" t="s">
        <v>51</v>
      </c>
      <c r="H213" s="47" t="s">
        <v>56</v>
      </c>
      <c r="I213" s="47" t="s">
        <v>1955</v>
      </c>
      <c r="J213" s="47" t="str">
        <f t="shared" si="1"/>
        <v>Z019 — Essaouira · Médina</v>
      </c>
    </row>
    <row r="214" ht="14.25" customHeight="1">
      <c r="A214" s="206" t="s">
        <v>1916</v>
      </c>
      <c r="B214" s="236" t="s">
        <v>1999</v>
      </c>
      <c r="C214" s="237" t="str">
        <f t="array" ref="C214">XLOOKUP($B214,'🔖 CODES DE RÉFÉRENCE'!$B:$B,'🔖 CODES DE RÉFÉRENCE'!$C:$C,"")</f>
        <v>Aéroport Menara · Terminal 1</v>
      </c>
      <c r="D214" s="237" t="str">
        <f t="array" ref="D214">XLOOKUP($B214,'🔖 CODES DE RÉFÉRENCE'!$B:$B,'🔖 CODES DE RÉFÉRENCE'!$D:$D,"")</f>
        <v>Aéroport</v>
      </c>
      <c r="E214" s="47" t="s">
        <v>56</v>
      </c>
      <c r="F214" s="47" t="s">
        <v>51</v>
      </c>
      <c r="G214" s="47" t="s">
        <v>51</v>
      </c>
      <c r="H214" s="47" t="s">
        <v>56</v>
      </c>
      <c r="I214" s="47" t="s">
        <v>1955</v>
      </c>
      <c r="J214" s="47" t="str">
        <f t="shared" si="1"/>
        <v>Z020 — Aéroport Menara · Terminal 1</v>
      </c>
    </row>
    <row r="215" ht="14.25" customHeight="1"/>
    <row r="216" ht="14.25" customHeight="1"/>
    <row r="217" ht="14.25" customHeight="1">
      <c r="A217" s="62" t="s">
        <v>2456</v>
      </c>
      <c r="G217" s="62" t="s">
        <v>2458</v>
      </c>
    </row>
    <row r="218" ht="14.25" customHeight="1">
      <c r="A218" s="257" t="s">
        <v>6</v>
      </c>
      <c r="B218" s="257" t="s">
        <v>2462</v>
      </c>
      <c r="C218" s="257" t="s">
        <v>2465</v>
      </c>
      <c r="D218" s="257" t="s">
        <v>2466</v>
      </c>
      <c r="E218" s="257" t="s">
        <v>2468</v>
      </c>
      <c r="F218" s="258"/>
      <c r="G218" s="258" t="str">
        <f t="shared" ref="G218:G224" si="2">C27</f>
        <v>DÉSERT &amp; HORIZONS</v>
      </c>
      <c r="H218" s="258" t="s">
        <v>56</v>
      </c>
      <c r="I218" s="258"/>
      <c r="J218" s="258"/>
    </row>
    <row r="219" ht="14.25" customHeight="1">
      <c r="A219" s="259" t="s">
        <v>26</v>
      </c>
      <c r="B219" s="260" t="s">
        <v>2470</v>
      </c>
      <c r="C219" s="100">
        <v>5.0</v>
      </c>
      <c r="D219" s="100" t="s">
        <v>2473</v>
      </c>
      <c r="E219" s="100" t="s">
        <v>2475</v>
      </c>
      <c r="G219" s="13" t="str">
        <f t="shared" si="2"/>
        <v>SPORT &amp; ÉNERGIE</v>
      </c>
      <c r="H219" s="261" t="s">
        <v>56</v>
      </c>
    </row>
    <row r="220" ht="14.25" customHeight="1">
      <c r="A220" s="259" t="s">
        <v>131</v>
      </c>
      <c r="B220" s="260" t="s">
        <v>2480</v>
      </c>
      <c r="C220" s="100">
        <v>6.0</v>
      </c>
      <c r="D220" s="100" t="s">
        <v>2482</v>
      </c>
      <c r="E220" s="100" t="s">
        <v>2483</v>
      </c>
      <c r="G220" s="13" t="str">
        <f t="shared" si="2"/>
        <v>CULTURE &amp; IMMERSION</v>
      </c>
      <c r="H220" s="261" t="s">
        <v>56</v>
      </c>
    </row>
    <row r="221" ht="14.25" customHeight="1">
      <c r="A221" s="259" t="s">
        <v>150</v>
      </c>
      <c r="B221" s="260" t="s">
        <v>2489</v>
      </c>
      <c r="C221" s="100">
        <v>6.0</v>
      </c>
      <c r="D221" s="100" t="s">
        <v>2492</v>
      </c>
      <c r="E221" s="100" t="s">
        <v>2494</v>
      </c>
      <c r="G221" s="13" t="str">
        <f t="shared" si="2"/>
        <v>BIEN-ÊTRE &amp; RELAXATION</v>
      </c>
      <c r="H221" s="261" t="s">
        <v>56</v>
      </c>
    </row>
    <row r="222" ht="14.25" customHeight="1">
      <c r="A222" s="259" t="s">
        <v>312</v>
      </c>
      <c r="B222" s="260" t="s">
        <v>2497</v>
      </c>
      <c r="C222" s="100">
        <v>7.0</v>
      </c>
      <c r="D222" s="100" t="s">
        <v>2498</v>
      </c>
      <c r="E222" s="100" t="s">
        <v>2500</v>
      </c>
      <c r="G222" s="13" t="str">
        <f t="shared" si="2"/>
        <v>ÉLITE &amp; SIGNATURE</v>
      </c>
      <c r="H222" s="261" t="s">
        <v>56</v>
      </c>
    </row>
    <row r="223" ht="14.25" customHeight="1">
      <c r="A223" s="259" t="s">
        <v>422</v>
      </c>
      <c r="B223" s="260" t="s">
        <v>2503</v>
      </c>
      <c r="C223" s="100">
        <v>7.0</v>
      </c>
      <c r="D223" s="100" t="s">
        <v>2504</v>
      </c>
      <c r="E223" s="100" t="s">
        <v>2505</v>
      </c>
      <c r="G223" s="13" t="str">
        <f t="shared" si="2"/>
        <v>EXCURSION À LA JOURNÉE</v>
      </c>
      <c r="H223" s="261" t="s">
        <v>56</v>
      </c>
    </row>
    <row r="224" ht="14.25" customHeight="1">
      <c r="A224" s="259" t="s">
        <v>543</v>
      </c>
      <c r="B224" s="260" t="s">
        <v>2506</v>
      </c>
      <c r="C224" s="100">
        <v>6.0</v>
      </c>
      <c r="D224" s="100" t="s">
        <v>2510</v>
      </c>
      <c r="E224" s="100" t="s">
        <v>2513</v>
      </c>
      <c r="G224" s="13" t="str">
        <f t="shared" si="2"/>
        <v>FESTIF &amp; LIFESTYLE</v>
      </c>
      <c r="H224" s="261" t="s">
        <v>56</v>
      </c>
    </row>
    <row r="225" ht="14.25" customHeight="1">
      <c r="A225" s="259" t="s">
        <v>686</v>
      </c>
      <c r="B225" s="260" t="s">
        <v>2520</v>
      </c>
      <c r="C225" s="100">
        <v>6.0</v>
      </c>
      <c r="D225" s="100" t="s">
        <v>2522</v>
      </c>
      <c r="E225" s="100" t="s">
        <v>2523</v>
      </c>
      <c r="G225" s="13" t="str">
        <f t="shared" ref="G225:G229" si="3">C51</f>
        <v>CRÉATIF &amp; LUDIQUE</v>
      </c>
      <c r="H225" s="261" t="s">
        <v>56</v>
      </c>
    </row>
    <row r="226" ht="14.25" customHeight="1">
      <c r="A226" s="259" t="s">
        <v>788</v>
      </c>
      <c r="B226" s="260" t="s">
        <v>2530</v>
      </c>
      <c r="C226" s="100">
        <v>5.0</v>
      </c>
      <c r="D226" s="100" t="s">
        <v>2533</v>
      </c>
      <c r="E226" s="100" t="s">
        <v>2535</v>
      </c>
      <c r="G226" s="13" t="str">
        <f t="shared" si="3"/>
        <v>DÉCOUVERTE &amp; APPRENTISSAGE</v>
      </c>
      <c r="H226" s="261" t="s">
        <v>56</v>
      </c>
    </row>
    <row r="227" ht="14.25" customHeight="1">
      <c r="A227" s="259" t="s">
        <v>856</v>
      </c>
      <c r="B227" s="260" t="s">
        <v>2537</v>
      </c>
      <c r="C227" s="100">
        <v>5.0</v>
      </c>
      <c r="D227" s="100" t="s">
        <v>2538</v>
      </c>
      <c r="E227" s="100" t="s">
        <v>2539</v>
      </c>
      <c r="G227" s="13" t="str">
        <f t="shared" si="3"/>
        <v>NATURE &amp; EXPLORATION</v>
      </c>
      <c r="H227" s="261" t="s">
        <v>56</v>
      </c>
    </row>
    <row r="228" ht="14.25" customHeight="1">
      <c r="A228" s="259" t="s">
        <v>959</v>
      </c>
      <c r="B228" s="260" t="s">
        <v>2544</v>
      </c>
      <c r="C228" s="100">
        <v>2.0</v>
      </c>
      <c r="D228" s="100" t="s">
        <v>2545</v>
      </c>
      <c r="E228" s="100" t="s">
        <v>2548</v>
      </c>
      <c r="G228" s="13" t="str">
        <f t="shared" si="3"/>
        <v>LOISIRS &amp; ÉNERGIE</v>
      </c>
      <c r="H228" s="261" t="s">
        <v>56</v>
      </c>
    </row>
    <row r="229" ht="14.25" customHeight="1">
      <c r="A229" s="259" t="s">
        <v>1111</v>
      </c>
      <c r="B229" s="260" t="s">
        <v>2558</v>
      </c>
      <c r="C229" s="100">
        <v>4.0</v>
      </c>
      <c r="D229" s="100" t="s">
        <v>2560</v>
      </c>
      <c r="E229" s="100" t="s">
        <v>2561</v>
      </c>
      <c r="G229" s="13" t="str">
        <f t="shared" si="3"/>
        <v>SÉRÉNITÉ PARENTS</v>
      </c>
      <c r="H229" s="261" t="s">
        <v>56</v>
      </c>
    </row>
    <row r="230" ht="14.25" customHeight="1">
      <c r="A230" s="259" t="s">
        <v>998</v>
      </c>
      <c r="B230" s="260" t="s">
        <v>2565</v>
      </c>
      <c r="C230" s="100">
        <v>5.0</v>
      </c>
      <c r="D230" s="100" t="s">
        <v>2566</v>
      </c>
      <c r="E230" s="100" t="s">
        <v>2567</v>
      </c>
      <c r="G230" s="263" t="s">
        <v>51</v>
      </c>
      <c r="H230" s="263" t="s">
        <v>56</v>
      </c>
    </row>
    <row r="231" ht="14.25" customHeight="1">
      <c r="A231" s="259" t="s">
        <v>1053</v>
      </c>
      <c r="B231" s="260" t="s">
        <v>2574</v>
      </c>
      <c r="C231" s="100">
        <v>4.0</v>
      </c>
      <c r="D231" s="100" t="s">
        <v>2575</v>
      </c>
      <c r="E231" s="100" t="s">
        <v>2576</v>
      </c>
      <c r="G231" s="263" t="s">
        <v>51</v>
      </c>
      <c r="H231" s="263" t="s">
        <v>56</v>
      </c>
    </row>
    <row r="232" ht="14.25" customHeight="1">
      <c r="A232" s="259" t="s">
        <v>1090</v>
      </c>
      <c r="B232" s="260" t="s">
        <v>2582</v>
      </c>
      <c r="C232" s="100">
        <v>4.0</v>
      </c>
      <c r="D232" s="100" t="s">
        <v>2585</v>
      </c>
      <c r="E232" s="100" t="s">
        <v>2586</v>
      </c>
      <c r="G232" s="263" t="s">
        <v>51</v>
      </c>
      <c r="H232" s="263" t="s">
        <v>56</v>
      </c>
    </row>
    <row r="233" ht="14.25" customHeight="1">
      <c r="A233" s="259" t="s">
        <v>181</v>
      </c>
      <c r="B233" s="260" t="s">
        <v>2590</v>
      </c>
      <c r="C233" s="100">
        <v>3.0</v>
      </c>
      <c r="D233" s="100" t="s">
        <v>2592</v>
      </c>
      <c r="E233" s="100" t="s">
        <v>2593</v>
      </c>
      <c r="G233" s="264" t="s">
        <v>51</v>
      </c>
      <c r="H233" s="264" t="s">
        <v>56</v>
      </c>
    </row>
    <row r="234" ht="14.25" customHeight="1">
      <c r="A234" s="259" t="s">
        <v>76</v>
      </c>
      <c r="B234" s="260" t="s">
        <v>2595</v>
      </c>
      <c r="C234" s="100">
        <v>5.0</v>
      </c>
      <c r="D234" s="100" t="s">
        <v>2598</v>
      </c>
      <c r="E234" s="100" t="s">
        <v>2599</v>
      </c>
      <c r="G234" s="264" t="s">
        <v>51</v>
      </c>
      <c r="H234" s="264" t="s">
        <v>56</v>
      </c>
    </row>
    <row r="235" ht="14.25" customHeight="1">
      <c r="A235" s="259" t="s">
        <v>1135</v>
      </c>
      <c r="B235" s="260" t="s">
        <v>2601</v>
      </c>
      <c r="C235" s="100">
        <v>4.0</v>
      </c>
      <c r="D235" s="100" t="s">
        <v>2603</v>
      </c>
      <c r="E235" s="100" t="s">
        <v>2606</v>
      </c>
      <c r="G235" s="264" t="s">
        <v>51</v>
      </c>
      <c r="H235" s="264" t="s">
        <v>56</v>
      </c>
    </row>
    <row r="236" ht="14.25" customHeight="1">
      <c r="A236" s="259" t="s">
        <v>1156</v>
      </c>
      <c r="B236" s="260" t="s">
        <v>2613</v>
      </c>
      <c r="C236" s="100">
        <v>46.0</v>
      </c>
      <c r="D236" s="100" t="s">
        <v>2614</v>
      </c>
      <c r="E236" s="100" t="s">
        <v>2615</v>
      </c>
      <c r="G236" s="264" t="s">
        <v>51</v>
      </c>
      <c r="H236" s="264" t="s">
        <v>56</v>
      </c>
    </row>
    <row r="237" ht="14.25" customHeight="1">
      <c r="A237" s="265" t="s">
        <v>1475</v>
      </c>
      <c r="B237" s="266" t="s">
        <v>2618</v>
      </c>
      <c r="C237" s="257">
        <v>9.0</v>
      </c>
      <c r="D237" s="257" t="s">
        <v>2621</v>
      </c>
      <c r="E237" s="257" t="s">
        <v>2623</v>
      </c>
      <c r="F237" s="258"/>
      <c r="G237" s="258" t="s">
        <v>51</v>
      </c>
      <c r="H237" s="258" t="s">
        <v>56</v>
      </c>
      <c r="I237" s="258"/>
      <c r="J237" s="258"/>
    </row>
    <row r="238" ht="14.25" customHeight="1">
      <c r="A238" s="259" t="s">
        <v>1541</v>
      </c>
      <c r="B238" s="260" t="s">
        <v>2630</v>
      </c>
      <c r="C238" s="100">
        <v>16.0</v>
      </c>
      <c r="D238" s="100" t="s">
        <v>2631</v>
      </c>
      <c r="E238" s="100" t="s">
        <v>2632</v>
      </c>
      <c r="G238" s="264" t="s">
        <v>51</v>
      </c>
      <c r="H238" s="264" t="s">
        <v>56</v>
      </c>
    </row>
    <row r="239" ht="14.25" customHeight="1">
      <c r="A239" s="259" t="s">
        <v>1719</v>
      </c>
      <c r="B239" s="260" t="s">
        <v>2634</v>
      </c>
      <c r="C239" s="100">
        <v>3.0</v>
      </c>
      <c r="D239" s="100" t="s">
        <v>2637</v>
      </c>
      <c r="E239" s="100" t="s">
        <v>2639</v>
      </c>
      <c r="G239" s="264" t="s">
        <v>51</v>
      </c>
      <c r="H239" s="264" t="s">
        <v>56</v>
      </c>
    </row>
    <row r="240" ht="14.25" customHeight="1">
      <c r="A240" s="259" t="s">
        <v>1846</v>
      </c>
      <c r="B240" s="260" t="s">
        <v>2642</v>
      </c>
      <c r="C240" s="100">
        <v>2.0</v>
      </c>
      <c r="D240" s="100" t="s">
        <v>2643</v>
      </c>
      <c r="E240" s="100" t="s">
        <v>2645</v>
      </c>
      <c r="G240" s="264" t="s">
        <v>51</v>
      </c>
      <c r="H240" s="264" t="s">
        <v>56</v>
      </c>
    </row>
    <row r="241" ht="14.25" customHeight="1">
      <c r="A241" s="259" t="s">
        <v>456</v>
      </c>
      <c r="B241" s="260" t="s">
        <v>2646</v>
      </c>
      <c r="C241" s="100">
        <v>5.0</v>
      </c>
      <c r="D241" s="100" t="s">
        <v>2648</v>
      </c>
      <c r="E241" s="100" t="s">
        <v>2650</v>
      </c>
      <c r="G241" s="264" t="s">
        <v>51</v>
      </c>
      <c r="H241" s="264" t="s">
        <v>56</v>
      </c>
    </row>
    <row r="242" ht="14.25" customHeight="1">
      <c r="A242" s="259" t="s">
        <v>22</v>
      </c>
      <c r="B242" s="260" t="s">
        <v>2652</v>
      </c>
      <c r="C242" s="100">
        <v>4.0</v>
      </c>
      <c r="D242" s="100" t="s">
        <v>2653</v>
      </c>
      <c r="E242" s="100" t="s">
        <v>2654</v>
      </c>
      <c r="G242" s="264" t="s">
        <v>51</v>
      </c>
      <c r="H242" s="264" t="s">
        <v>56</v>
      </c>
    </row>
    <row r="243" ht="14.25" customHeight="1">
      <c r="A243" s="259" t="s">
        <v>1432</v>
      </c>
      <c r="B243" s="260" t="s">
        <v>2655</v>
      </c>
      <c r="C243" s="100">
        <v>4.0</v>
      </c>
      <c r="D243" s="100" t="s">
        <v>2656</v>
      </c>
      <c r="E243" s="100" t="s">
        <v>2657</v>
      </c>
      <c r="G243" s="264" t="s">
        <v>51</v>
      </c>
      <c r="H243" s="264" t="s">
        <v>56</v>
      </c>
    </row>
    <row r="244" ht="14.25" customHeight="1">
      <c r="A244" s="259" t="s">
        <v>1064</v>
      </c>
      <c r="B244" s="260" t="s">
        <v>2658</v>
      </c>
      <c r="C244" s="100">
        <v>4.0</v>
      </c>
      <c r="D244" s="100" t="s">
        <v>2660</v>
      </c>
      <c r="E244" s="100" t="s">
        <v>2661</v>
      </c>
      <c r="G244" s="264" t="s">
        <v>51</v>
      </c>
      <c r="H244" s="264" t="s">
        <v>56</v>
      </c>
    </row>
    <row r="245" ht="14.25" customHeight="1">
      <c r="A245" s="259" t="s">
        <v>1824</v>
      </c>
      <c r="B245" s="260" t="s">
        <v>2663</v>
      </c>
      <c r="C245" s="100">
        <v>1.0</v>
      </c>
      <c r="D245" s="100" t="s">
        <v>2664</v>
      </c>
      <c r="E245" s="100" t="s">
        <v>2665</v>
      </c>
      <c r="G245" s="264" t="s">
        <v>51</v>
      </c>
      <c r="H245" s="264" t="s">
        <v>56</v>
      </c>
    </row>
    <row r="246" ht="14.25" customHeight="1">
      <c r="A246" s="259" t="s">
        <v>27</v>
      </c>
      <c r="B246" s="260" t="s">
        <v>2667</v>
      </c>
      <c r="C246" s="100">
        <v>6.0</v>
      </c>
      <c r="D246" s="100" t="s">
        <v>2672</v>
      </c>
      <c r="E246" s="100" t="s">
        <v>2673</v>
      </c>
      <c r="G246" s="264" t="s">
        <v>51</v>
      </c>
      <c r="H246" s="264" t="s">
        <v>56</v>
      </c>
    </row>
    <row r="247" ht="14.25" customHeight="1">
      <c r="A247" s="259" t="s">
        <v>204</v>
      </c>
      <c r="B247" s="260" t="s">
        <v>2676</v>
      </c>
      <c r="C247" s="100">
        <v>3.0</v>
      </c>
      <c r="D247" s="100" t="s">
        <v>2678</v>
      </c>
      <c r="E247" s="100" t="s">
        <v>2680</v>
      </c>
      <c r="G247" s="264" t="s">
        <v>51</v>
      </c>
      <c r="H247" s="264" t="s">
        <v>56</v>
      </c>
    </row>
    <row r="248" ht="14.25" customHeight="1">
      <c r="A248" s="259" t="s">
        <v>1174</v>
      </c>
      <c r="B248" s="260" t="s">
        <v>2684</v>
      </c>
      <c r="C248" s="100">
        <v>5.0</v>
      </c>
      <c r="D248" s="100" t="s">
        <v>2685</v>
      </c>
      <c r="E248" s="100" t="s">
        <v>2687</v>
      </c>
      <c r="G248" s="264" t="s">
        <v>51</v>
      </c>
      <c r="H248" s="264" t="s">
        <v>56</v>
      </c>
    </row>
    <row r="249" ht="14.25" customHeight="1">
      <c r="A249" s="259" t="s">
        <v>1916</v>
      </c>
      <c r="B249" s="260" t="s">
        <v>2688</v>
      </c>
      <c r="C249" s="100">
        <v>20.0</v>
      </c>
      <c r="D249" s="100" t="s">
        <v>2689</v>
      </c>
      <c r="E249" s="100" t="s">
        <v>2690</v>
      </c>
      <c r="G249" s="264" t="s">
        <v>51</v>
      </c>
      <c r="H249" s="264" t="s">
        <v>56</v>
      </c>
    </row>
    <row r="250" ht="14.25" customHeight="1">
      <c r="A250" s="267" t="s">
        <v>1111</v>
      </c>
      <c r="B250" s="207" t="s">
        <v>2075</v>
      </c>
      <c r="C250" s="208" t="str">
        <f t="array" ref="C250">XLOOKUP($B250,'🔖 CODES DE RÉFÉRENCE'!$B:$B,'🔖 CODES DE RÉFÉRENCE'!$C:$C,"")</f>
        <v>Berline standard · Transfert interville</v>
      </c>
      <c r="D250" s="208" t="str">
        <f t="array" ref="D250">XLOOKUP($B250,'🔖 CODES DE RÉFÉRENCE'!$B:$B,'🔖 CODES DE RÉFÉRENCE'!$D:$D,"")</f>
        <v>Tarif indicatif : 25 € · par véhicule</v>
      </c>
      <c r="G250" s="264" t="s">
        <v>51</v>
      </c>
      <c r="H250" s="264" t="s">
        <v>56</v>
      </c>
      <c r="J250" s="13" t="str">
        <f t="shared" ref="J250:J262" si="4">$B250&amp;" — "&amp;$C250</f>
        <v>TR-BER-TI — Berline standard · Transfert interville</v>
      </c>
    </row>
    <row r="251" ht="14.25" customHeight="1">
      <c r="A251" s="267" t="s">
        <v>1111</v>
      </c>
      <c r="B251" s="207" t="s">
        <v>2082</v>
      </c>
      <c r="C251" s="208" t="str">
        <f t="array" ref="C251">XLOOKUP($B251,'🔖 CODES DE RÉFÉRENCE'!$B:$B,'🔖 CODES DE RÉFÉRENCE'!$C:$C,"")</f>
        <v>Berline standard · Demi-journée</v>
      </c>
      <c r="D251" s="208" t="str">
        <f t="array" ref="D251">XLOOKUP($B251,'🔖 CODES DE RÉFÉRENCE'!$B:$B,'🔖 CODES DE RÉFÉRENCE'!$D:$D,"")</f>
        <v>Tarif indicatif : 80 € · par véhicule</v>
      </c>
      <c r="G251" s="264" t="s">
        <v>51</v>
      </c>
      <c r="H251" s="264" t="s">
        <v>56</v>
      </c>
      <c r="J251" s="13" t="str">
        <f t="shared" si="4"/>
        <v>TR-BER-DM — Berline standard · Demi-journée</v>
      </c>
    </row>
    <row r="252" ht="14.25" customHeight="1">
      <c r="A252" s="267" t="s">
        <v>1111</v>
      </c>
      <c r="B252" s="207" t="s">
        <v>2085</v>
      </c>
      <c r="C252" s="208" t="str">
        <f t="array" ref="C252">XLOOKUP($B252,'🔖 CODES DE RÉFÉRENCE'!$B:$B,'🔖 CODES DE RÉFÉRENCE'!$C:$C,"")</f>
        <v>Berline standard · Journée complète</v>
      </c>
      <c r="D252" s="208" t="str">
        <f t="array" ref="D252">XLOOKUP($B252,'🔖 CODES DE RÉFÉRENCE'!$B:$B,'🔖 CODES DE RÉFÉRENCE'!$D:$D,"")</f>
        <v>Tarif indicatif : 150 € · par véhicule</v>
      </c>
      <c r="G252" s="264" t="s">
        <v>51</v>
      </c>
      <c r="H252" s="264" t="s">
        <v>56</v>
      </c>
      <c r="J252" s="13" t="str">
        <f t="shared" si="4"/>
        <v>TR-BER-JC — Berline standard · Journée complète</v>
      </c>
    </row>
    <row r="253" ht="14.25" customHeight="1">
      <c r="A253" s="267" t="s">
        <v>1111</v>
      </c>
      <c r="B253" s="207" t="s">
        <v>2088</v>
      </c>
      <c r="C253" s="208" t="str">
        <f t="array" ref="C253">XLOOKUP($B253,'🔖 CODES DE RÉFÉRENCE'!$B:$B,'🔖 CODES DE RÉFÉRENCE'!$C:$C,"")</f>
        <v>Berline luxe · Transfert interville</v>
      </c>
      <c r="D253" s="208" t="str">
        <f t="array" ref="D253">XLOOKUP($B253,'🔖 CODES DE RÉFÉRENCE'!$B:$B,'🔖 CODES DE RÉFÉRENCE'!$D:$D,"")</f>
        <v>Tarif indicatif : 45 € · par véhicule</v>
      </c>
      <c r="G253" s="264" t="s">
        <v>51</v>
      </c>
      <c r="H253" s="264" t="s">
        <v>56</v>
      </c>
      <c r="J253" s="13" t="str">
        <f t="shared" si="4"/>
        <v>TR-BEL-TI — Berline luxe · Transfert interville</v>
      </c>
    </row>
    <row r="254" ht="14.25" customHeight="1">
      <c r="A254" s="267" t="s">
        <v>1111</v>
      </c>
      <c r="B254" s="207" t="s">
        <v>2091</v>
      </c>
      <c r="C254" s="208" t="str">
        <f t="array" ref="C254">XLOOKUP($B254,'🔖 CODES DE RÉFÉRENCE'!$B:$B,'🔖 CODES DE RÉFÉRENCE'!$C:$C,"")</f>
        <v>Berline luxe · Demi-journée</v>
      </c>
      <c r="D254" s="208" t="str">
        <f t="array" ref="D254">XLOOKUP($B254,'🔖 CODES DE RÉFÉRENCE'!$B:$B,'🔖 CODES DE RÉFÉRENCE'!$D:$D,"")</f>
        <v>Tarif indicatif : 150 € · par véhicule</v>
      </c>
      <c r="G254" s="264" t="s">
        <v>51</v>
      </c>
      <c r="H254" s="264" t="s">
        <v>56</v>
      </c>
      <c r="J254" s="13" t="str">
        <f t="shared" si="4"/>
        <v>TR-BEL-DM — Berline luxe · Demi-journée</v>
      </c>
    </row>
    <row r="255" ht="14.25" customHeight="1">
      <c r="A255" s="267" t="s">
        <v>1111</v>
      </c>
      <c r="B255" s="207" t="s">
        <v>2096</v>
      </c>
      <c r="C255" s="208" t="str">
        <f t="array" ref="C255">XLOOKUP($B255,'🔖 CODES DE RÉFÉRENCE'!$B:$B,'🔖 CODES DE RÉFÉRENCE'!$C:$C,"")</f>
        <v>Berline luxe · Journée complète</v>
      </c>
      <c r="D255" s="208" t="str">
        <f t="array" ref="D255">XLOOKUP($B255,'🔖 CODES DE RÉFÉRENCE'!$B:$B,'🔖 CODES DE RÉFÉRENCE'!$D:$D,"")</f>
        <v>Tarif indicatif : 280 € · par véhicule</v>
      </c>
      <c r="G255" s="264" t="s">
        <v>51</v>
      </c>
      <c r="H255" s="264" t="s">
        <v>56</v>
      </c>
      <c r="J255" s="13" t="str">
        <f t="shared" si="4"/>
        <v>TR-BEL-JC — Berline luxe · Journée complète</v>
      </c>
    </row>
    <row r="256" ht="14.25" customHeight="1">
      <c r="A256" s="267" t="s">
        <v>1111</v>
      </c>
      <c r="B256" s="207" t="s">
        <v>2101</v>
      </c>
      <c r="C256" s="208" t="str">
        <f t="array" ref="C256">XLOOKUP($B256,'🔖 CODES DE RÉFÉRENCE'!$B:$B,'🔖 CODES DE RÉFÉRENCE'!$C:$C,"")</f>
        <v>Van premium · Transfert interville</v>
      </c>
      <c r="D256" s="208" t="str">
        <f t="array" ref="D256">XLOOKUP($B256,'🔖 CODES DE RÉFÉRENCE'!$B:$B,'🔖 CODES DE RÉFÉRENCE'!$D:$D,"")</f>
        <v>Tarif indicatif : 45 € · par véhicule</v>
      </c>
      <c r="G256" s="264" t="s">
        <v>51</v>
      </c>
      <c r="H256" s="264" t="s">
        <v>56</v>
      </c>
      <c r="J256" s="13" t="str">
        <f t="shared" si="4"/>
        <v>TR-VAN-TI — Van premium · Transfert interville</v>
      </c>
    </row>
    <row r="257" ht="14.25" customHeight="1">
      <c r="A257" s="267" t="s">
        <v>1111</v>
      </c>
      <c r="B257" s="207" t="s">
        <v>2105</v>
      </c>
      <c r="C257" s="208" t="str">
        <f t="array" ref="C257">XLOOKUP($B257,'🔖 CODES DE RÉFÉRENCE'!$B:$B,'🔖 CODES DE RÉFÉRENCE'!$C:$C,"")</f>
        <v>Van premium · Demi-journée</v>
      </c>
      <c r="D257" s="208" t="str">
        <f t="array" ref="D257">XLOOKUP($B257,'🔖 CODES DE RÉFÉRENCE'!$B:$B,'🔖 CODES DE RÉFÉRENCE'!$D:$D,"")</f>
        <v>Tarif indicatif : 120 € · par véhicule</v>
      </c>
      <c r="G257" s="264" t="s">
        <v>51</v>
      </c>
      <c r="H257" s="264" t="s">
        <v>56</v>
      </c>
      <c r="J257" s="13" t="str">
        <f t="shared" si="4"/>
        <v>TR-VAN-DM — Van premium · Demi-journée</v>
      </c>
    </row>
    <row r="258" ht="14.25" customHeight="1">
      <c r="A258" s="267" t="s">
        <v>1111</v>
      </c>
      <c r="B258" s="207" t="s">
        <v>2109</v>
      </c>
      <c r="C258" s="208" t="str">
        <f t="array" ref="C258">XLOOKUP($B258,'🔖 CODES DE RÉFÉRENCE'!$B:$B,'🔖 CODES DE RÉFÉRENCE'!$C:$C,"")</f>
        <v>Van premium · Journée complète</v>
      </c>
      <c r="D258" s="208" t="str">
        <f t="array" ref="D258">XLOOKUP($B258,'🔖 CODES DE RÉFÉRENCE'!$B:$B,'🔖 CODES DE RÉFÉRENCE'!$D:$D,"")</f>
        <v>Tarif indicatif : 220 € · par véhicule</v>
      </c>
      <c r="G258" s="264" t="s">
        <v>51</v>
      </c>
      <c r="H258" s="264" t="s">
        <v>56</v>
      </c>
      <c r="J258" s="13" t="str">
        <f t="shared" si="4"/>
        <v>TR-VAN-JC — Van premium · Journée complète</v>
      </c>
    </row>
    <row r="259" ht="14.25" customHeight="1">
      <c r="A259" s="267" t="s">
        <v>1111</v>
      </c>
      <c r="B259" s="207" t="s">
        <v>2114</v>
      </c>
      <c r="C259" s="208" t="str">
        <f t="array" ref="C259">XLOOKUP($B259,'🔖 CODES DE RÉFÉRENCE'!$B:$B,'🔖 CODES DE RÉFÉRENCE'!$C:$C,"")</f>
        <v>SUV luxe · Transfert interville</v>
      </c>
      <c r="D259" s="208" t="str">
        <f t="array" ref="D259">XLOOKUP($B259,'🔖 CODES DE RÉFÉRENCE'!$B:$B,'🔖 CODES DE RÉFÉRENCE'!$D:$D,"")</f>
        <v>Tarif indicatif : 60 € · par véhicule</v>
      </c>
      <c r="G259" s="264" t="s">
        <v>51</v>
      </c>
      <c r="H259" s="264" t="s">
        <v>56</v>
      </c>
      <c r="J259" s="13" t="str">
        <f t="shared" si="4"/>
        <v>TR-SUV-TI — SUV luxe · Transfert interville</v>
      </c>
    </row>
    <row r="260" ht="14.25" customHeight="1">
      <c r="A260" s="267" t="s">
        <v>1111</v>
      </c>
      <c r="B260" s="207" t="s">
        <v>2119</v>
      </c>
      <c r="C260" s="208" t="str">
        <f t="array" ref="C260">XLOOKUP($B260,'🔖 CODES DE RÉFÉRENCE'!$B:$B,'🔖 CODES DE RÉFÉRENCE'!$C:$C,"")</f>
        <v>SUV luxe · Demi-journée</v>
      </c>
      <c r="D260" s="208" t="str">
        <f t="array" ref="D260">XLOOKUP($B260,'🔖 CODES DE RÉFÉRENCE'!$B:$B,'🔖 CODES DE RÉFÉRENCE'!$D:$D,"")</f>
        <v>Tarif indicatif : 180 € · par véhicule</v>
      </c>
      <c r="G260" s="264" t="s">
        <v>51</v>
      </c>
      <c r="H260" s="264" t="s">
        <v>56</v>
      </c>
      <c r="J260" s="13" t="str">
        <f t="shared" si="4"/>
        <v>TR-SUV-DM — SUV luxe · Demi-journée</v>
      </c>
    </row>
    <row r="261" ht="14.25" customHeight="1">
      <c r="A261" s="267" t="s">
        <v>1111</v>
      </c>
      <c r="B261" s="207" t="s">
        <v>2122</v>
      </c>
      <c r="C261" s="208" t="str">
        <f t="array" ref="C261">XLOOKUP($B261,'🔖 CODES DE RÉFÉRENCE'!$B:$B,'🔖 CODES DE RÉFÉRENCE'!$C:$C,"")</f>
        <v>SUV luxe · Journée complète</v>
      </c>
      <c r="D261" s="208" t="str">
        <f t="array" ref="D261">XLOOKUP($B261,'🔖 CODES DE RÉFÉRENCE'!$B:$B,'🔖 CODES DE RÉFÉRENCE'!$D:$D,"")</f>
        <v>Tarif indicatif : 350 € · par véhicule</v>
      </c>
      <c r="G261" s="264" t="s">
        <v>51</v>
      </c>
      <c r="H261" s="264" t="s">
        <v>56</v>
      </c>
      <c r="J261" s="13" t="str">
        <f t="shared" si="4"/>
        <v>TR-SUV-JC — SUV luxe · Journée complète</v>
      </c>
    </row>
    <row r="262" ht="14.25" customHeight="1">
      <c r="A262" s="261" t="s">
        <v>1111</v>
      </c>
      <c r="B262" s="261" t="s">
        <v>2125</v>
      </c>
      <c r="C262" s="261" t="str">
        <f t="array" ref="C262">XLOOKUP($B262,'🔖 CODES DE RÉFÉRENCE'!$B:$B,'🔖 CODES DE RÉFÉRENCE'!$C:$C,"")</f>
        <v>Minibus (type Sprinter · ~15 pax)</v>
      </c>
      <c r="D262" s="261" t="str">
        <f t="array" ref="D262">XLOOKUP($B262,'🔖 CODES DE RÉFÉRENCE'!$B:$B,'🔖 CODES DE RÉFÉRENCE'!$D:$D,"")</f>
        <v>Minibus avec chauffeur pour groupes · tarifs à valider (code créé en V2 sur validation)</v>
      </c>
      <c r="G262" s="264" t="s">
        <v>51</v>
      </c>
      <c r="H262" s="264" t="s">
        <v>56</v>
      </c>
      <c r="I262" s="261" t="s">
        <v>2747</v>
      </c>
      <c r="J262" s="261" t="str">
        <f t="shared" si="4"/>
        <v>TR-MIN — Minibus (type Sprinter · ~15 pax)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3B52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5.63"/>
    <col customWidth="1" min="2" max="2" width="58.25"/>
    <col customWidth="1" min="3" max="3" width="16.0"/>
    <col customWidth="1" min="4" max="4" width="30.0"/>
    <col customWidth="1" min="5" max="5" width="16.0"/>
    <col customWidth="1" min="6" max="6" width="18.0"/>
    <col customWidth="1" min="7" max="7" width="40.0"/>
    <col customWidth="1" min="8" max="8" width="70.63"/>
  </cols>
  <sheetData>
    <row r="1" ht="15.0" customHeight="1">
      <c r="A1" s="6" t="s">
        <v>3</v>
      </c>
      <c r="B1" s="8"/>
      <c r="C1" s="8"/>
      <c r="D1" s="8"/>
      <c r="E1" s="8"/>
      <c r="F1" s="8"/>
      <c r="G1" s="8"/>
    </row>
    <row r="2" ht="15.0" customHeight="1">
      <c r="A2" s="15" t="s">
        <v>6</v>
      </c>
      <c r="B2" s="15" t="s">
        <v>14</v>
      </c>
      <c r="C2" s="15" t="s">
        <v>8</v>
      </c>
      <c r="D2" s="15" t="s">
        <v>10</v>
      </c>
      <c r="E2" s="15" t="s">
        <v>19</v>
      </c>
      <c r="F2" s="15" t="s">
        <v>21</v>
      </c>
      <c r="G2" s="15" t="s">
        <v>23</v>
      </c>
      <c r="H2" s="21" t="s">
        <v>25</v>
      </c>
    </row>
    <row r="3" ht="15.0" customHeight="1">
      <c r="A3" s="23" t="s">
        <v>27</v>
      </c>
      <c r="B3" s="23" t="s">
        <v>30</v>
      </c>
      <c r="C3" s="23" t="s">
        <v>31</v>
      </c>
      <c r="D3" s="23" t="s">
        <v>32</v>
      </c>
      <c r="E3" s="23" t="s">
        <v>34</v>
      </c>
      <c r="F3" s="23" t="s">
        <v>35</v>
      </c>
      <c r="G3" s="23" t="s">
        <v>36</v>
      </c>
    </row>
    <row r="4" ht="15.0" customHeight="1">
      <c r="A4" s="23" t="s">
        <v>27</v>
      </c>
      <c r="B4" s="23" t="s">
        <v>30</v>
      </c>
      <c r="C4" s="23" t="s">
        <v>37</v>
      </c>
      <c r="D4" s="23" t="s">
        <v>38</v>
      </c>
      <c r="E4" s="23" t="s">
        <v>34</v>
      </c>
      <c r="F4" s="23" t="s">
        <v>35</v>
      </c>
      <c r="G4" s="23" t="s">
        <v>41</v>
      </c>
    </row>
    <row r="5" ht="15.0" customHeight="1">
      <c r="A5" s="23" t="s">
        <v>27</v>
      </c>
      <c r="B5" s="23" t="s">
        <v>30</v>
      </c>
      <c r="C5" s="23" t="s">
        <v>43</v>
      </c>
      <c r="D5" s="23" t="s">
        <v>44</v>
      </c>
      <c r="E5" s="23" t="s">
        <v>34</v>
      </c>
      <c r="F5" s="23" t="s">
        <v>35</v>
      </c>
      <c r="G5" s="23" t="s">
        <v>48</v>
      </c>
    </row>
    <row r="6" ht="15.0" customHeight="1">
      <c r="A6" s="23" t="s">
        <v>27</v>
      </c>
      <c r="B6" s="23" t="s">
        <v>30</v>
      </c>
      <c r="C6" s="23" t="s">
        <v>52</v>
      </c>
      <c r="D6" s="23" t="s">
        <v>53</v>
      </c>
      <c r="E6" s="23" t="s">
        <v>34</v>
      </c>
      <c r="F6" s="23" t="s">
        <v>35</v>
      </c>
      <c r="G6" s="23" t="s">
        <v>55</v>
      </c>
    </row>
    <row r="7" ht="15.0" customHeight="1">
      <c r="A7" s="23" t="s">
        <v>27</v>
      </c>
      <c r="B7" s="23" t="s">
        <v>30</v>
      </c>
      <c r="C7" s="23" t="s">
        <v>60</v>
      </c>
      <c r="D7" s="23" t="s">
        <v>62</v>
      </c>
      <c r="E7" s="23" t="s">
        <v>34</v>
      </c>
      <c r="F7" s="23" t="s">
        <v>35</v>
      </c>
      <c r="G7" s="23" t="s">
        <v>66</v>
      </c>
    </row>
    <row r="8" ht="15.0" customHeight="1">
      <c r="A8" s="23" t="s">
        <v>27</v>
      </c>
      <c r="B8" s="23" t="s">
        <v>30</v>
      </c>
      <c r="C8" s="23" t="s">
        <v>71</v>
      </c>
      <c r="D8" s="23" t="s">
        <v>72</v>
      </c>
      <c r="E8" s="23" t="s">
        <v>34</v>
      </c>
      <c r="F8" s="23" t="s">
        <v>35</v>
      </c>
      <c r="G8" s="23" t="s">
        <v>74</v>
      </c>
    </row>
    <row r="9" ht="15.0" customHeight="1">
      <c r="A9" s="23" t="s">
        <v>76</v>
      </c>
      <c r="B9" s="23" t="s">
        <v>80</v>
      </c>
      <c r="C9" s="23" t="s">
        <v>83</v>
      </c>
      <c r="D9" s="23" t="s">
        <v>65</v>
      </c>
      <c r="E9" s="23" t="s">
        <v>86</v>
      </c>
      <c r="F9" s="23" t="s">
        <v>88</v>
      </c>
      <c r="G9" s="23" t="s">
        <v>90</v>
      </c>
    </row>
    <row r="10" ht="15.0" customHeight="1">
      <c r="A10" s="23" t="s">
        <v>76</v>
      </c>
      <c r="B10" s="23" t="s">
        <v>80</v>
      </c>
      <c r="C10" s="23" t="s">
        <v>96</v>
      </c>
      <c r="D10" s="23" t="s">
        <v>46</v>
      </c>
      <c r="E10" s="23" t="s">
        <v>86</v>
      </c>
      <c r="F10" s="23" t="s">
        <v>88</v>
      </c>
      <c r="G10" s="23" t="s">
        <v>97</v>
      </c>
      <c r="H10" s="47" t="s">
        <v>98</v>
      </c>
    </row>
    <row r="11" ht="15.0" customHeight="1">
      <c r="A11" s="23" t="s">
        <v>76</v>
      </c>
      <c r="B11" s="23" t="s">
        <v>80</v>
      </c>
      <c r="C11" s="23" t="s">
        <v>105</v>
      </c>
      <c r="D11" s="23" t="s">
        <v>94</v>
      </c>
      <c r="E11" s="23" t="s">
        <v>86</v>
      </c>
      <c r="F11" s="23" t="s">
        <v>88</v>
      </c>
      <c r="G11" s="23" t="s">
        <v>110</v>
      </c>
      <c r="H11" s="47" t="s">
        <v>111</v>
      </c>
    </row>
    <row r="12" ht="15.0" customHeight="1">
      <c r="A12" s="23" t="s">
        <v>76</v>
      </c>
      <c r="B12" s="23" t="s">
        <v>80</v>
      </c>
      <c r="C12" s="23" t="s">
        <v>115</v>
      </c>
      <c r="D12" s="23" t="s">
        <v>100</v>
      </c>
      <c r="E12" s="23" t="s">
        <v>86</v>
      </c>
      <c r="F12" s="23" t="s">
        <v>88</v>
      </c>
      <c r="G12" s="23" t="s">
        <v>120</v>
      </c>
    </row>
    <row r="13" ht="15.0" customHeight="1">
      <c r="A13" s="23" t="s">
        <v>76</v>
      </c>
      <c r="B13" s="23" t="s">
        <v>80</v>
      </c>
      <c r="C13" s="23" t="s">
        <v>123</v>
      </c>
      <c r="D13" s="23" t="s">
        <v>77</v>
      </c>
      <c r="E13" s="23" t="s">
        <v>86</v>
      </c>
      <c r="F13" s="23" t="s">
        <v>88</v>
      </c>
      <c r="G13" s="23" t="s">
        <v>126</v>
      </c>
    </row>
    <row r="14" ht="15.0" customHeight="1">
      <c r="A14" s="23" t="s">
        <v>26</v>
      </c>
      <c r="B14" s="23" t="s">
        <v>128</v>
      </c>
      <c r="C14" s="23" t="s">
        <v>29</v>
      </c>
      <c r="D14" s="23" t="s">
        <v>46</v>
      </c>
      <c r="E14" s="23" t="s">
        <v>86</v>
      </c>
      <c r="F14" s="23" t="s">
        <v>132</v>
      </c>
      <c r="G14" s="23" t="s">
        <v>133</v>
      </c>
    </row>
    <row r="15" ht="15.0" customHeight="1">
      <c r="A15" s="23" t="s">
        <v>26</v>
      </c>
      <c r="B15" s="23" t="s">
        <v>128</v>
      </c>
      <c r="C15" s="23" t="s">
        <v>64</v>
      </c>
      <c r="D15" s="23" t="s">
        <v>65</v>
      </c>
      <c r="E15" s="23" t="s">
        <v>86</v>
      </c>
      <c r="F15" s="23" t="s">
        <v>132</v>
      </c>
      <c r="G15" s="23" t="s">
        <v>138</v>
      </c>
    </row>
    <row r="16" ht="15.0" customHeight="1">
      <c r="A16" s="23" t="s">
        <v>26</v>
      </c>
      <c r="B16" s="23" t="s">
        <v>128</v>
      </c>
      <c r="C16" s="23" t="s">
        <v>75</v>
      </c>
      <c r="D16" s="23" t="s">
        <v>77</v>
      </c>
      <c r="E16" s="23" t="s">
        <v>86</v>
      </c>
      <c r="F16" s="23" t="s">
        <v>132</v>
      </c>
      <c r="G16" s="23" t="s">
        <v>142</v>
      </c>
    </row>
    <row r="17" ht="15.0" customHeight="1">
      <c r="A17" s="23" t="s">
        <v>26</v>
      </c>
      <c r="B17" s="23" t="s">
        <v>128</v>
      </c>
      <c r="C17" s="23" t="s">
        <v>91</v>
      </c>
      <c r="D17" s="23" t="s">
        <v>94</v>
      </c>
      <c r="E17" s="23" t="s">
        <v>86</v>
      </c>
      <c r="F17" s="23" t="s">
        <v>132</v>
      </c>
      <c r="G17" s="23" t="s">
        <v>146</v>
      </c>
    </row>
    <row r="18" ht="15.0" customHeight="1">
      <c r="A18" s="23" t="s">
        <v>26</v>
      </c>
      <c r="B18" s="23" t="s">
        <v>128</v>
      </c>
      <c r="C18" s="23" t="s">
        <v>99</v>
      </c>
      <c r="D18" s="23" t="s">
        <v>100</v>
      </c>
      <c r="E18" s="23" t="s">
        <v>86</v>
      </c>
      <c r="F18" s="23" t="s">
        <v>132</v>
      </c>
      <c r="G18" s="23" t="s">
        <v>149</v>
      </c>
    </row>
    <row r="19" ht="15.0" customHeight="1">
      <c r="A19" s="23" t="s">
        <v>150</v>
      </c>
      <c r="B19" s="23" t="s">
        <v>151</v>
      </c>
      <c r="C19" s="23" t="s">
        <v>153</v>
      </c>
      <c r="D19" s="23" t="s">
        <v>154</v>
      </c>
      <c r="E19" s="23" t="s">
        <v>155</v>
      </c>
      <c r="F19" s="23" t="s">
        <v>156</v>
      </c>
      <c r="G19" s="23" t="s">
        <v>157</v>
      </c>
    </row>
    <row r="20" ht="15.0" customHeight="1">
      <c r="A20" s="23" t="s">
        <v>150</v>
      </c>
      <c r="B20" s="23" t="s">
        <v>151</v>
      </c>
      <c r="C20" s="23" t="s">
        <v>158</v>
      </c>
      <c r="D20" s="23" t="s">
        <v>159</v>
      </c>
      <c r="E20" s="23" t="s">
        <v>155</v>
      </c>
      <c r="F20" s="23" t="s">
        <v>156</v>
      </c>
      <c r="G20" s="23" t="s">
        <v>160</v>
      </c>
    </row>
    <row r="21" ht="15.0" customHeight="1">
      <c r="A21" s="23" t="s">
        <v>150</v>
      </c>
      <c r="B21" s="23" t="s">
        <v>151</v>
      </c>
      <c r="C21" s="23" t="s">
        <v>161</v>
      </c>
      <c r="D21" s="23" t="s">
        <v>163</v>
      </c>
      <c r="E21" s="23" t="s">
        <v>155</v>
      </c>
      <c r="F21" s="23" t="s">
        <v>156</v>
      </c>
      <c r="G21" s="23" t="s">
        <v>165</v>
      </c>
    </row>
    <row r="22" ht="15.0" customHeight="1">
      <c r="A22" s="23" t="s">
        <v>150</v>
      </c>
      <c r="B22" s="23" t="s">
        <v>151</v>
      </c>
      <c r="C22" s="23" t="s">
        <v>164</v>
      </c>
      <c r="D22" s="23" t="s">
        <v>166</v>
      </c>
      <c r="E22" s="23" t="s">
        <v>155</v>
      </c>
      <c r="F22" s="23" t="s">
        <v>156</v>
      </c>
      <c r="G22" s="23" t="s">
        <v>170</v>
      </c>
    </row>
    <row r="23" ht="15.0" customHeight="1">
      <c r="A23" s="23" t="s">
        <v>150</v>
      </c>
      <c r="B23" s="23" t="s">
        <v>151</v>
      </c>
      <c r="C23" s="23" t="s">
        <v>167</v>
      </c>
      <c r="D23" s="23" t="s">
        <v>169</v>
      </c>
      <c r="E23" s="23" t="s">
        <v>155</v>
      </c>
      <c r="F23" s="23" t="s">
        <v>156</v>
      </c>
      <c r="G23" s="23" t="s">
        <v>173</v>
      </c>
    </row>
    <row r="24" ht="15.0" customHeight="1">
      <c r="A24" s="23" t="s">
        <v>150</v>
      </c>
      <c r="B24" s="23" t="s">
        <v>151</v>
      </c>
      <c r="C24" s="23" t="s">
        <v>171</v>
      </c>
      <c r="D24" s="23" t="s">
        <v>174</v>
      </c>
      <c r="E24" s="23" t="s">
        <v>176</v>
      </c>
      <c r="F24" s="23" t="s">
        <v>156</v>
      </c>
      <c r="G24" s="23" t="s">
        <v>179</v>
      </c>
    </row>
    <row r="25" ht="15.0" customHeight="1">
      <c r="A25" s="23" t="s">
        <v>181</v>
      </c>
      <c r="B25" s="23" t="s">
        <v>182</v>
      </c>
      <c r="C25" s="23" t="s">
        <v>183</v>
      </c>
      <c r="D25" s="23" t="s">
        <v>184</v>
      </c>
      <c r="E25" s="23" t="s">
        <v>186</v>
      </c>
      <c r="F25" s="23" t="s">
        <v>35</v>
      </c>
      <c r="G25" s="23" t="s">
        <v>188</v>
      </c>
    </row>
    <row r="26" ht="15.0" customHeight="1">
      <c r="A26" s="23" t="s">
        <v>181</v>
      </c>
      <c r="B26" s="23" t="s">
        <v>182</v>
      </c>
      <c r="C26" s="23" t="s">
        <v>190</v>
      </c>
      <c r="D26" s="23" t="s">
        <v>192</v>
      </c>
      <c r="E26" s="23" t="s">
        <v>186</v>
      </c>
      <c r="F26" s="23" t="s">
        <v>35</v>
      </c>
      <c r="G26" s="23" t="s">
        <v>195</v>
      </c>
    </row>
    <row r="27" ht="15.0" customHeight="1">
      <c r="A27" s="23" t="s">
        <v>181</v>
      </c>
      <c r="B27" s="23" t="s">
        <v>182</v>
      </c>
      <c r="C27" s="23" t="s">
        <v>198</v>
      </c>
      <c r="D27" s="23" t="s">
        <v>199</v>
      </c>
      <c r="E27" s="23" t="s">
        <v>186</v>
      </c>
      <c r="F27" s="23" t="s">
        <v>35</v>
      </c>
      <c r="G27" s="23" t="s">
        <v>202</v>
      </c>
    </row>
    <row r="28" ht="15.0" customHeight="1">
      <c r="A28" s="23" t="s">
        <v>204</v>
      </c>
      <c r="B28" s="23" t="s">
        <v>206</v>
      </c>
      <c r="C28" s="23" t="s">
        <v>207</v>
      </c>
      <c r="D28" s="23" t="s">
        <v>208</v>
      </c>
      <c r="E28" s="23" t="s">
        <v>209</v>
      </c>
      <c r="F28" s="23" t="s">
        <v>211</v>
      </c>
      <c r="G28" s="23" t="s">
        <v>213</v>
      </c>
    </row>
    <row r="29" ht="15.0" customHeight="1">
      <c r="A29" s="23" t="s">
        <v>204</v>
      </c>
      <c r="B29" s="23" t="s">
        <v>206</v>
      </c>
      <c r="C29" s="23" t="s">
        <v>217</v>
      </c>
      <c r="D29" s="23" t="s">
        <v>218</v>
      </c>
      <c r="E29" s="23" t="s">
        <v>209</v>
      </c>
      <c r="F29" s="23" t="s">
        <v>211</v>
      </c>
      <c r="G29" s="23" t="s">
        <v>222</v>
      </c>
    </row>
    <row r="30" ht="15.0" customHeight="1">
      <c r="A30" s="23" t="s">
        <v>204</v>
      </c>
      <c r="B30" s="23" t="s">
        <v>206</v>
      </c>
      <c r="C30" s="23" t="s">
        <v>226</v>
      </c>
      <c r="D30" s="23" t="s">
        <v>228</v>
      </c>
      <c r="E30" s="23" t="s">
        <v>209</v>
      </c>
      <c r="F30" s="23" t="s">
        <v>211</v>
      </c>
      <c r="G30" s="23" t="s">
        <v>229</v>
      </c>
    </row>
    <row r="31" ht="15.0" customHeight="1">
      <c r="A31" s="23" t="s">
        <v>231</v>
      </c>
      <c r="B31" s="23" t="s">
        <v>232</v>
      </c>
      <c r="C31" s="23" t="s">
        <v>234</v>
      </c>
      <c r="D31" s="23" t="s">
        <v>235</v>
      </c>
      <c r="E31" s="23" t="s">
        <v>155</v>
      </c>
      <c r="F31" s="23" t="s">
        <v>236</v>
      </c>
      <c r="G31" s="23" t="s">
        <v>237</v>
      </c>
      <c r="H31" s="47" t="s">
        <v>238</v>
      </c>
    </row>
    <row r="32" ht="15.0" customHeight="1">
      <c r="A32" s="23" t="s">
        <v>231</v>
      </c>
      <c r="B32" s="23" t="s">
        <v>232</v>
      </c>
      <c r="C32" s="23" t="s">
        <v>240</v>
      </c>
      <c r="D32" s="23" t="s">
        <v>242</v>
      </c>
      <c r="E32" s="23" t="s">
        <v>155</v>
      </c>
      <c r="F32" s="23" t="s">
        <v>236</v>
      </c>
      <c r="G32" s="23" t="s">
        <v>245</v>
      </c>
      <c r="H32" s="56" t="s">
        <v>247</v>
      </c>
    </row>
    <row r="33" ht="15.0" customHeight="1">
      <c r="A33" s="23" t="s">
        <v>231</v>
      </c>
      <c r="B33" s="23" t="s">
        <v>232</v>
      </c>
      <c r="C33" s="23" t="s">
        <v>250</v>
      </c>
      <c r="D33" s="23" t="s">
        <v>251</v>
      </c>
      <c r="E33" s="23" t="s">
        <v>155</v>
      </c>
      <c r="F33" s="23" t="s">
        <v>236</v>
      </c>
      <c r="G33" s="23" t="s">
        <v>253</v>
      </c>
      <c r="H33" s="47" t="s">
        <v>254</v>
      </c>
    </row>
    <row r="34" ht="15.0" customHeight="1">
      <c r="A34" s="23" t="s">
        <v>231</v>
      </c>
      <c r="B34" s="23" t="s">
        <v>232</v>
      </c>
      <c r="C34" s="23" t="s">
        <v>256</v>
      </c>
      <c r="D34" s="23" t="s">
        <v>258</v>
      </c>
      <c r="E34" s="23" t="s">
        <v>155</v>
      </c>
      <c r="F34" s="23" t="s">
        <v>236</v>
      </c>
      <c r="G34" s="23" t="s">
        <v>261</v>
      </c>
      <c r="H34" s="47" t="s">
        <v>262</v>
      </c>
    </row>
    <row r="35" ht="15.0" customHeight="1">
      <c r="A35" s="23" t="s">
        <v>231</v>
      </c>
      <c r="B35" s="23" t="s">
        <v>232</v>
      </c>
      <c r="C35" s="23" t="s">
        <v>264</v>
      </c>
      <c r="D35" s="23" t="s">
        <v>265</v>
      </c>
      <c r="E35" s="23" t="s">
        <v>155</v>
      </c>
      <c r="F35" s="23" t="s">
        <v>236</v>
      </c>
      <c r="G35" s="23" t="s">
        <v>267</v>
      </c>
      <c r="H35" s="58" t="s">
        <v>268</v>
      </c>
    </row>
    <row r="36" ht="15.0" customHeight="1">
      <c r="A36" s="23" t="s">
        <v>231</v>
      </c>
      <c r="B36" s="23" t="s">
        <v>232</v>
      </c>
      <c r="C36" s="23" t="s">
        <v>270</v>
      </c>
      <c r="D36" s="23" t="s">
        <v>271</v>
      </c>
      <c r="E36" s="23" t="s">
        <v>155</v>
      </c>
      <c r="F36" s="23" t="s">
        <v>236</v>
      </c>
      <c r="G36" s="23" t="s">
        <v>274</v>
      </c>
      <c r="H36" s="58" t="s">
        <v>276</v>
      </c>
    </row>
    <row r="37" ht="15.0" customHeight="1">
      <c r="A37" s="23" t="s">
        <v>278</v>
      </c>
      <c r="B37" s="23" t="s">
        <v>280</v>
      </c>
      <c r="C37" s="23" t="s">
        <v>282</v>
      </c>
      <c r="D37" s="23" t="s">
        <v>283</v>
      </c>
      <c r="E37" s="23" t="s">
        <v>209</v>
      </c>
      <c r="F37" s="23" t="s">
        <v>285</v>
      </c>
      <c r="G37" s="23" t="s">
        <v>287</v>
      </c>
      <c r="H37" s="58" t="s">
        <v>288</v>
      </c>
    </row>
    <row r="38" ht="15.0" customHeight="1">
      <c r="A38" s="23" t="s">
        <v>278</v>
      </c>
      <c r="B38" s="23" t="s">
        <v>280</v>
      </c>
      <c r="C38" s="23" t="s">
        <v>291</v>
      </c>
      <c r="D38" s="23" t="s">
        <v>293</v>
      </c>
      <c r="E38" s="23" t="s">
        <v>209</v>
      </c>
      <c r="F38" s="23" t="s">
        <v>285</v>
      </c>
      <c r="G38" s="23" t="s">
        <v>297</v>
      </c>
      <c r="H38" s="58" t="s">
        <v>299</v>
      </c>
    </row>
    <row r="39" ht="15.0" customHeight="1">
      <c r="A39" s="23" t="s">
        <v>278</v>
      </c>
      <c r="B39" s="23" t="s">
        <v>280</v>
      </c>
      <c r="C39" s="23" t="s">
        <v>300</v>
      </c>
      <c r="D39" s="23" t="s">
        <v>302</v>
      </c>
      <c r="E39" s="23" t="s">
        <v>209</v>
      </c>
      <c r="F39" s="23" t="s">
        <v>285</v>
      </c>
      <c r="G39" s="23" t="s">
        <v>305</v>
      </c>
      <c r="H39" s="58" t="s">
        <v>307</v>
      </c>
    </row>
    <row r="40" ht="15.0" customHeight="1">
      <c r="A40" s="23" t="s">
        <v>278</v>
      </c>
      <c r="B40" s="23" t="s">
        <v>280</v>
      </c>
      <c r="C40" s="23" t="s">
        <v>310</v>
      </c>
      <c r="D40" s="23" t="s">
        <v>311</v>
      </c>
      <c r="E40" s="23" t="s">
        <v>209</v>
      </c>
      <c r="F40" s="23" t="s">
        <v>285</v>
      </c>
      <c r="G40" s="23" t="s">
        <v>316</v>
      </c>
      <c r="H40" s="58" t="s">
        <v>318</v>
      </c>
    </row>
    <row r="41" ht="15.0" customHeight="1">
      <c r="A41" s="23" t="s">
        <v>278</v>
      </c>
      <c r="B41" s="23" t="s">
        <v>280</v>
      </c>
      <c r="C41" s="23" t="s">
        <v>321</v>
      </c>
      <c r="D41" s="23" t="s">
        <v>323</v>
      </c>
      <c r="E41" s="23" t="s">
        <v>209</v>
      </c>
      <c r="F41" s="23" t="s">
        <v>285</v>
      </c>
      <c r="G41" s="23" t="s">
        <v>326</v>
      </c>
      <c r="H41" s="58" t="s">
        <v>328</v>
      </c>
    </row>
    <row r="42" ht="15.0" customHeight="1">
      <c r="A42" s="23" t="s">
        <v>278</v>
      </c>
      <c r="B42" s="23" t="s">
        <v>280</v>
      </c>
      <c r="C42" s="23" t="s">
        <v>334</v>
      </c>
      <c r="D42" s="23" t="s">
        <v>336</v>
      </c>
      <c r="E42" s="23" t="s">
        <v>209</v>
      </c>
      <c r="F42" s="23" t="s">
        <v>285</v>
      </c>
      <c r="G42" s="23" t="s">
        <v>337</v>
      </c>
      <c r="H42" s="58" t="s">
        <v>338</v>
      </c>
    </row>
    <row r="43" ht="15.0" customHeight="1">
      <c r="A43" s="23" t="s">
        <v>278</v>
      </c>
      <c r="B43" s="23" t="s">
        <v>280</v>
      </c>
      <c r="C43" s="23" t="s">
        <v>340</v>
      </c>
      <c r="D43" s="23" t="s">
        <v>342</v>
      </c>
      <c r="E43" s="23" t="s">
        <v>209</v>
      </c>
      <c r="F43" s="23" t="s">
        <v>285</v>
      </c>
      <c r="G43" s="23" t="s">
        <v>343</v>
      </c>
      <c r="H43" s="58" t="s">
        <v>344</v>
      </c>
    </row>
    <row r="44" ht="15.0" customHeight="1">
      <c r="A44" s="23" t="s">
        <v>278</v>
      </c>
      <c r="B44" s="23" t="s">
        <v>280</v>
      </c>
      <c r="C44" s="23" t="s">
        <v>345</v>
      </c>
      <c r="D44" s="23" t="s">
        <v>346</v>
      </c>
      <c r="E44" s="23" t="s">
        <v>209</v>
      </c>
      <c r="F44" s="23" t="s">
        <v>285</v>
      </c>
      <c r="G44" s="23" t="s">
        <v>348</v>
      </c>
      <c r="H44" s="58" t="s">
        <v>350</v>
      </c>
    </row>
    <row r="45" ht="15.0" customHeight="1">
      <c r="A45" s="23" t="s">
        <v>278</v>
      </c>
      <c r="B45" s="23" t="s">
        <v>280</v>
      </c>
      <c r="C45" s="23" t="s">
        <v>353</v>
      </c>
      <c r="D45" s="23" t="s">
        <v>353</v>
      </c>
      <c r="E45" s="23" t="s">
        <v>209</v>
      </c>
      <c r="F45" s="23" t="s">
        <v>285</v>
      </c>
      <c r="G45" s="23" t="s">
        <v>354</v>
      </c>
      <c r="H45" s="58" t="s">
        <v>355</v>
      </c>
    </row>
    <row r="46" ht="15.0" customHeight="1">
      <c r="A46" s="23" t="s">
        <v>278</v>
      </c>
      <c r="B46" s="23" t="s">
        <v>280</v>
      </c>
      <c r="C46" s="23" t="s">
        <v>357</v>
      </c>
      <c r="D46" s="23" t="s">
        <v>357</v>
      </c>
      <c r="E46" s="23" t="s">
        <v>209</v>
      </c>
      <c r="F46" s="23" t="s">
        <v>285</v>
      </c>
      <c r="G46" s="23" t="s">
        <v>361</v>
      </c>
      <c r="H46" s="58" t="s">
        <v>362</v>
      </c>
    </row>
    <row r="47" ht="15.0" customHeight="1">
      <c r="A47" s="23" t="s">
        <v>278</v>
      </c>
      <c r="B47" s="23" t="s">
        <v>280</v>
      </c>
      <c r="C47" s="23" t="s">
        <v>364</v>
      </c>
      <c r="D47" s="23" t="s">
        <v>366</v>
      </c>
      <c r="E47" s="23" t="s">
        <v>209</v>
      </c>
      <c r="F47" s="23" t="s">
        <v>285</v>
      </c>
      <c r="G47" s="23" t="s">
        <v>368</v>
      </c>
      <c r="H47" s="58" t="s">
        <v>370</v>
      </c>
    </row>
    <row r="48" ht="15.0" customHeight="1">
      <c r="A48" s="23" t="s">
        <v>278</v>
      </c>
      <c r="B48" s="23" t="s">
        <v>280</v>
      </c>
      <c r="C48" s="23" t="s">
        <v>372</v>
      </c>
      <c r="D48" s="23" t="s">
        <v>374</v>
      </c>
      <c r="E48" s="23" t="s">
        <v>209</v>
      </c>
      <c r="F48" s="23" t="s">
        <v>285</v>
      </c>
      <c r="G48" s="23" t="s">
        <v>376</v>
      </c>
      <c r="H48" s="58" t="s">
        <v>338</v>
      </c>
    </row>
    <row r="49" ht="15.0" customHeight="1">
      <c r="A49" s="23" t="s">
        <v>278</v>
      </c>
      <c r="B49" s="23" t="s">
        <v>280</v>
      </c>
      <c r="C49" s="23" t="s">
        <v>378</v>
      </c>
      <c r="D49" s="23" t="s">
        <v>380</v>
      </c>
      <c r="E49" s="23" t="s">
        <v>209</v>
      </c>
      <c r="F49" s="23" t="s">
        <v>285</v>
      </c>
      <c r="G49" s="23" t="s">
        <v>382</v>
      </c>
      <c r="H49" s="58" t="s">
        <v>384</v>
      </c>
    </row>
    <row r="50" ht="15.0" customHeight="1">
      <c r="A50" s="23" t="s">
        <v>278</v>
      </c>
      <c r="B50" s="23" t="s">
        <v>280</v>
      </c>
      <c r="C50" s="23" t="s">
        <v>386</v>
      </c>
      <c r="D50" s="23" t="s">
        <v>387</v>
      </c>
      <c r="E50" s="23" t="s">
        <v>209</v>
      </c>
      <c r="F50" s="23" t="s">
        <v>285</v>
      </c>
      <c r="G50" s="23" t="s">
        <v>388</v>
      </c>
      <c r="H50" s="58" t="s">
        <v>389</v>
      </c>
    </row>
    <row r="51" ht="15.0" customHeight="1">
      <c r="A51" s="23" t="s">
        <v>278</v>
      </c>
      <c r="B51" s="23" t="s">
        <v>280</v>
      </c>
      <c r="C51" s="23" t="s">
        <v>390</v>
      </c>
      <c r="D51" s="23" t="s">
        <v>391</v>
      </c>
      <c r="E51" s="23" t="s">
        <v>209</v>
      </c>
      <c r="F51" s="23" t="s">
        <v>285</v>
      </c>
      <c r="G51" s="23" t="s">
        <v>393</v>
      </c>
      <c r="H51" s="58" t="s">
        <v>395</v>
      </c>
    </row>
    <row r="52" ht="15.0" customHeight="1">
      <c r="A52" s="23" t="s">
        <v>278</v>
      </c>
      <c r="B52" s="23" t="s">
        <v>280</v>
      </c>
      <c r="C52" s="23" t="s">
        <v>396</v>
      </c>
      <c r="D52" s="23" t="s">
        <v>397</v>
      </c>
      <c r="E52" s="23" t="s">
        <v>209</v>
      </c>
      <c r="F52" s="23" t="s">
        <v>285</v>
      </c>
      <c r="G52" s="23" t="s">
        <v>401</v>
      </c>
      <c r="H52" s="58" t="s">
        <v>318</v>
      </c>
    </row>
    <row r="53" ht="15.0" customHeight="1">
      <c r="A53" s="23" t="s">
        <v>278</v>
      </c>
      <c r="B53" s="23" t="s">
        <v>280</v>
      </c>
      <c r="C53" s="23" t="s">
        <v>404</v>
      </c>
      <c r="D53" s="23" t="s">
        <v>406</v>
      </c>
      <c r="E53" s="23" t="s">
        <v>209</v>
      </c>
      <c r="F53" s="23" t="s">
        <v>285</v>
      </c>
      <c r="G53" s="23" t="s">
        <v>409</v>
      </c>
      <c r="H53" s="58" t="s">
        <v>411</v>
      </c>
    </row>
    <row r="54" ht="15.0" customHeight="1">
      <c r="A54" s="23" t="s">
        <v>278</v>
      </c>
      <c r="B54" s="23" t="s">
        <v>280</v>
      </c>
      <c r="C54" s="23" t="s">
        <v>414</v>
      </c>
      <c r="D54" s="23" t="s">
        <v>415</v>
      </c>
      <c r="E54" s="23" t="s">
        <v>209</v>
      </c>
      <c r="F54" s="23" t="s">
        <v>285</v>
      </c>
      <c r="G54" s="23" t="s">
        <v>416</v>
      </c>
      <c r="H54" s="58" t="s">
        <v>417</v>
      </c>
    </row>
    <row r="55" ht="15.0" customHeight="1">
      <c r="A55" s="23" t="s">
        <v>278</v>
      </c>
      <c r="B55" s="23" t="s">
        <v>280</v>
      </c>
      <c r="C55" s="23" t="s">
        <v>418</v>
      </c>
      <c r="D55" s="23" t="s">
        <v>419</v>
      </c>
      <c r="E55" s="23" t="s">
        <v>209</v>
      </c>
      <c r="F55" s="23" t="s">
        <v>285</v>
      </c>
      <c r="G55" s="23" t="s">
        <v>421</v>
      </c>
      <c r="H55" s="58" t="s">
        <v>338</v>
      </c>
    </row>
    <row r="56" ht="15.0" customHeight="1">
      <c r="A56" s="23" t="s">
        <v>423</v>
      </c>
      <c r="B56" s="23" t="s">
        <v>424</v>
      </c>
      <c r="C56" s="23" t="s">
        <v>426</v>
      </c>
      <c r="D56" s="23" t="s">
        <v>428</v>
      </c>
      <c r="E56" s="23" t="s">
        <v>429</v>
      </c>
      <c r="F56" s="23" t="s">
        <v>35</v>
      </c>
      <c r="G56" s="23" t="s">
        <v>432</v>
      </c>
    </row>
    <row r="57" ht="15.0" customHeight="1">
      <c r="A57" s="23" t="s">
        <v>423</v>
      </c>
      <c r="B57" s="23" t="s">
        <v>424</v>
      </c>
      <c r="C57" s="23" t="s">
        <v>434</v>
      </c>
      <c r="D57" s="23" t="s">
        <v>436</v>
      </c>
      <c r="E57" s="23" t="s">
        <v>429</v>
      </c>
      <c r="F57" s="23" t="s">
        <v>35</v>
      </c>
      <c r="G57" s="23" t="s">
        <v>438</v>
      </c>
    </row>
    <row r="58" ht="15.0" customHeight="1">
      <c r="A58" s="23" t="s">
        <v>423</v>
      </c>
      <c r="B58" s="23" t="s">
        <v>424</v>
      </c>
      <c r="C58" s="23" t="s">
        <v>440</v>
      </c>
      <c r="D58" s="23" t="s">
        <v>441</v>
      </c>
      <c r="E58" s="23" t="s">
        <v>429</v>
      </c>
      <c r="F58" s="23" t="s">
        <v>35</v>
      </c>
      <c r="G58" s="23" t="s">
        <v>443</v>
      </c>
    </row>
    <row r="59" ht="15.0" customHeight="1">
      <c r="A59" s="23" t="s">
        <v>423</v>
      </c>
      <c r="B59" s="23" t="s">
        <v>424</v>
      </c>
      <c r="C59" s="23" t="s">
        <v>446</v>
      </c>
      <c r="D59" s="23" t="s">
        <v>448</v>
      </c>
      <c r="E59" s="23" t="s">
        <v>429</v>
      </c>
      <c r="F59" s="23" t="s">
        <v>35</v>
      </c>
      <c r="G59" s="23" t="s">
        <v>450</v>
      </c>
    </row>
    <row r="60" ht="15.0" customHeight="1">
      <c r="A60" s="23" t="s">
        <v>423</v>
      </c>
      <c r="B60" s="23" t="s">
        <v>424</v>
      </c>
      <c r="C60" s="23" t="s">
        <v>452</v>
      </c>
      <c r="D60" s="23" t="s">
        <v>453</v>
      </c>
      <c r="E60" s="23" t="s">
        <v>429</v>
      </c>
      <c r="F60" s="23" t="s">
        <v>35</v>
      </c>
      <c r="G60" s="23" t="s">
        <v>454</v>
      </c>
    </row>
    <row r="61" ht="15.0" customHeight="1">
      <c r="A61" s="23" t="s">
        <v>456</v>
      </c>
      <c r="B61" s="23" t="s">
        <v>457</v>
      </c>
      <c r="C61" s="23" t="s">
        <v>459</v>
      </c>
      <c r="D61" s="23" t="s">
        <v>460</v>
      </c>
      <c r="E61" s="23" t="s">
        <v>186</v>
      </c>
      <c r="F61" s="23" t="s">
        <v>35</v>
      </c>
      <c r="G61" s="23" t="s">
        <v>463</v>
      </c>
    </row>
    <row r="62" ht="15.0" customHeight="1">
      <c r="A62" s="23" t="s">
        <v>456</v>
      </c>
      <c r="B62" s="23" t="s">
        <v>457</v>
      </c>
      <c r="C62" s="23" t="s">
        <v>465</v>
      </c>
      <c r="D62" s="23" t="s">
        <v>467</v>
      </c>
      <c r="E62" s="23" t="s">
        <v>186</v>
      </c>
      <c r="F62" s="23" t="s">
        <v>35</v>
      </c>
      <c r="G62" s="23" t="s">
        <v>469</v>
      </c>
    </row>
    <row r="63" ht="15.0" customHeight="1">
      <c r="A63" s="23" t="s">
        <v>456</v>
      </c>
      <c r="B63" s="23" t="s">
        <v>457</v>
      </c>
      <c r="C63" s="23" t="s">
        <v>473</v>
      </c>
      <c r="D63" s="23" t="s">
        <v>474</v>
      </c>
      <c r="E63" s="23" t="s">
        <v>186</v>
      </c>
      <c r="F63" s="23" t="s">
        <v>35</v>
      </c>
      <c r="G63" s="23" t="s">
        <v>477</v>
      </c>
    </row>
    <row r="64" ht="15.0" customHeight="1">
      <c r="A64" s="23" t="s">
        <v>456</v>
      </c>
      <c r="B64" s="23" t="s">
        <v>457</v>
      </c>
      <c r="C64" s="23" t="s">
        <v>479</v>
      </c>
      <c r="D64" s="23" t="s">
        <v>481</v>
      </c>
      <c r="E64" s="23" t="s">
        <v>186</v>
      </c>
      <c r="F64" s="23" t="s">
        <v>35</v>
      </c>
      <c r="G64" s="23" t="s">
        <v>484</v>
      </c>
    </row>
    <row r="65" ht="15.0" customHeight="1">
      <c r="A65" s="23" t="s">
        <v>456</v>
      </c>
      <c r="B65" s="23" t="s">
        <v>457</v>
      </c>
      <c r="C65" s="23" t="s">
        <v>487</v>
      </c>
      <c r="D65" s="23" t="s">
        <v>488</v>
      </c>
      <c r="E65" s="23" t="s">
        <v>186</v>
      </c>
      <c r="F65" s="23" t="s">
        <v>35</v>
      </c>
      <c r="G65" s="23" t="s">
        <v>489</v>
      </c>
    </row>
    <row r="66" ht="15.0" customHeight="1">
      <c r="A66" s="23" t="s">
        <v>22</v>
      </c>
      <c r="B66" s="23" t="s">
        <v>491</v>
      </c>
      <c r="C66" s="23" t="s">
        <v>492</v>
      </c>
      <c r="D66" s="23" t="s">
        <v>494</v>
      </c>
      <c r="E66" s="23" t="s">
        <v>496</v>
      </c>
      <c r="F66" s="23" t="s">
        <v>35</v>
      </c>
      <c r="G66" s="23" t="s">
        <v>498</v>
      </c>
    </row>
    <row r="67" ht="15.0" customHeight="1">
      <c r="A67" s="23" t="s">
        <v>22</v>
      </c>
      <c r="B67" s="23" t="s">
        <v>491</v>
      </c>
      <c r="C67" s="23" t="s">
        <v>501</v>
      </c>
      <c r="D67" s="23" t="s">
        <v>502</v>
      </c>
      <c r="E67" s="23" t="s">
        <v>496</v>
      </c>
      <c r="F67" s="23" t="s">
        <v>35</v>
      </c>
      <c r="G67" s="23" t="s">
        <v>503</v>
      </c>
    </row>
    <row r="68" ht="14.25" customHeight="1">
      <c r="A68" s="23" t="s">
        <v>22</v>
      </c>
      <c r="B68" s="23" t="s">
        <v>491</v>
      </c>
      <c r="C68" s="23" t="s">
        <v>507</v>
      </c>
      <c r="D68" s="23" t="s">
        <v>509</v>
      </c>
      <c r="E68" s="23" t="s">
        <v>496</v>
      </c>
      <c r="F68" s="23" t="s">
        <v>35</v>
      </c>
      <c r="G68" s="23" t="s">
        <v>512</v>
      </c>
    </row>
    <row r="69" ht="14.25" customHeight="1">
      <c r="A69" s="23" t="s">
        <v>22</v>
      </c>
      <c r="B69" s="23" t="s">
        <v>491</v>
      </c>
      <c r="C69" s="23" t="s">
        <v>515</v>
      </c>
      <c r="D69" s="23" t="s">
        <v>516</v>
      </c>
      <c r="E69" s="23" t="s">
        <v>496</v>
      </c>
      <c r="F69" s="23" t="s">
        <v>35</v>
      </c>
      <c r="G69" s="23" t="s">
        <v>519</v>
      </c>
    </row>
    <row r="70" ht="14.25" customHeight="1">
      <c r="A70" s="13" t="s">
        <v>521</v>
      </c>
      <c r="B70" s="13" t="s">
        <v>522</v>
      </c>
      <c r="C70" s="13" t="s">
        <v>523</v>
      </c>
      <c r="D70" s="13" t="s">
        <v>525</v>
      </c>
      <c r="E70" s="13" t="s">
        <v>209</v>
      </c>
      <c r="F70" s="13" t="s">
        <v>527</v>
      </c>
      <c r="G70" s="13" t="s">
        <v>528</v>
      </c>
    </row>
    <row r="71" ht="14.25" customHeight="1">
      <c r="A71" s="13" t="s">
        <v>521</v>
      </c>
      <c r="B71" s="13" t="s">
        <v>522</v>
      </c>
      <c r="C71" s="13" t="s">
        <v>529</v>
      </c>
      <c r="D71" s="13" t="s">
        <v>530</v>
      </c>
      <c r="E71" s="13" t="s">
        <v>209</v>
      </c>
      <c r="F71" s="13" t="s">
        <v>527</v>
      </c>
      <c r="G71" s="13" t="s">
        <v>532</v>
      </c>
    </row>
    <row r="72" ht="14.25" customHeight="1">
      <c r="A72" s="13" t="s">
        <v>521</v>
      </c>
      <c r="B72" s="13" t="s">
        <v>522</v>
      </c>
      <c r="C72" s="13" t="s">
        <v>533</v>
      </c>
      <c r="D72" s="13" t="s">
        <v>534</v>
      </c>
      <c r="E72" s="13" t="s">
        <v>209</v>
      </c>
      <c r="F72" s="13" t="s">
        <v>527</v>
      </c>
      <c r="G72" s="13" t="s">
        <v>535</v>
      </c>
    </row>
    <row r="73" ht="14.25" customHeight="1">
      <c r="A73" s="13" t="s">
        <v>521</v>
      </c>
      <c r="B73" s="13" t="s">
        <v>522</v>
      </c>
      <c r="C73" s="13" t="s">
        <v>536</v>
      </c>
      <c r="D73" s="13" t="s">
        <v>537</v>
      </c>
      <c r="E73" s="13" t="s">
        <v>209</v>
      </c>
      <c r="F73" s="13" t="s">
        <v>527</v>
      </c>
      <c r="G73" s="13" t="s">
        <v>539</v>
      </c>
    </row>
    <row r="74" ht="14.25" customHeight="1">
      <c r="A74" s="13" t="s">
        <v>521</v>
      </c>
      <c r="B74" s="13" t="s">
        <v>522</v>
      </c>
      <c r="C74" s="13" t="s">
        <v>540</v>
      </c>
      <c r="D74" s="13" t="s">
        <v>541</v>
      </c>
      <c r="E74" s="13" t="s">
        <v>209</v>
      </c>
      <c r="F74" s="13" t="s">
        <v>527</v>
      </c>
      <c r="G74" s="13" t="s">
        <v>542</v>
      </c>
    </row>
    <row r="75" ht="14.25" customHeight="1">
      <c r="A75" s="13" t="s">
        <v>521</v>
      </c>
      <c r="B75" s="13" t="s">
        <v>522</v>
      </c>
      <c r="C75" s="13" t="s">
        <v>545</v>
      </c>
      <c r="D75" s="13" t="s">
        <v>547</v>
      </c>
      <c r="E75" s="13" t="s">
        <v>209</v>
      </c>
      <c r="F75" s="13" t="s">
        <v>527</v>
      </c>
      <c r="G75" s="13" t="s">
        <v>550</v>
      </c>
    </row>
    <row r="76" ht="14.25" customHeight="1">
      <c r="A76" s="13" t="s">
        <v>521</v>
      </c>
      <c r="B76" s="13" t="s">
        <v>522</v>
      </c>
      <c r="C76" s="13" t="s">
        <v>551</v>
      </c>
      <c r="D76" s="13" t="s">
        <v>553</v>
      </c>
      <c r="E76" s="13" t="s">
        <v>209</v>
      </c>
      <c r="F76" s="13" t="s">
        <v>527</v>
      </c>
      <c r="G76" s="13" t="s">
        <v>554</v>
      </c>
    </row>
    <row r="77" ht="14.25" customHeight="1">
      <c r="A77" s="13" t="s">
        <v>555</v>
      </c>
      <c r="B77" s="13" t="s">
        <v>556</v>
      </c>
      <c r="C77" s="13" t="s">
        <v>557</v>
      </c>
      <c r="D77" s="13" t="s">
        <v>558</v>
      </c>
      <c r="E77" s="13" t="s">
        <v>209</v>
      </c>
      <c r="F77" s="13" t="s">
        <v>527</v>
      </c>
      <c r="G77" s="13" t="s">
        <v>559</v>
      </c>
    </row>
    <row r="78" ht="14.25" customHeight="1">
      <c r="A78" s="13" t="s">
        <v>555</v>
      </c>
      <c r="B78" s="13" t="s">
        <v>556</v>
      </c>
      <c r="C78" s="13" t="s">
        <v>561</v>
      </c>
      <c r="D78" s="13" t="s">
        <v>562</v>
      </c>
      <c r="E78" s="13" t="s">
        <v>209</v>
      </c>
      <c r="F78" s="13" t="s">
        <v>527</v>
      </c>
      <c r="G78" s="13" t="s">
        <v>565</v>
      </c>
    </row>
    <row r="79" ht="14.25" customHeight="1">
      <c r="A79" s="13" t="s">
        <v>555</v>
      </c>
      <c r="B79" s="13" t="s">
        <v>556</v>
      </c>
      <c r="C79" s="13" t="s">
        <v>568</v>
      </c>
      <c r="D79" s="13" t="s">
        <v>569</v>
      </c>
      <c r="E79" s="13" t="s">
        <v>209</v>
      </c>
      <c r="F79" s="13" t="s">
        <v>527</v>
      </c>
      <c r="G79" s="13" t="s">
        <v>572</v>
      </c>
    </row>
    <row r="80" ht="14.25" customHeight="1">
      <c r="A80" s="13" t="s">
        <v>555</v>
      </c>
      <c r="B80" s="13" t="s">
        <v>556</v>
      </c>
      <c r="C80" s="13" t="s">
        <v>574</v>
      </c>
      <c r="D80" s="13" t="s">
        <v>575</v>
      </c>
      <c r="E80" s="13" t="s">
        <v>209</v>
      </c>
      <c r="F80" s="13" t="s">
        <v>527</v>
      </c>
      <c r="G80" s="13" t="s">
        <v>577</v>
      </c>
    </row>
    <row r="81" ht="14.25" customHeight="1">
      <c r="A81" s="13" t="s">
        <v>555</v>
      </c>
      <c r="B81" s="13" t="s">
        <v>556</v>
      </c>
      <c r="C81" s="13" t="s">
        <v>580</v>
      </c>
      <c r="D81" s="13" t="s">
        <v>582</v>
      </c>
      <c r="E81" s="13" t="s">
        <v>209</v>
      </c>
      <c r="F81" s="13" t="s">
        <v>527</v>
      </c>
      <c r="G81" s="13" t="s">
        <v>584</v>
      </c>
    </row>
    <row r="82" ht="14.25" customHeight="1">
      <c r="A82" s="13" t="s">
        <v>555</v>
      </c>
      <c r="B82" s="13" t="s">
        <v>556</v>
      </c>
      <c r="C82" s="13" t="s">
        <v>586</v>
      </c>
      <c r="D82" s="13" t="s">
        <v>588</v>
      </c>
      <c r="E82" s="13" t="s">
        <v>209</v>
      </c>
      <c r="F82" s="13" t="s">
        <v>527</v>
      </c>
      <c r="G82" s="13" t="s">
        <v>589</v>
      </c>
    </row>
    <row r="83" ht="14.25" customHeight="1">
      <c r="A83" s="13" t="s">
        <v>555</v>
      </c>
      <c r="B83" s="13" t="s">
        <v>556</v>
      </c>
      <c r="C83" s="13" t="s">
        <v>591</v>
      </c>
      <c r="D83" s="13" t="s">
        <v>592</v>
      </c>
      <c r="E83" s="13" t="s">
        <v>209</v>
      </c>
      <c r="F83" s="13" t="s">
        <v>527</v>
      </c>
      <c r="G83" s="13" t="s">
        <v>593</v>
      </c>
    </row>
    <row r="84" ht="14.25" customHeight="1">
      <c r="A84" s="13" t="s">
        <v>555</v>
      </c>
      <c r="B84" s="13" t="s">
        <v>556</v>
      </c>
      <c r="C84" s="13" t="s">
        <v>595</v>
      </c>
      <c r="D84" s="13" t="s">
        <v>597</v>
      </c>
      <c r="E84" s="13" t="s">
        <v>209</v>
      </c>
      <c r="F84" s="13" t="s">
        <v>527</v>
      </c>
      <c r="G84" s="13" t="s">
        <v>599</v>
      </c>
    </row>
    <row r="85" ht="14.25" customHeight="1">
      <c r="A85" s="13" t="s">
        <v>555</v>
      </c>
      <c r="B85" s="13" t="s">
        <v>556</v>
      </c>
      <c r="C85" s="13" t="s">
        <v>600</v>
      </c>
      <c r="D85" s="13" t="s">
        <v>601</v>
      </c>
      <c r="E85" s="13" t="s">
        <v>209</v>
      </c>
      <c r="F85" s="13" t="s">
        <v>527</v>
      </c>
      <c r="G85" s="13" t="s">
        <v>603</v>
      </c>
    </row>
    <row r="86" ht="14.25" customHeight="1">
      <c r="A86" s="13" t="s">
        <v>555</v>
      </c>
      <c r="B86" s="13" t="s">
        <v>556</v>
      </c>
      <c r="C86" s="13" t="s">
        <v>604</v>
      </c>
      <c r="D86" s="13" t="s">
        <v>605</v>
      </c>
      <c r="E86" s="13" t="s">
        <v>209</v>
      </c>
      <c r="F86" s="13" t="s">
        <v>527</v>
      </c>
      <c r="G86" s="13" t="s">
        <v>608</v>
      </c>
    </row>
    <row r="87" ht="14.25" customHeight="1">
      <c r="A87" s="13" t="s">
        <v>555</v>
      </c>
      <c r="B87" s="13" t="s">
        <v>556</v>
      </c>
      <c r="C87" s="13" t="s">
        <v>611</v>
      </c>
      <c r="D87" s="13" t="s">
        <v>613</v>
      </c>
      <c r="E87" s="13" t="s">
        <v>209</v>
      </c>
      <c r="F87" s="13" t="s">
        <v>527</v>
      </c>
      <c r="G87" s="13" t="s">
        <v>615</v>
      </c>
    </row>
    <row r="88" ht="14.25" customHeight="1">
      <c r="A88" s="13" t="s">
        <v>555</v>
      </c>
      <c r="B88" s="13" t="s">
        <v>556</v>
      </c>
      <c r="C88" s="13" t="s">
        <v>618</v>
      </c>
      <c r="D88" s="13" t="s">
        <v>619</v>
      </c>
      <c r="E88" s="13" t="s">
        <v>209</v>
      </c>
      <c r="F88" s="13" t="s">
        <v>527</v>
      </c>
      <c r="G88" s="13" t="s">
        <v>622</v>
      </c>
    </row>
    <row r="89" ht="14.25" customHeight="1">
      <c r="A89" s="13" t="s">
        <v>555</v>
      </c>
      <c r="B89" s="13" t="s">
        <v>556</v>
      </c>
      <c r="C89" s="13" t="s">
        <v>623</v>
      </c>
      <c r="D89" s="13" t="s">
        <v>625</v>
      </c>
      <c r="E89" s="13" t="s">
        <v>209</v>
      </c>
      <c r="F89" s="13" t="s">
        <v>527</v>
      </c>
      <c r="G89" s="13" t="s">
        <v>627</v>
      </c>
    </row>
    <row r="90" ht="14.25" customHeight="1">
      <c r="A90" s="13" t="s">
        <v>555</v>
      </c>
      <c r="B90" s="13" t="s">
        <v>556</v>
      </c>
      <c r="C90" s="13" t="s">
        <v>629</v>
      </c>
      <c r="D90" s="13" t="s">
        <v>631</v>
      </c>
      <c r="E90" s="13" t="s">
        <v>209</v>
      </c>
      <c r="F90" s="13" t="s">
        <v>527</v>
      </c>
      <c r="G90" s="13" t="s">
        <v>634</v>
      </c>
    </row>
    <row r="91" ht="14.25" customHeight="1">
      <c r="A91" s="13" t="s">
        <v>555</v>
      </c>
      <c r="B91" s="13" t="s">
        <v>556</v>
      </c>
      <c r="C91" s="13" t="s">
        <v>635</v>
      </c>
      <c r="D91" s="13" t="s">
        <v>636</v>
      </c>
      <c r="E91" s="13" t="s">
        <v>209</v>
      </c>
      <c r="F91" s="13" t="s">
        <v>527</v>
      </c>
      <c r="G91" s="13" t="s">
        <v>638</v>
      </c>
    </row>
    <row r="92" ht="14.25" customHeight="1">
      <c r="A92" s="13" t="s">
        <v>555</v>
      </c>
      <c r="B92" s="13" t="s">
        <v>556</v>
      </c>
      <c r="C92" s="13" t="s">
        <v>640</v>
      </c>
      <c r="D92" s="13" t="s">
        <v>642</v>
      </c>
      <c r="E92" s="13" t="s">
        <v>209</v>
      </c>
      <c r="F92" s="13" t="s">
        <v>527</v>
      </c>
      <c r="G92" s="13" t="s">
        <v>644</v>
      </c>
    </row>
    <row r="93" ht="14.25" customHeight="1">
      <c r="A93" s="13" t="s">
        <v>555</v>
      </c>
      <c r="B93" s="13" t="s">
        <v>556</v>
      </c>
      <c r="C93" s="13" t="s">
        <v>646</v>
      </c>
      <c r="D93" s="13" t="s">
        <v>649</v>
      </c>
      <c r="E93" s="13" t="s">
        <v>209</v>
      </c>
      <c r="F93" s="13" t="s">
        <v>527</v>
      </c>
      <c r="G93" s="13" t="s">
        <v>650</v>
      </c>
    </row>
    <row r="94" ht="14.25" customHeight="1">
      <c r="A94" s="13" t="s">
        <v>555</v>
      </c>
      <c r="B94" s="13" t="s">
        <v>556</v>
      </c>
      <c r="C94" s="13" t="s">
        <v>652</v>
      </c>
      <c r="D94" s="13" t="s">
        <v>654</v>
      </c>
      <c r="E94" s="13" t="s">
        <v>209</v>
      </c>
      <c r="F94" s="13" t="s">
        <v>527</v>
      </c>
      <c r="G94" s="13" t="s">
        <v>655</v>
      </c>
    </row>
    <row r="95" ht="14.25" customHeight="1">
      <c r="A95" s="13" t="s">
        <v>555</v>
      </c>
      <c r="B95" s="13" t="s">
        <v>556</v>
      </c>
      <c r="C95" s="13" t="s">
        <v>656</v>
      </c>
      <c r="D95" s="13" t="s">
        <v>658</v>
      </c>
      <c r="E95" s="13" t="s">
        <v>209</v>
      </c>
      <c r="F95" s="13" t="s">
        <v>527</v>
      </c>
      <c r="G95" s="13" t="s">
        <v>660</v>
      </c>
    </row>
    <row r="96" ht="14.25" customHeight="1">
      <c r="A96" s="13" t="s">
        <v>555</v>
      </c>
      <c r="B96" s="13" t="s">
        <v>556</v>
      </c>
      <c r="C96" s="13" t="s">
        <v>662</v>
      </c>
      <c r="D96" s="13" t="s">
        <v>664</v>
      </c>
      <c r="E96" s="13" t="s">
        <v>209</v>
      </c>
      <c r="F96" s="13" t="s">
        <v>527</v>
      </c>
      <c r="G96" s="13" t="s">
        <v>665</v>
      </c>
    </row>
    <row r="97" ht="14.25" customHeight="1">
      <c r="A97" s="13" t="s">
        <v>555</v>
      </c>
      <c r="B97" s="13" t="s">
        <v>556</v>
      </c>
      <c r="C97" s="13" t="s">
        <v>667</v>
      </c>
      <c r="D97" s="13" t="s">
        <v>668</v>
      </c>
      <c r="E97" s="13" t="s">
        <v>209</v>
      </c>
      <c r="F97" s="13" t="s">
        <v>527</v>
      </c>
      <c r="G97" s="13" t="s">
        <v>669</v>
      </c>
    </row>
    <row r="98" ht="14.25" customHeight="1">
      <c r="A98" s="13" t="s">
        <v>670</v>
      </c>
      <c r="B98" s="13" t="s">
        <v>672</v>
      </c>
      <c r="C98" s="13" t="s">
        <v>673</v>
      </c>
      <c r="D98" s="13" t="s">
        <v>674</v>
      </c>
      <c r="E98" s="13" t="s">
        <v>209</v>
      </c>
      <c r="F98" s="13" t="s">
        <v>527</v>
      </c>
      <c r="G98" s="13" t="s">
        <v>675</v>
      </c>
    </row>
    <row r="99" ht="14.25" customHeight="1">
      <c r="A99" s="13" t="s">
        <v>670</v>
      </c>
      <c r="B99" s="13" t="s">
        <v>672</v>
      </c>
      <c r="C99" s="13" t="s">
        <v>677</v>
      </c>
      <c r="D99" s="13" t="s">
        <v>678</v>
      </c>
      <c r="E99" s="13" t="s">
        <v>209</v>
      </c>
      <c r="F99" s="13" t="s">
        <v>527</v>
      </c>
      <c r="G99" s="13" t="s">
        <v>679</v>
      </c>
    </row>
    <row r="100" ht="14.25" customHeight="1">
      <c r="A100" s="13" t="s">
        <v>670</v>
      </c>
      <c r="B100" s="13" t="s">
        <v>672</v>
      </c>
      <c r="C100" s="13" t="s">
        <v>680</v>
      </c>
      <c r="D100" s="13" t="s">
        <v>681</v>
      </c>
      <c r="E100" s="13" t="s">
        <v>209</v>
      </c>
      <c r="F100" s="13" t="s">
        <v>527</v>
      </c>
      <c r="G100" s="13" t="s">
        <v>682</v>
      </c>
    </row>
    <row r="101" ht="14.25" customHeight="1">
      <c r="A101" s="13" t="s">
        <v>670</v>
      </c>
      <c r="B101" s="13" t="s">
        <v>672</v>
      </c>
      <c r="C101" s="13" t="s">
        <v>684</v>
      </c>
      <c r="D101" s="13" t="s">
        <v>685</v>
      </c>
      <c r="E101" s="13" t="s">
        <v>209</v>
      </c>
      <c r="F101" s="13" t="s">
        <v>527</v>
      </c>
      <c r="G101" s="13" t="s">
        <v>687</v>
      </c>
    </row>
    <row r="102" ht="14.25" customHeight="1">
      <c r="A102" s="13" t="s">
        <v>670</v>
      </c>
      <c r="B102" s="13" t="s">
        <v>672</v>
      </c>
      <c r="C102" s="13" t="s">
        <v>692</v>
      </c>
      <c r="D102" s="13" t="s">
        <v>693</v>
      </c>
      <c r="E102" s="13" t="s">
        <v>209</v>
      </c>
      <c r="F102" s="13" t="s">
        <v>527</v>
      </c>
      <c r="G102" s="13" t="s">
        <v>695</v>
      </c>
    </row>
    <row r="103" ht="14.25" customHeight="1">
      <c r="A103" s="13" t="s">
        <v>670</v>
      </c>
      <c r="B103" s="13" t="s">
        <v>672</v>
      </c>
      <c r="C103" s="13" t="s">
        <v>697</v>
      </c>
      <c r="D103" s="13" t="s">
        <v>699</v>
      </c>
      <c r="E103" s="13" t="s">
        <v>209</v>
      </c>
      <c r="F103" s="13" t="s">
        <v>527</v>
      </c>
      <c r="G103" s="13" t="s">
        <v>701</v>
      </c>
    </row>
    <row r="104" ht="14.25" customHeight="1">
      <c r="A104" s="13" t="s">
        <v>670</v>
      </c>
      <c r="B104" s="13" t="s">
        <v>672</v>
      </c>
      <c r="C104" s="13" t="s">
        <v>703</v>
      </c>
      <c r="D104" s="13" t="s">
        <v>705</v>
      </c>
      <c r="E104" s="13" t="s">
        <v>209</v>
      </c>
      <c r="F104" s="13" t="s">
        <v>527</v>
      </c>
      <c r="G104" s="13" t="s">
        <v>706</v>
      </c>
    </row>
    <row r="105" ht="14.25" customHeight="1">
      <c r="A105" s="13" t="s">
        <v>670</v>
      </c>
      <c r="B105" s="13" t="s">
        <v>672</v>
      </c>
      <c r="C105" s="13" t="s">
        <v>707</v>
      </c>
      <c r="D105" s="13" t="s">
        <v>708</v>
      </c>
      <c r="E105" s="13" t="s">
        <v>209</v>
      </c>
      <c r="F105" s="13" t="s">
        <v>527</v>
      </c>
      <c r="G105" s="13" t="s">
        <v>710</v>
      </c>
    </row>
    <row r="106" ht="14.25" customHeight="1">
      <c r="A106" s="13" t="s">
        <v>670</v>
      </c>
      <c r="B106" s="13" t="s">
        <v>672</v>
      </c>
      <c r="C106" s="13" t="s">
        <v>713</v>
      </c>
      <c r="D106" s="13" t="s">
        <v>714</v>
      </c>
      <c r="E106" s="13" t="s">
        <v>209</v>
      </c>
      <c r="F106" s="13" t="s">
        <v>527</v>
      </c>
      <c r="G106" s="13" t="s">
        <v>715</v>
      </c>
    </row>
    <row r="107" ht="14.25" customHeight="1">
      <c r="A107" s="13" t="s">
        <v>670</v>
      </c>
      <c r="B107" s="13" t="s">
        <v>672</v>
      </c>
      <c r="C107" s="13" t="s">
        <v>717</v>
      </c>
      <c r="D107" s="13" t="s">
        <v>718</v>
      </c>
      <c r="E107" s="13" t="s">
        <v>209</v>
      </c>
      <c r="F107" s="13" t="s">
        <v>527</v>
      </c>
      <c r="G107" s="13" t="s">
        <v>720</v>
      </c>
    </row>
    <row r="108" ht="14.25" customHeight="1">
      <c r="A108" s="13" t="s">
        <v>670</v>
      </c>
      <c r="B108" s="13" t="s">
        <v>672</v>
      </c>
      <c r="C108" s="13" t="s">
        <v>722</v>
      </c>
      <c r="D108" s="13" t="s">
        <v>723</v>
      </c>
      <c r="E108" s="13" t="s">
        <v>209</v>
      </c>
      <c r="F108" s="13" t="s">
        <v>527</v>
      </c>
      <c r="G108" s="13" t="s">
        <v>726</v>
      </c>
    </row>
    <row r="109" ht="14.25" customHeight="1">
      <c r="A109" s="13" t="s">
        <v>670</v>
      </c>
      <c r="B109" s="13" t="s">
        <v>672</v>
      </c>
      <c r="C109" s="13" t="s">
        <v>729</v>
      </c>
      <c r="D109" s="13" t="s">
        <v>730</v>
      </c>
      <c r="E109" s="13" t="s">
        <v>209</v>
      </c>
      <c r="F109" s="13" t="s">
        <v>527</v>
      </c>
      <c r="G109" s="13" t="s">
        <v>732</v>
      </c>
    </row>
    <row r="110" ht="14.25" customHeight="1">
      <c r="A110" s="13" t="s">
        <v>670</v>
      </c>
      <c r="B110" s="13" t="s">
        <v>672</v>
      </c>
      <c r="C110" s="13" t="s">
        <v>734</v>
      </c>
      <c r="D110" s="13" t="s">
        <v>735</v>
      </c>
      <c r="E110" s="13" t="s">
        <v>209</v>
      </c>
      <c r="F110" s="13" t="s">
        <v>527</v>
      </c>
      <c r="G110" s="13" t="s">
        <v>737</v>
      </c>
    </row>
    <row r="111" ht="14.25" customHeight="1">
      <c r="A111" s="13" t="s">
        <v>670</v>
      </c>
      <c r="B111" s="13" t="s">
        <v>672</v>
      </c>
      <c r="C111" s="13" t="s">
        <v>738</v>
      </c>
      <c r="D111" s="13" t="s">
        <v>739</v>
      </c>
      <c r="E111" s="13" t="s">
        <v>209</v>
      </c>
      <c r="F111" s="13" t="s">
        <v>527</v>
      </c>
      <c r="G111" s="13" t="s">
        <v>742</v>
      </c>
    </row>
    <row r="112" ht="14.25" customHeight="1">
      <c r="A112" s="13" t="s">
        <v>670</v>
      </c>
      <c r="B112" s="13" t="s">
        <v>672</v>
      </c>
      <c r="C112" s="13" t="s">
        <v>744</v>
      </c>
      <c r="D112" s="13" t="s">
        <v>745</v>
      </c>
      <c r="E112" s="13" t="s">
        <v>209</v>
      </c>
      <c r="F112" s="13" t="s">
        <v>527</v>
      </c>
      <c r="G112" s="13" t="s">
        <v>746</v>
      </c>
    </row>
    <row r="113" ht="14.25" customHeight="1">
      <c r="A113" s="13" t="s">
        <v>748</v>
      </c>
      <c r="B113" s="13" t="s">
        <v>749</v>
      </c>
      <c r="C113" s="13" t="s">
        <v>750</v>
      </c>
      <c r="D113" s="13" t="s">
        <v>751</v>
      </c>
      <c r="E113" s="13" t="s">
        <v>209</v>
      </c>
      <c r="F113" s="13" t="s">
        <v>527</v>
      </c>
      <c r="G113" s="13" t="s">
        <v>752</v>
      </c>
    </row>
    <row r="114" ht="14.25" customHeight="1">
      <c r="A114" s="13" t="s">
        <v>748</v>
      </c>
      <c r="B114" s="13" t="s">
        <v>749</v>
      </c>
      <c r="C114" s="13" t="s">
        <v>755</v>
      </c>
      <c r="D114" s="13" t="s">
        <v>756</v>
      </c>
      <c r="E114" s="13" t="s">
        <v>209</v>
      </c>
      <c r="F114" s="13" t="s">
        <v>527</v>
      </c>
      <c r="G114" s="13" t="s">
        <v>758</v>
      </c>
    </row>
    <row r="115" ht="14.25" customHeight="1">
      <c r="A115" s="13" t="s">
        <v>748</v>
      </c>
      <c r="B115" s="13" t="s">
        <v>749</v>
      </c>
      <c r="C115" s="13" t="s">
        <v>759</v>
      </c>
      <c r="D115" s="13" t="s">
        <v>760</v>
      </c>
      <c r="E115" s="13" t="s">
        <v>209</v>
      </c>
      <c r="F115" s="13" t="s">
        <v>527</v>
      </c>
      <c r="G115" s="13" t="s">
        <v>762</v>
      </c>
    </row>
    <row r="116" ht="14.25" customHeight="1">
      <c r="A116" s="13" t="s">
        <v>748</v>
      </c>
      <c r="B116" s="13" t="s">
        <v>749</v>
      </c>
      <c r="C116" s="13" t="s">
        <v>765</v>
      </c>
      <c r="D116" s="13" t="s">
        <v>767</v>
      </c>
      <c r="E116" s="13" t="s">
        <v>209</v>
      </c>
      <c r="F116" s="13" t="s">
        <v>527</v>
      </c>
      <c r="G116" s="13" t="s">
        <v>769</v>
      </c>
    </row>
    <row r="117" ht="14.25" customHeight="1">
      <c r="A117" s="13" t="s">
        <v>748</v>
      </c>
      <c r="B117" s="13" t="s">
        <v>749</v>
      </c>
      <c r="C117" s="13" t="s">
        <v>774</v>
      </c>
      <c r="D117" s="13" t="s">
        <v>776</v>
      </c>
      <c r="E117" s="13" t="s">
        <v>209</v>
      </c>
      <c r="F117" s="13" t="s">
        <v>527</v>
      </c>
      <c r="G117" s="13" t="s">
        <v>778</v>
      </c>
    </row>
    <row r="118" ht="14.25" customHeight="1">
      <c r="A118" s="13" t="s">
        <v>748</v>
      </c>
      <c r="B118" s="13" t="s">
        <v>749</v>
      </c>
      <c r="C118" s="13" t="s">
        <v>783</v>
      </c>
      <c r="D118" s="13" t="s">
        <v>785</v>
      </c>
      <c r="E118" s="13" t="s">
        <v>209</v>
      </c>
      <c r="F118" s="13" t="s">
        <v>527</v>
      </c>
      <c r="G118" s="13" t="s">
        <v>786</v>
      </c>
    </row>
    <row r="119" ht="14.25" customHeight="1">
      <c r="A119" s="13" t="s">
        <v>748</v>
      </c>
      <c r="B119" s="13" t="s">
        <v>749</v>
      </c>
      <c r="C119" s="13" t="s">
        <v>789</v>
      </c>
      <c r="D119" s="13" t="s">
        <v>790</v>
      </c>
      <c r="E119" s="13" t="s">
        <v>209</v>
      </c>
      <c r="F119" s="13" t="s">
        <v>527</v>
      </c>
      <c r="G119" s="13" t="s">
        <v>793</v>
      </c>
    </row>
    <row r="120" ht="14.25" customHeight="1">
      <c r="A120" s="13" t="s">
        <v>748</v>
      </c>
      <c r="B120" s="13" t="s">
        <v>749</v>
      </c>
      <c r="C120" s="13" t="s">
        <v>795</v>
      </c>
      <c r="D120" s="13" t="s">
        <v>796</v>
      </c>
      <c r="E120" s="13" t="s">
        <v>209</v>
      </c>
      <c r="F120" s="13" t="s">
        <v>527</v>
      </c>
      <c r="G120" s="13" t="s">
        <v>798</v>
      </c>
    </row>
    <row r="121" ht="14.25" customHeight="1">
      <c r="A121" s="13" t="s">
        <v>748</v>
      </c>
      <c r="B121" s="13" t="s">
        <v>749</v>
      </c>
      <c r="C121" s="13" t="s">
        <v>800</v>
      </c>
      <c r="D121" s="13" t="s">
        <v>803</v>
      </c>
      <c r="E121" s="13" t="s">
        <v>209</v>
      </c>
      <c r="F121" s="13" t="s">
        <v>527</v>
      </c>
      <c r="G121" s="13" t="s">
        <v>805</v>
      </c>
    </row>
    <row r="122" ht="14.25" customHeight="1">
      <c r="A122" s="13" t="s">
        <v>748</v>
      </c>
      <c r="B122" s="13" t="s">
        <v>749</v>
      </c>
      <c r="C122" s="13" t="s">
        <v>807</v>
      </c>
      <c r="D122" s="13" t="s">
        <v>808</v>
      </c>
      <c r="E122" s="13" t="s">
        <v>209</v>
      </c>
      <c r="F122" s="13" t="s">
        <v>527</v>
      </c>
      <c r="G122" s="13" t="s">
        <v>810</v>
      </c>
    </row>
    <row r="123" ht="14.25" customHeight="1">
      <c r="A123" s="13" t="s">
        <v>812</v>
      </c>
      <c r="B123" s="13" t="s">
        <v>813</v>
      </c>
      <c r="C123" s="13" t="s">
        <v>815</v>
      </c>
      <c r="D123" s="13" t="s">
        <v>816</v>
      </c>
      <c r="E123" s="13" t="s">
        <v>186</v>
      </c>
      <c r="F123" s="13" t="s">
        <v>818</v>
      </c>
      <c r="G123" s="13" t="s">
        <v>821</v>
      </c>
      <c r="H123" s="62"/>
    </row>
    <row r="124" ht="14.25" customHeight="1">
      <c r="A124" s="13" t="s">
        <v>812</v>
      </c>
      <c r="B124" s="13" t="s">
        <v>813</v>
      </c>
      <c r="C124" s="13" t="s">
        <v>825</v>
      </c>
      <c r="D124" s="13" t="s">
        <v>826</v>
      </c>
      <c r="E124" s="13" t="s">
        <v>186</v>
      </c>
      <c r="F124" s="13" t="s">
        <v>818</v>
      </c>
      <c r="G124" s="13" t="s">
        <v>829</v>
      </c>
      <c r="H124" s="62"/>
    </row>
    <row r="125" ht="14.25" customHeight="1">
      <c r="A125" s="13" t="s">
        <v>812</v>
      </c>
      <c r="B125" s="13" t="s">
        <v>813</v>
      </c>
      <c r="C125" s="13" t="s">
        <v>835</v>
      </c>
      <c r="D125" s="13" t="s">
        <v>837</v>
      </c>
      <c r="E125" s="13" t="s">
        <v>186</v>
      </c>
      <c r="F125" s="13" t="s">
        <v>818</v>
      </c>
      <c r="G125" s="13" t="s">
        <v>839</v>
      </c>
      <c r="H125" s="62"/>
    </row>
    <row r="126" ht="14.25" customHeight="1">
      <c r="A126" s="13" t="s">
        <v>812</v>
      </c>
      <c r="B126" s="13" t="s">
        <v>813</v>
      </c>
      <c r="C126" s="13" t="s">
        <v>840</v>
      </c>
      <c r="D126" s="13" t="s">
        <v>842</v>
      </c>
      <c r="E126" s="13" t="s">
        <v>186</v>
      </c>
      <c r="F126" s="13" t="s">
        <v>818</v>
      </c>
      <c r="G126" s="13" t="s">
        <v>844</v>
      </c>
      <c r="H126" s="62"/>
    </row>
    <row r="127" ht="14.25" customHeight="1">
      <c r="A127" s="13" t="s">
        <v>812</v>
      </c>
      <c r="B127" s="13" t="s">
        <v>813</v>
      </c>
      <c r="C127" s="13" t="s">
        <v>849</v>
      </c>
      <c r="D127" s="13" t="s">
        <v>850</v>
      </c>
      <c r="E127" s="13" t="s">
        <v>186</v>
      </c>
      <c r="F127" s="13" t="s">
        <v>818</v>
      </c>
      <c r="G127" s="13" t="s">
        <v>853</v>
      </c>
      <c r="H127" s="62"/>
    </row>
    <row r="128" ht="14.25" customHeight="1">
      <c r="A128" s="13" t="s">
        <v>812</v>
      </c>
      <c r="B128" s="13" t="s">
        <v>813</v>
      </c>
      <c r="C128" s="13" t="s">
        <v>857</v>
      </c>
      <c r="D128" s="13" t="s">
        <v>858</v>
      </c>
      <c r="E128" s="13" t="s">
        <v>186</v>
      </c>
      <c r="F128" s="13" t="s">
        <v>818</v>
      </c>
      <c r="G128" s="13" t="s">
        <v>863</v>
      </c>
      <c r="H128" s="62"/>
    </row>
    <row r="129" ht="14.25" customHeight="1">
      <c r="A129" s="13" t="s">
        <v>812</v>
      </c>
      <c r="B129" s="13" t="s">
        <v>813</v>
      </c>
      <c r="C129" s="13" t="s">
        <v>867</v>
      </c>
      <c r="D129" s="13" t="s">
        <v>868</v>
      </c>
      <c r="E129" s="13" t="s">
        <v>186</v>
      </c>
      <c r="F129" s="13" t="s">
        <v>818</v>
      </c>
      <c r="G129" s="13" t="s">
        <v>870</v>
      </c>
      <c r="H129" s="62"/>
    </row>
    <row r="130" ht="14.25" customHeight="1">
      <c r="A130" s="13" t="s">
        <v>812</v>
      </c>
      <c r="B130" s="13" t="s">
        <v>813</v>
      </c>
      <c r="C130" s="13" t="s">
        <v>873</v>
      </c>
      <c r="D130" s="13" t="s">
        <v>875</v>
      </c>
      <c r="E130" s="13" t="s">
        <v>186</v>
      </c>
      <c r="F130" s="13" t="s">
        <v>818</v>
      </c>
      <c r="G130" s="13" t="s">
        <v>877</v>
      </c>
      <c r="H130" s="62"/>
    </row>
    <row r="131" ht="14.25" customHeight="1">
      <c r="A131" s="13" t="s">
        <v>812</v>
      </c>
      <c r="B131" s="13" t="s">
        <v>813</v>
      </c>
      <c r="C131" s="13" t="s">
        <v>883</v>
      </c>
      <c r="D131" s="13" t="s">
        <v>884</v>
      </c>
      <c r="E131" s="13" t="s">
        <v>186</v>
      </c>
      <c r="F131" s="13" t="s">
        <v>818</v>
      </c>
      <c r="G131" s="13" t="s">
        <v>885</v>
      </c>
      <c r="H131" s="62"/>
    </row>
    <row r="132" ht="14.25" customHeight="1">
      <c r="A132" s="13" t="s">
        <v>812</v>
      </c>
      <c r="B132" s="13" t="s">
        <v>813</v>
      </c>
      <c r="C132" s="13" t="s">
        <v>886</v>
      </c>
      <c r="D132" s="13" t="s">
        <v>887</v>
      </c>
      <c r="E132" s="13" t="s">
        <v>186</v>
      </c>
      <c r="F132" s="13" t="s">
        <v>818</v>
      </c>
      <c r="G132" s="13" t="s">
        <v>889</v>
      </c>
      <c r="H132" s="62"/>
    </row>
    <row r="133" ht="14.25" customHeight="1">
      <c r="A133" s="13" t="s">
        <v>812</v>
      </c>
      <c r="B133" s="13" t="s">
        <v>813</v>
      </c>
      <c r="C133" s="13" t="s">
        <v>890</v>
      </c>
      <c r="D133" s="13" t="s">
        <v>891</v>
      </c>
      <c r="E133" s="13" t="s">
        <v>186</v>
      </c>
      <c r="F133" s="13" t="s">
        <v>818</v>
      </c>
      <c r="G133" s="13" t="s">
        <v>893</v>
      </c>
      <c r="H133" s="62"/>
    </row>
    <row r="134" ht="14.25" customHeight="1">
      <c r="A134" s="13" t="s">
        <v>812</v>
      </c>
      <c r="B134" s="13" t="s">
        <v>813</v>
      </c>
      <c r="C134" s="13" t="s">
        <v>898</v>
      </c>
      <c r="D134" s="13" t="s">
        <v>899</v>
      </c>
      <c r="E134" s="13" t="s">
        <v>186</v>
      </c>
      <c r="F134" s="13" t="s">
        <v>818</v>
      </c>
      <c r="G134" s="13" t="s">
        <v>902</v>
      </c>
      <c r="H134" s="62"/>
    </row>
    <row r="135" ht="14.25" customHeight="1">
      <c r="A135" s="13" t="s">
        <v>812</v>
      </c>
      <c r="B135" s="13" t="s">
        <v>813</v>
      </c>
      <c r="C135" s="13" t="s">
        <v>905</v>
      </c>
      <c r="D135" s="13" t="s">
        <v>905</v>
      </c>
      <c r="E135" s="13" t="s">
        <v>186</v>
      </c>
      <c r="F135" s="13" t="s">
        <v>818</v>
      </c>
      <c r="G135" s="13" t="s">
        <v>906</v>
      </c>
    </row>
    <row r="136" ht="14.25" customHeight="1">
      <c r="A136" s="13" t="s">
        <v>812</v>
      </c>
      <c r="B136" s="13" t="s">
        <v>813</v>
      </c>
      <c r="C136" s="13" t="s">
        <v>908</v>
      </c>
      <c r="D136" s="13" t="s">
        <v>910</v>
      </c>
      <c r="E136" s="13" t="s">
        <v>186</v>
      </c>
      <c r="F136" s="13" t="s">
        <v>818</v>
      </c>
      <c r="G136" s="13" t="s">
        <v>912</v>
      </c>
    </row>
    <row r="137" ht="14.25" customHeight="1">
      <c r="A137" s="13" t="s">
        <v>812</v>
      </c>
      <c r="B137" s="13" t="s">
        <v>813</v>
      </c>
      <c r="C137" s="13" t="s">
        <v>914</v>
      </c>
      <c r="D137" s="13" t="s">
        <v>915</v>
      </c>
      <c r="E137" s="13" t="s">
        <v>186</v>
      </c>
      <c r="F137" s="13" t="s">
        <v>818</v>
      </c>
      <c r="G137" s="13" t="s">
        <v>916</v>
      </c>
    </row>
    <row r="138" ht="14.25" customHeight="1">
      <c r="A138" s="13" t="s">
        <v>812</v>
      </c>
      <c r="B138" s="13" t="s">
        <v>813</v>
      </c>
      <c r="C138" s="13" t="s">
        <v>919</v>
      </c>
      <c r="D138" s="13" t="s">
        <v>920</v>
      </c>
      <c r="E138" s="13" t="s">
        <v>186</v>
      </c>
      <c r="F138" s="13" t="s">
        <v>818</v>
      </c>
      <c r="G138" s="13" t="s">
        <v>923</v>
      </c>
    </row>
    <row r="139" ht="14.25" customHeight="1">
      <c r="A139" s="13" t="s">
        <v>812</v>
      </c>
      <c r="B139" s="13" t="s">
        <v>813</v>
      </c>
      <c r="C139" s="13" t="s">
        <v>925</v>
      </c>
      <c r="D139" s="13" t="s">
        <v>927</v>
      </c>
      <c r="E139" s="13" t="s">
        <v>186</v>
      </c>
      <c r="F139" s="13" t="s">
        <v>818</v>
      </c>
      <c r="G139" s="13" t="s">
        <v>929</v>
      </c>
    </row>
    <row r="140" ht="14.25" customHeight="1">
      <c r="A140" s="13" t="s">
        <v>812</v>
      </c>
      <c r="B140" s="13" t="s">
        <v>813</v>
      </c>
      <c r="C140" s="13" t="s">
        <v>930</v>
      </c>
      <c r="D140" s="13" t="s">
        <v>931</v>
      </c>
      <c r="E140" s="13" t="s">
        <v>186</v>
      </c>
      <c r="F140" s="13" t="s">
        <v>818</v>
      </c>
      <c r="G140" s="13" t="s">
        <v>933</v>
      </c>
    </row>
    <row r="141" ht="14.25" customHeight="1">
      <c r="A141" s="13" t="s">
        <v>812</v>
      </c>
      <c r="B141" s="13" t="s">
        <v>813</v>
      </c>
      <c r="C141" s="13" t="s">
        <v>934</v>
      </c>
      <c r="D141" s="13" t="s">
        <v>936</v>
      </c>
      <c r="E141" s="13" t="s">
        <v>186</v>
      </c>
      <c r="F141" s="13" t="s">
        <v>818</v>
      </c>
      <c r="G141" s="13" t="s">
        <v>938</v>
      </c>
    </row>
    <row r="142" ht="14.25" customHeight="1">
      <c r="A142" s="13" t="s">
        <v>812</v>
      </c>
      <c r="B142" s="13" t="s">
        <v>813</v>
      </c>
      <c r="C142" s="13" t="s">
        <v>941</v>
      </c>
      <c r="D142" s="13" t="s">
        <v>942</v>
      </c>
      <c r="E142" s="13" t="s">
        <v>186</v>
      </c>
      <c r="F142" s="13" t="s">
        <v>818</v>
      </c>
      <c r="G142" s="13" t="s">
        <v>945</v>
      </c>
    </row>
    <row r="143" ht="14.25" customHeight="1">
      <c r="A143" s="13" t="s">
        <v>812</v>
      </c>
      <c r="B143" s="13" t="s">
        <v>813</v>
      </c>
      <c r="C143" s="13" t="s">
        <v>948</v>
      </c>
      <c r="D143" s="13" t="s">
        <v>950</v>
      </c>
      <c r="E143" s="13" t="s">
        <v>186</v>
      </c>
      <c r="F143" s="13" t="s">
        <v>952</v>
      </c>
      <c r="G143" s="13" t="s">
        <v>954</v>
      </c>
    </row>
    <row r="144" ht="14.25" customHeight="1">
      <c r="A144" s="63" t="s">
        <v>956</v>
      </c>
      <c r="B144" s="34" t="s">
        <v>961</v>
      </c>
      <c r="C144" s="64" t="s">
        <v>963</v>
      </c>
      <c r="D144" s="34" t="s">
        <v>966</v>
      </c>
      <c r="E144" s="34" t="s">
        <v>969</v>
      </c>
      <c r="F144" s="34" t="s">
        <v>970</v>
      </c>
      <c r="G144" s="65" t="s">
        <v>971</v>
      </c>
    </row>
    <row r="145" ht="14.25" customHeight="1">
      <c r="A145" s="63" t="s">
        <v>956</v>
      </c>
      <c r="B145" s="34" t="s">
        <v>961</v>
      </c>
      <c r="C145" s="64" t="s">
        <v>974</v>
      </c>
      <c r="D145" s="34" t="s">
        <v>976</v>
      </c>
      <c r="E145" s="34" t="s">
        <v>969</v>
      </c>
      <c r="F145" s="34" t="s">
        <v>970</v>
      </c>
      <c r="G145" s="65" t="s">
        <v>977</v>
      </c>
    </row>
    <row r="146" ht="14.25" customHeight="1">
      <c r="A146" s="63" t="s">
        <v>956</v>
      </c>
      <c r="B146" s="34" t="s">
        <v>961</v>
      </c>
      <c r="C146" s="64" t="s">
        <v>981</v>
      </c>
      <c r="D146" s="34" t="s">
        <v>983</v>
      </c>
      <c r="E146" s="34" t="s">
        <v>969</v>
      </c>
      <c r="F146" s="34" t="s">
        <v>970</v>
      </c>
      <c r="G146" s="65" t="s">
        <v>985</v>
      </c>
    </row>
    <row r="147" ht="14.25" customHeight="1">
      <c r="A147" s="63" t="s">
        <v>956</v>
      </c>
      <c r="B147" s="34" t="s">
        <v>961</v>
      </c>
      <c r="C147" s="64" t="s">
        <v>988</v>
      </c>
      <c r="D147" s="34" t="s">
        <v>346</v>
      </c>
      <c r="E147" s="34" t="s">
        <v>969</v>
      </c>
      <c r="F147" s="34" t="s">
        <v>970</v>
      </c>
      <c r="G147" s="65" t="s">
        <v>990</v>
      </c>
    </row>
    <row r="148" ht="14.25" customHeight="1">
      <c r="A148" s="63" t="s">
        <v>956</v>
      </c>
      <c r="B148" s="34" t="s">
        <v>961</v>
      </c>
      <c r="C148" s="64" t="s">
        <v>992</v>
      </c>
      <c r="D148" s="34" t="s">
        <v>994</v>
      </c>
      <c r="E148" s="34" t="s">
        <v>969</v>
      </c>
      <c r="F148" s="34" t="s">
        <v>970</v>
      </c>
      <c r="G148" s="65" t="s">
        <v>996</v>
      </c>
    </row>
    <row r="149" ht="14.25" customHeight="1">
      <c r="A149" s="63" t="s">
        <v>956</v>
      </c>
      <c r="B149" s="34" t="s">
        <v>961</v>
      </c>
      <c r="C149" s="64" t="s">
        <v>1000</v>
      </c>
      <c r="D149" s="34" t="s">
        <v>1001</v>
      </c>
      <c r="E149" s="34" t="s">
        <v>969</v>
      </c>
      <c r="F149" s="34" t="s">
        <v>970</v>
      </c>
      <c r="G149" s="65" t="s">
        <v>1004</v>
      </c>
    </row>
    <row r="150" ht="14.25" customHeight="1">
      <c r="A150" s="63" t="s">
        <v>956</v>
      </c>
      <c r="B150" s="34" t="s">
        <v>961</v>
      </c>
      <c r="C150" s="64" t="s">
        <v>1006</v>
      </c>
      <c r="D150" s="34" t="s">
        <v>391</v>
      </c>
      <c r="E150" s="34" t="s">
        <v>969</v>
      </c>
      <c r="F150" s="34" t="s">
        <v>970</v>
      </c>
      <c r="G150" s="65" t="s">
        <v>1009</v>
      </c>
    </row>
    <row r="151" ht="14.25" customHeight="1">
      <c r="A151" s="63" t="s">
        <v>956</v>
      </c>
      <c r="B151" s="34" t="s">
        <v>961</v>
      </c>
      <c r="C151" s="64" t="s">
        <v>1011</v>
      </c>
      <c r="D151" s="34" t="s">
        <v>1012</v>
      </c>
      <c r="E151" s="34" t="s">
        <v>969</v>
      </c>
      <c r="F151" s="34" t="s">
        <v>970</v>
      </c>
      <c r="G151" s="65" t="s">
        <v>1013</v>
      </c>
    </row>
    <row r="152" ht="14.25" customHeight="1">
      <c r="A152" s="63" t="s">
        <v>956</v>
      </c>
      <c r="B152" s="34" t="s">
        <v>961</v>
      </c>
      <c r="C152" s="64" t="s">
        <v>1014</v>
      </c>
      <c r="D152" s="34" t="s">
        <v>1015</v>
      </c>
      <c r="E152" s="34" t="s">
        <v>969</v>
      </c>
      <c r="F152" s="34" t="s">
        <v>970</v>
      </c>
      <c r="G152" s="65" t="s">
        <v>1016</v>
      </c>
    </row>
    <row r="153" ht="14.25" customHeight="1">
      <c r="A153" s="63" t="s">
        <v>956</v>
      </c>
      <c r="B153" s="34" t="s">
        <v>961</v>
      </c>
      <c r="C153" s="64" t="s">
        <v>1018</v>
      </c>
      <c r="D153" s="34" t="s">
        <v>1019</v>
      </c>
      <c r="E153" s="34" t="s">
        <v>969</v>
      </c>
      <c r="F153" s="34" t="s">
        <v>970</v>
      </c>
      <c r="G153" s="65" t="s">
        <v>1020</v>
      </c>
    </row>
    <row r="154" ht="14.25" customHeight="1">
      <c r="A154" s="63" t="s">
        <v>956</v>
      </c>
      <c r="B154" s="34" t="s">
        <v>961</v>
      </c>
      <c r="C154" s="64" t="s">
        <v>1021</v>
      </c>
      <c r="D154" s="34" t="s">
        <v>1022</v>
      </c>
      <c r="E154" s="34" t="s">
        <v>969</v>
      </c>
      <c r="F154" s="34" t="s">
        <v>970</v>
      </c>
      <c r="G154" s="65" t="s">
        <v>1024</v>
      </c>
    </row>
    <row r="155" ht="14.25" customHeight="1">
      <c r="A155" s="63" t="s">
        <v>956</v>
      </c>
      <c r="B155" s="34" t="s">
        <v>961</v>
      </c>
      <c r="C155" s="64" t="s">
        <v>1026</v>
      </c>
      <c r="D155" s="34" t="s">
        <v>1027</v>
      </c>
      <c r="E155" s="34" t="s">
        <v>969</v>
      </c>
      <c r="F155" s="34" t="s">
        <v>970</v>
      </c>
      <c r="G155" s="65" t="s">
        <v>1028</v>
      </c>
    </row>
    <row r="156" ht="14.25" customHeight="1">
      <c r="A156" s="66" t="s">
        <v>956</v>
      </c>
      <c r="B156" s="67" t="s">
        <v>961</v>
      </c>
      <c r="C156" s="68" t="s">
        <v>1030</v>
      </c>
      <c r="D156" s="67" t="s">
        <v>1031</v>
      </c>
      <c r="E156" s="67" t="s">
        <v>969</v>
      </c>
      <c r="F156" s="67" t="s">
        <v>970</v>
      </c>
      <c r="G156" s="69" t="s">
        <v>1032</v>
      </c>
    </row>
    <row r="157" ht="14.25" customHeight="1">
      <c r="A157" s="70" t="s">
        <v>1034</v>
      </c>
      <c r="B157" s="70" t="s">
        <v>1035</v>
      </c>
      <c r="C157" s="70" t="s">
        <v>1036</v>
      </c>
      <c r="D157" s="70" t="s">
        <v>1037</v>
      </c>
      <c r="E157" s="70" t="s">
        <v>1038</v>
      </c>
      <c r="F157" s="70" t="s">
        <v>1039</v>
      </c>
      <c r="G157" s="70" t="s">
        <v>1041</v>
      </c>
      <c r="H157" s="70" t="s">
        <v>1042</v>
      </c>
    </row>
    <row r="158" ht="14.25" customHeight="1">
      <c r="A158" s="71" t="s">
        <v>1034</v>
      </c>
      <c r="B158" s="71" t="s">
        <v>1035</v>
      </c>
      <c r="C158" s="71" t="s">
        <v>1043</v>
      </c>
      <c r="D158" s="71" t="s">
        <v>1044</v>
      </c>
      <c r="E158" s="71" t="s">
        <v>1038</v>
      </c>
      <c r="F158" s="71" t="s">
        <v>1039</v>
      </c>
      <c r="G158" s="71" t="s">
        <v>1046</v>
      </c>
      <c r="H158" s="71" t="s">
        <v>1042</v>
      </c>
    </row>
    <row r="159" ht="14.25" customHeight="1">
      <c r="A159" s="71" t="s">
        <v>1034</v>
      </c>
      <c r="B159" s="71" t="s">
        <v>1035</v>
      </c>
      <c r="C159" s="71" t="s">
        <v>1047</v>
      </c>
      <c r="D159" s="71" t="s">
        <v>1048</v>
      </c>
      <c r="E159" s="71" t="s">
        <v>1038</v>
      </c>
      <c r="F159" s="71" t="s">
        <v>1039</v>
      </c>
      <c r="G159" s="71" t="s">
        <v>1049</v>
      </c>
      <c r="H159" s="74" t="s">
        <v>1042</v>
      </c>
    </row>
    <row r="160" ht="14.25" customHeight="1">
      <c r="A160" s="23" t="s">
        <v>131</v>
      </c>
      <c r="B160" s="23" t="s">
        <v>1050</v>
      </c>
      <c r="C160" s="23" t="str">
        <f>MATCHING!B10</f>
        <v>HB-HOT</v>
      </c>
      <c r="D160" s="23" t="str">
        <f>MATCHING!C10</f>
        <v>HOTEL &amp; RESORT</v>
      </c>
      <c r="E160" s="23" t="s">
        <v>1051</v>
      </c>
      <c r="F160" s="23" t="s">
        <v>1052</v>
      </c>
      <c r="G160" s="75" t="str">
        <f t="shared" ref="G160:G221" si="1">C160&amp;" · "&amp;D160</f>
        <v>HB-HOT · HOTEL &amp; RESORT</v>
      </c>
      <c r="H160" s="77" t="s">
        <v>1055</v>
      </c>
    </row>
    <row r="161" ht="14.25" customHeight="1">
      <c r="A161" s="23" t="s">
        <v>131</v>
      </c>
      <c r="B161" s="23" t="s">
        <v>1050</v>
      </c>
      <c r="C161" s="23" t="str">
        <f>MATCHING!B11</f>
        <v>HB-INC</v>
      </c>
      <c r="D161" s="23" t="str">
        <f>MATCHING!C11</f>
        <v>INCONTOURNABLE</v>
      </c>
      <c r="E161" s="23" t="s">
        <v>1051</v>
      </c>
      <c r="F161" s="23" t="s">
        <v>1052</v>
      </c>
      <c r="G161" s="75" t="str">
        <f t="shared" si="1"/>
        <v>HB-INC · INCONTOURNABLE</v>
      </c>
      <c r="H161" s="78" t="s">
        <v>1058</v>
      </c>
    </row>
    <row r="162" ht="14.25" customHeight="1">
      <c r="A162" s="23" t="s">
        <v>131</v>
      </c>
      <c r="B162" s="23" t="s">
        <v>1050</v>
      </c>
      <c r="C162" s="23" t="str">
        <f>MATCHING!B12</f>
        <v>HB-RIA</v>
      </c>
      <c r="D162" s="23" t="str">
        <f>MATCHING!C12</f>
        <v>RIAD &amp; PATRIMOINE</v>
      </c>
      <c r="E162" s="23" t="s">
        <v>1051</v>
      </c>
      <c r="F162" s="23" t="s">
        <v>1052</v>
      </c>
      <c r="G162" s="75" t="str">
        <f t="shared" si="1"/>
        <v>HB-RIA · RIAD &amp; PATRIMOINE</v>
      </c>
      <c r="H162" s="23" t="s">
        <v>1058</v>
      </c>
    </row>
    <row r="163" ht="14.25" customHeight="1">
      <c r="A163" s="23" t="s">
        <v>131</v>
      </c>
      <c r="B163" s="23" t="s">
        <v>1050</v>
      </c>
      <c r="C163" s="23" t="str">
        <f>MATCHING!B13</f>
        <v>HB-COL</v>
      </c>
      <c r="D163" s="23" t="str">
        <f>MATCHING!C13</f>
        <v>COLLECTION PRIVÉE</v>
      </c>
      <c r="E163" s="23" t="s">
        <v>1051</v>
      </c>
      <c r="F163" s="23" t="s">
        <v>1052</v>
      </c>
      <c r="G163" s="75" t="str">
        <f t="shared" si="1"/>
        <v>HB-COL · COLLECTION PRIVÉE</v>
      </c>
      <c r="H163" s="23" t="s">
        <v>1058</v>
      </c>
    </row>
    <row r="164" ht="14.25" customHeight="1">
      <c r="A164" s="23" t="s">
        <v>131</v>
      </c>
      <c r="B164" s="23" t="s">
        <v>1050</v>
      </c>
      <c r="C164" s="23" t="str">
        <f>MATCHING!B14</f>
        <v>HB-NAT</v>
      </c>
      <c r="D164" s="23" t="str">
        <f>MATCHING!C14</f>
        <v>NATURE &amp; HORIZON</v>
      </c>
      <c r="E164" s="23" t="s">
        <v>1051</v>
      </c>
      <c r="F164" s="23" t="s">
        <v>1052</v>
      </c>
      <c r="G164" s="75" t="str">
        <f t="shared" si="1"/>
        <v>HB-NAT · NATURE &amp; HORIZON</v>
      </c>
      <c r="H164" s="23" t="s">
        <v>1058</v>
      </c>
    </row>
    <row r="165" ht="14.25" customHeight="1">
      <c r="A165" s="23" t="s">
        <v>131</v>
      </c>
      <c r="B165" s="23" t="s">
        <v>1050</v>
      </c>
      <c r="C165" s="23" t="str">
        <f>MATCHING!B15</f>
        <v>HB-SUR</v>
      </c>
      <c r="D165" s="23" t="str">
        <f>MATCHING!C15</f>
        <v>SUR MESURE ABSOLU</v>
      </c>
      <c r="E165" s="23" t="s">
        <v>1062</v>
      </c>
      <c r="F165" s="23" t="s">
        <v>1052</v>
      </c>
      <c r="G165" s="75" t="str">
        <f t="shared" si="1"/>
        <v>HB-SUR · SUR MESURE ABSOLU</v>
      </c>
      <c r="H165" s="23" t="s">
        <v>1063</v>
      </c>
    </row>
    <row r="166" ht="14.25" customHeight="1">
      <c r="A166" s="23" t="s">
        <v>312</v>
      </c>
      <c r="B166" s="23" t="s">
        <v>1066</v>
      </c>
      <c r="C166" s="23" t="str">
        <f>MATCHING!B23</f>
        <v>EV-DEM</v>
      </c>
      <c r="D166" s="23" t="str">
        <f>MATCHING!C23</f>
        <v>DEMANDE EN MARIAGE</v>
      </c>
      <c r="E166" s="23" t="s">
        <v>1069</v>
      </c>
      <c r="F166" s="23" t="s">
        <v>285</v>
      </c>
      <c r="G166" s="75" t="str">
        <f t="shared" si="1"/>
        <v>EV-DEM · DEMANDE EN MARIAGE</v>
      </c>
      <c r="H166" s="23" t="s">
        <v>1070</v>
      </c>
    </row>
    <row r="167" ht="14.25" customHeight="1">
      <c r="A167" s="23" t="s">
        <v>312</v>
      </c>
      <c r="B167" s="23" t="s">
        <v>1066</v>
      </c>
      <c r="C167" s="23" t="str">
        <f>MATCHING!B24</f>
        <v>EV-AFE</v>
      </c>
      <c r="D167" s="23" t="str">
        <f>MATCHING!C24</f>
        <v>ANNIVERSAIRE FESTIF</v>
      </c>
      <c r="E167" s="23" t="s">
        <v>1069</v>
      </c>
      <c r="F167" s="23" t="s">
        <v>285</v>
      </c>
      <c r="G167" s="75" t="str">
        <f t="shared" si="1"/>
        <v>EV-AFE · ANNIVERSAIRE FESTIF</v>
      </c>
      <c r="H167" s="23" t="s">
        <v>1074</v>
      </c>
    </row>
    <row r="168" ht="14.25" customHeight="1">
      <c r="A168" s="23" t="s">
        <v>312</v>
      </c>
      <c r="B168" s="23" t="s">
        <v>1066</v>
      </c>
      <c r="C168" s="23" t="str">
        <f>MATCHING!B25</f>
        <v>EV-AFA</v>
      </c>
      <c r="D168" s="23" t="str">
        <f>MATCHING!C25</f>
        <v>ANNIVERSAIRE FAMILIAL</v>
      </c>
      <c r="E168" s="23" t="s">
        <v>1069</v>
      </c>
      <c r="F168" s="23" t="s">
        <v>285</v>
      </c>
      <c r="G168" s="75" t="str">
        <f t="shared" si="1"/>
        <v>EV-AFA · ANNIVERSAIRE FAMILIAL</v>
      </c>
      <c r="H168" s="23" t="s">
        <v>1078</v>
      </c>
    </row>
    <row r="169" ht="14.25" customHeight="1">
      <c r="A169" s="23" t="s">
        <v>312</v>
      </c>
      <c r="B169" s="23" t="s">
        <v>1066</v>
      </c>
      <c r="C169" s="23" t="str">
        <f>MATCHING!B26</f>
        <v>EV-EVJF</v>
      </c>
      <c r="D169" s="23" t="str">
        <f>MATCHING!C26</f>
        <v>EVJF</v>
      </c>
      <c r="E169" s="23" t="s">
        <v>1069</v>
      </c>
      <c r="F169" s="23" t="s">
        <v>285</v>
      </c>
      <c r="G169" s="75" t="str">
        <f t="shared" si="1"/>
        <v>EV-EVJF · EVJF</v>
      </c>
      <c r="H169" s="23" t="s">
        <v>1082</v>
      </c>
    </row>
    <row r="170" ht="14.25" customHeight="1">
      <c r="A170" s="23" t="s">
        <v>312</v>
      </c>
      <c r="B170" s="23" t="s">
        <v>1066</v>
      </c>
      <c r="C170" s="23" t="str">
        <f>MATCHING!B27</f>
        <v>EV-EVG</v>
      </c>
      <c r="D170" s="23" t="str">
        <f>MATCHING!C27</f>
        <v>EVG</v>
      </c>
      <c r="E170" s="23" t="s">
        <v>1069</v>
      </c>
      <c r="F170" s="23" t="s">
        <v>285</v>
      </c>
      <c r="G170" s="75" t="str">
        <f t="shared" si="1"/>
        <v>EV-EVG · EVG</v>
      </c>
      <c r="H170" s="23" t="s">
        <v>1084</v>
      </c>
    </row>
    <row r="171" ht="14.25" customHeight="1">
      <c r="A171" s="23" t="s">
        <v>312</v>
      </c>
      <c r="B171" s="23" t="s">
        <v>1066</v>
      </c>
      <c r="C171" s="23" t="str">
        <f>MATCHING!B28</f>
        <v>EV-AUT</v>
      </c>
      <c r="D171" s="23" t="str">
        <f>MATCHING!C28</f>
        <v>AUTRE</v>
      </c>
      <c r="E171" s="23" t="s">
        <v>1085</v>
      </c>
      <c r="F171" s="23" t="s">
        <v>285</v>
      </c>
      <c r="G171" s="75" t="str">
        <f t="shared" si="1"/>
        <v>EV-AUT · AUTRE</v>
      </c>
      <c r="H171" s="23" t="s">
        <v>1086</v>
      </c>
    </row>
    <row r="172" ht="14.25" customHeight="1">
      <c r="A172" s="23" t="s">
        <v>422</v>
      </c>
      <c r="B172" s="23" t="s">
        <v>1087</v>
      </c>
      <c r="C172" s="23" t="str">
        <f>MATCHING!B30</f>
        <v>AU-DES</v>
      </c>
      <c r="D172" s="23" t="str">
        <f>MATCHING!C30</f>
        <v>DÉSERT &amp; HORIZONS</v>
      </c>
      <c r="E172" s="23" t="s">
        <v>34</v>
      </c>
      <c r="F172" s="23" t="s">
        <v>952</v>
      </c>
      <c r="G172" s="75" t="str">
        <f t="shared" si="1"/>
        <v>AU-DES · DÉSERT &amp; HORIZONS</v>
      </c>
      <c r="H172" s="23" t="s">
        <v>1088</v>
      </c>
    </row>
    <row r="173" ht="14.25" customHeight="1">
      <c r="A173" s="23" t="s">
        <v>422</v>
      </c>
      <c r="B173" s="23" t="s">
        <v>1087</v>
      </c>
      <c r="C173" s="23" t="str">
        <f>MATCHING!B31</f>
        <v>AU-SPO</v>
      </c>
      <c r="D173" s="23" t="str">
        <f>MATCHING!C31</f>
        <v>SPORT &amp; ÉNERGIE</v>
      </c>
      <c r="E173" s="23" t="s">
        <v>34</v>
      </c>
      <c r="F173" s="23" t="s">
        <v>952</v>
      </c>
      <c r="G173" s="75" t="str">
        <f t="shared" si="1"/>
        <v>AU-SPO · SPORT &amp; ÉNERGIE</v>
      </c>
      <c r="H173" s="23" t="s">
        <v>1089</v>
      </c>
    </row>
    <row r="174" ht="14.25" customHeight="1">
      <c r="A174" s="23" t="s">
        <v>422</v>
      </c>
      <c r="B174" s="23" t="s">
        <v>1087</v>
      </c>
      <c r="C174" s="23" t="str">
        <f>MATCHING!B32</f>
        <v>AU-CUL</v>
      </c>
      <c r="D174" s="23" t="str">
        <f>MATCHING!C32</f>
        <v>CULTURE &amp; IMMERSION</v>
      </c>
      <c r="E174" s="23" t="s">
        <v>34</v>
      </c>
      <c r="F174" s="23" t="s">
        <v>952</v>
      </c>
      <c r="G174" s="75" t="str">
        <f t="shared" si="1"/>
        <v>AU-CUL · CULTURE &amp; IMMERSION</v>
      </c>
      <c r="H174" s="23" t="s">
        <v>1089</v>
      </c>
    </row>
    <row r="175" ht="14.25" customHeight="1">
      <c r="A175" s="23" t="s">
        <v>422</v>
      </c>
      <c r="B175" s="23" t="s">
        <v>1087</v>
      </c>
      <c r="C175" s="23" t="str">
        <f>MATCHING!B33</f>
        <v>AU-BIE</v>
      </c>
      <c r="D175" s="23" t="str">
        <f>MATCHING!C33</f>
        <v>BIEN-ÊTRE &amp; RELAXATION</v>
      </c>
      <c r="E175" s="23" t="s">
        <v>34</v>
      </c>
      <c r="F175" s="23" t="s">
        <v>952</v>
      </c>
      <c r="G175" s="75" t="str">
        <f t="shared" si="1"/>
        <v>AU-BIE · BIEN-ÊTRE &amp; RELAXATION</v>
      </c>
      <c r="H175" s="23" t="s">
        <v>1089</v>
      </c>
    </row>
    <row r="176" ht="14.25" customHeight="1">
      <c r="A176" s="23" t="s">
        <v>422</v>
      </c>
      <c r="B176" s="23" t="s">
        <v>1087</v>
      </c>
      <c r="C176" s="23" t="str">
        <f>MATCHING!B34</f>
        <v>AU-ELI</v>
      </c>
      <c r="D176" s="23" t="str">
        <f>MATCHING!C34</f>
        <v>ÉLITE &amp; SIGNATURE</v>
      </c>
      <c r="E176" s="23" t="s">
        <v>34</v>
      </c>
      <c r="F176" s="23" t="s">
        <v>952</v>
      </c>
      <c r="G176" s="75" t="str">
        <f t="shared" si="1"/>
        <v>AU-ELI · ÉLITE &amp; SIGNATURE</v>
      </c>
      <c r="H176" s="23" t="s">
        <v>1089</v>
      </c>
    </row>
    <row r="177" ht="14.25" customHeight="1">
      <c r="A177" s="23" t="s">
        <v>422</v>
      </c>
      <c r="B177" s="23" t="s">
        <v>1087</v>
      </c>
      <c r="C177" s="23" t="str">
        <f>MATCHING!B35</f>
        <v>AU-EXC</v>
      </c>
      <c r="D177" s="23" t="str">
        <f>MATCHING!C35</f>
        <v>EXCURSION À LA JOURNÉE</v>
      </c>
      <c r="E177" s="23" t="s">
        <v>1097</v>
      </c>
      <c r="F177" s="23" t="s">
        <v>952</v>
      </c>
      <c r="G177" s="75" t="str">
        <f t="shared" si="1"/>
        <v>AU-EXC · EXCURSION À LA JOURNÉE</v>
      </c>
      <c r="H177" s="23" t="s">
        <v>1098</v>
      </c>
    </row>
    <row r="178" ht="14.25" customHeight="1">
      <c r="A178" s="23" t="s">
        <v>422</v>
      </c>
      <c r="B178" s="23" t="s">
        <v>1087</v>
      </c>
      <c r="C178" s="23" t="str">
        <f>MATCHING!B43</f>
        <v>AU-FES</v>
      </c>
      <c r="D178" s="23" t="str">
        <f>MATCHING!C43</f>
        <v>FESTIF &amp; LIFESTYLE</v>
      </c>
      <c r="E178" s="23" t="s">
        <v>34</v>
      </c>
      <c r="F178" s="23" t="s">
        <v>952</v>
      </c>
      <c r="G178" s="75" t="str">
        <f t="shared" si="1"/>
        <v>AU-FES · FESTIF &amp; LIFESTYLE</v>
      </c>
      <c r="H178" s="23" t="s">
        <v>1102</v>
      </c>
    </row>
    <row r="179" ht="14.25" customHeight="1">
      <c r="A179" s="23" t="s">
        <v>543</v>
      </c>
      <c r="B179" s="23" t="s">
        <v>1103</v>
      </c>
      <c r="C179" s="23" t="str">
        <f>MATCHING!B36</f>
        <v>RA-DBR</v>
      </c>
      <c r="D179" s="23" t="str">
        <f>MATCHING!C36</f>
        <v>Brunch &amp; art de vivre</v>
      </c>
      <c r="E179" s="23" t="s">
        <v>34</v>
      </c>
      <c r="F179" s="23" t="s">
        <v>1107</v>
      </c>
      <c r="G179" s="75" t="str">
        <f t="shared" si="1"/>
        <v>RA-DBR · Brunch &amp; art de vivre</v>
      </c>
      <c r="H179" s="23" t="s">
        <v>1108</v>
      </c>
    </row>
    <row r="180" ht="14.25" customHeight="1">
      <c r="A180" s="23" t="s">
        <v>543</v>
      </c>
      <c r="B180" s="23" t="s">
        <v>1103</v>
      </c>
      <c r="C180" s="23" t="str">
        <f>MATCHING!B37</f>
        <v>RA-DLE</v>
      </c>
      <c r="D180" s="23" t="str">
        <f>MATCHING!C37</f>
        <v>Déjeuner léger &amp; élégant</v>
      </c>
      <c r="E180" s="23" t="s">
        <v>34</v>
      </c>
      <c r="F180" s="23" t="s">
        <v>1107</v>
      </c>
      <c r="G180" s="75" t="str">
        <f t="shared" si="1"/>
        <v>RA-DLE · Déjeuner léger &amp; élégant</v>
      </c>
      <c r="H180" s="23" t="s">
        <v>1110</v>
      </c>
    </row>
    <row r="181" ht="14.25" customHeight="1">
      <c r="A181" s="23" t="s">
        <v>543</v>
      </c>
      <c r="B181" s="23" t="s">
        <v>1103</v>
      </c>
      <c r="C181" s="23" t="str">
        <f>MATCHING!B38</f>
        <v>RA-DMA</v>
      </c>
      <c r="D181" s="23" t="str">
        <f>MATCHING!C38</f>
        <v>Déjeuner marocain d'exception</v>
      </c>
      <c r="E181" s="23" t="s">
        <v>34</v>
      </c>
      <c r="F181" s="23" t="s">
        <v>1107</v>
      </c>
      <c r="G181" s="75" t="str">
        <f t="shared" si="1"/>
        <v>RA-DMA · Déjeuner marocain d'exception</v>
      </c>
      <c r="H181" s="23" t="s">
        <v>1110</v>
      </c>
    </row>
    <row r="182" ht="14.25" customHeight="1">
      <c r="A182" s="23" t="s">
        <v>543</v>
      </c>
      <c r="B182" s="23" t="s">
        <v>1103</v>
      </c>
      <c r="C182" s="23" t="str">
        <f>MATCHING!B39</f>
        <v>RA-DPO</v>
      </c>
      <c r="D182" s="23" t="str">
        <f>MATCHING!C39</f>
        <v>Poolside &amp; Lifestyle</v>
      </c>
      <c r="E182" s="23" t="s">
        <v>34</v>
      </c>
      <c r="F182" s="23" t="s">
        <v>1107</v>
      </c>
      <c r="G182" s="75" t="str">
        <f t="shared" si="1"/>
        <v>RA-DPO · Poolside &amp; Lifestyle</v>
      </c>
      <c r="H182" s="23" t="s">
        <v>1110</v>
      </c>
    </row>
    <row r="183" ht="14.25" customHeight="1">
      <c r="A183" s="23" t="s">
        <v>543</v>
      </c>
      <c r="B183" s="23" t="s">
        <v>1103</v>
      </c>
      <c r="C183" s="23" t="str">
        <f>MATCHING!B40</f>
        <v>RA-DNA</v>
      </c>
      <c r="D183" s="23" t="str">
        <f>MATCHING!C40</f>
        <v>Nature &amp; Évasion</v>
      </c>
      <c r="E183" s="23" t="s">
        <v>34</v>
      </c>
      <c r="F183" s="23" t="s">
        <v>1107</v>
      </c>
      <c r="G183" s="75" t="str">
        <f t="shared" si="1"/>
        <v>RA-DNA · Nature &amp; Évasion</v>
      </c>
      <c r="H183" s="23" t="s">
        <v>1110</v>
      </c>
    </row>
    <row r="184" ht="14.25" customHeight="1">
      <c r="A184" s="23" t="s">
        <v>543</v>
      </c>
      <c r="B184" s="23" t="s">
        <v>1103</v>
      </c>
      <c r="C184" s="23" t="str">
        <f>MATCHING!B41</f>
        <v>RA-DSI</v>
      </c>
      <c r="D184" s="23" t="str">
        <f>MATCHING!C41</f>
        <v>Expérience signature</v>
      </c>
      <c r="E184" s="23" t="s">
        <v>34</v>
      </c>
      <c r="F184" s="23" t="s">
        <v>1107</v>
      </c>
      <c r="G184" s="75" t="str">
        <f t="shared" si="1"/>
        <v>RA-DSI · Expérience signature</v>
      </c>
      <c r="H184" s="23" t="s">
        <v>1110</v>
      </c>
    </row>
    <row r="185" ht="14.25" customHeight="1">
      <c r="A185" s="23" t="s">
        <v>686</v>
      </c>
      <c r="B185" s="23" t="s">
        <v>1117</v>
      </c>
      <c r="C185" s="23" t="str">
        <f>MATCHING!B44</f>
        <v>RA-NRO</v>
      </c>
      <c r="D185" s="23" t="str">
        <f>MATCHING!C44</f>
        <v>Dîner romantique</v>
      </c>
      <c r="E185" s="23" t="s">
        <v>34</v>
      </c>
      <c r="F185" s="23" t="s">
        <v>1107</v>
      </c>
      <c r="G185" s="75" t="str">
        <f t="shared" si="1"/>
        <v>RA-NRO · Dîner romantique</v>
      </c>
      <c r="H185" s="23" t="s">
        <v>1119</v>
      </c>
    </row>
    <row r="186" ht="14.25" customHeight="1">
      <c r="A186" s="23" t="s">
        <v>686</v>
      </c>
      <c r="B186" s="23" t="s">
        <v>1117</v>
      </c>
      <c r="C186" s="23" t="str">
        <f>MATCHING!B45</f>
        <v>RA-NGA</v>
      </c>
      <c r="D186" s="23" t="str">
        <f>MATCHING!C45</f>
        <v>Dîner gastronomique</v>
      </c>
      <c r="E186" s="23" t="s">
        <v>34</v>
      </c>
      <c r="F186" s="23" t="s">
        <v>1107</v>
      </c>
      <c r="G186" s="75" t="str">
        <f t="shared" si="1"/>
        <v>RA-NGA · Dîner gastronomique</v>
      </c>
      <c r="H186" s="23" t="s">
        <v>1121</v>
      </c>
    </row>
    <row r="187" ht="14.25" customHeight="1">
      <c r="A187" s="23" t="s">
        <v>686</v>
      </c>
      <c r="B187" s="23" t="s">
        <v>1117</v>
      </c>
      <c r="C187" s="23" t="str">
        <f>MATCHING!B46</f>
        <v>RA-NSP</v>
      </c>
      <c r="D187" s="23" t="str">
        <f>MATCHING!C46</f>
        <v>Dîner spectacle</v>
      </c>
      <c r="E187" s="23" t="s">
        <v>34</v>
      </c>
      <c r="F187" s="23" t="s">
        <v>1107</v>
      </c>
      <c r="G187" s="75" t="str">
        <f t="shared" si="1"/>
        <v>RA-NSP · Dîner spectacle</v>
      </c>
      <c r="H187" s="23" t="s">
        <v>1121</v>
      </c>
    </row>
    <row r="188" ht="14.25" customHeight="1">
      <c r="A188" s="23" t="s">
        <v>686</v>
      </c>
      <c r="B188" s="23" t="s">
        <v>1117</v>
      </c>
      <c r="C188" s="23" t="str">
        <f>MATCHING!B47</f>
        <v>RA-NFE</v>
      </c>
      <c r="D188" s="23" t="str">
        <f>MATCHING!C47</f>
        <v>Dîner festif</v>
      </c>
      <c r="E188" s="23" t="s">
        <v>34</v>
      </c>
      <c r="F188" s="23" t="s">
        <v>1107</v>
      </c>
      <c r="G188" s="75" t="str">
        <f t="shared" si="1"/>
        <v>RA-NFE · Dîner festif</v>
      </c>
      <c r="H188" s="23" t="s">
        <v>1121</v>
      </c>
    </row>
    <row r="189" ht="14.25" customHeight="1">
      <c r="A189" s="23" t="s">
        <v>686</v>
      </c>
      <c r="B189" s="23" t="s">
        <v>1117</v>
      </c>
      <c r="C189" s="23" t="str">
        <f>MATCHING!B48</f>
        <v>RA-NAM</v>
      </c>
      <c r="D189" s="23" t="str">
        <f>MATCHING!C48</f>
        <v>Dîner ambiance marocaine</v>
      </c>
      <c r="E189" s="23" t="s">
        <v>34</v>
      </c>
      <c r="F189" s="23" t="s">
        <v>1107</v>
      </c>
      <c r="G189" s="75" t="str">
        <f t="shared" si="1"/>
        <v>RA-NAM · Dîner ambiance marocaine</v>
      </c>
      <c r="H189" s="23" t="s">
        <v>1121</v>
      </c>
    </row>
    <row r="190" ht="14.25" customHeight="1">
      <c r="A190" s="23" t="s">
        <v>686</v>
      </c>
      <c r="B190" s="23" t="s">
        <v>1117</v>
      </c>
      <c r="C190" s="23" t="str">
        <f>MATCHING!B49</f>
        <v>RA-NVE</v>
      </c>
      <c r="D190" s="23" t="str">
        <f>MATCHING!C49</f>
        <v>Dîner vue &amp; évasion</v>
      </c>
      <c r="E190" s="23" t="s">
        <v>34</v>
      </c>
      <c r="F190" s="23" t="s">
        <v>1107</v>
      </c>
      <c r="G190" s="75" t="str">
        <f t="shared" si="1"/>
        <v>RA-NVE · Dîner vue &amp; évasion</v>
      </c>
      <c r="H190" s="23" t="s">
        <v>1121</v>
      </c>
    </row>
    <row r="191" ht="14.25" customHeight="1">
      <c r="A191" s="23" t="s">
        <v>788</v>
      </c>
      <c r="B191" s="23" t="s">
        <v>1125</v>
      </c>
      <c r="C191" s="23" t="str">
        <f>MATCHING!B50</f>
        <v>NL-CLU</v>
      </c>
      <c r="D191" s="23" t="str">
        <f>MATCHING!C50</f>
        <v>CLUB</v>
      </c>
      <c r="E191" s="23" t="s">
        <v>34</v>
      </c>
      <c r="F191" s="23" t="s">
        <v>1126</v>
      </c>
      <c r="G191" s="75" t="str">
        <f t="shared" si="1"/>
        <v>NL-CLU · CLUB</v>
      </c>
      <c r="H191" s="23" t="s">
        <v>1128</v>
      </c>
    </row>
    <row r="192" ht="14.25" customHeight="1">
      <c r="A192" s="23" t="s">
        <v>788</v>
      </c>
      <c r="B192" s="23" t="s">
        <v>1125</v>
      </c>
      <c r="C192" s="23" t="str">
        <f>MATCHING!B51</f>
        <v>NL-LOU</v>
      </c>
      <c r="D192" s="23" t="str">
        <f>MATCHING!C51</f>
        <v>LOUNGE</v>
      </c>
      <c r="E192" s="23" t="s">
        <v>34</v>
      </c>
      <c r="F192" s="23" t="s">
        <v>1126</v>
      </c>
      <c r="G192" s="75" t="str">
        <f t="shared" si="1"/>
        <v>NL-LOU · LOUNGE</v>
      </c>
      <c r="H192" s="23" t="s">
        <v>1129</v>
      </c>
    </row>
    <row r="193" ht="14.25" customHeight="1">
      <c r="A193" s="23" t="s">
        <v>788</v>
      </c>
      <c r="B193" s="23" t="s">
        <v>1125</v>
      </c>
      <c r="C193" s="23" t="str">
        <f>MATCHING!B52</f>
        <v>NL-SHO</v>
      </c>
      <c r="D193" s="23" t="str">
        <f>MATCHING!C52</f>
        <v>SHOW &amp; CABARET</v>
      </c>
      <c r="E193" s="23" t="s">
        <v>34</v>
      </c>
      <c r="F193" s="23" t="s">
        <v>1126</v>
      </c>
      <c r="G193" s="75" t="str">
        <f t="shared" si="1"/>
        <v>NL-SHO · SHOW &amp; CABARET</v>
      </c>
      <c r="H193" s="23" t="s">
        <v>1129</v>
      </c>
    </row>
    <row r="194" ht="14.25" customHeight="1">
      <c r="A194" s="23" t="s">
        <v>788</v>
      </c>
      <c r="B194" s="23" t="s">
        <v>1125</v>
      </c>
      <c r="C194" s="23" t="str">
        <f>MATCHING!B53</f>
        <v>NL-LIV</v>
      </c>
      <c r="D194" s="23" t="str">
        <f>MATCHING!C53</f>
        <v>LIVE MUSIC</v>
      </c>
      <c r="E194" s="23" t="s">
        <v>34</v>
      </c>
      <c r="F194" s="23" t="s">
        <v>1126</v>
      </c>
      <c r="G194" s="75" t="str">
        <f t="shared" si="1"/>
        <v>NL-LIV · LIVE MUSIC</v>
      </c>
      <c r="H194" s="23" t="s">
        <v>1129</v>
      </c>
    </row>
    <row r="195" ht="14.25" customHeight="1">
      <c r="A195" s="23" t="s">
        <v>788</v>
      </c>
      <c r="B195" s="23" t="s">
        <v>1125</v>
      </c>
      <c r="C195" s="23" t="str">
        <f>MATCHING!B54</f>
        <v>NL-IMM</v>
      </c>
      <c r="D195" s="23" t="str">
        <f>MATCHING!C54</f>
        <v>IMMERSION MAROCAINE</v>
      </c>
      <c r="E195" s="23" t="s">
        <v>34</v>
      </c>
      <c r="F195" s="23" t="s">
        <v>1126</v>
      </c>
      <c r="G195" s="75" t="str">
        <f t="shared" si="1"/>
        <v>NL-IMM · IMMERSION MAROCAINE</v>
      </c>
      <c r="H195" s="23" t="s">
        <v>1129</v>
      </c>
    </row>
    <row r="196" ht="14.25" customHeight="1">
      <c r="A196" s="23" t="s">
        <v>856</v>
      </c>
      <c r="B196" s="23" t="s">
        <v>1132</v>
      </c>
      <c r="C196" s="23" t="str">
        <f>MATCHING!B55</f>
        <v>AK-CRE</v>
      </c>
      <c r="D196" s="23" t="str">
        <f>MATCHING!C55</f>
        <v>CRÉATIF &amp; LUDIQUE</v>
      </c>
      <c r="E196" s="23" t="s">
        <v>34</v>
      </c>
      <c r="F196" s="23" t="s">
        <v>1133</v>
      </c>
      <c r="G196" s="75" t="str">
        <f t="shared" si="1"/>
        <v>AK-CRE · CRÉATIF &amp; LUDIQUE</v>
      </c>
      <c r="H196" s="23" t="s">
        <v>1134</v>
      </c>
    </row>
    <row r="197" ht="14.25" customHeight="1">
      <c r="A197" s="23" t="s">
        <v>856</v>
      </c>
      <c r="B197" s="23" t="s">
        <v>1132</v>
      </c>
      <c r="C197" s="23" t="str">
        <f>MATCHING!B56</f>
        <v>AK-DEC</v>
      </c>
      <c r="D197" s="23" t="str">
        <f>MATCHING!C56</f>
        <v>DÉCOUVERTE &amp; APPRENTISSAGE</v>
      </c>
      <c r="E197" s="23" t="s">
        <v>34</v>
      </c>
      <c r="F197" s="23" t="s">
        <v>1133</v>
      </c>
      <c r="G197" s="75" t="str">
        <f t="shared" si="1"/>
        <v>AK-DEC · DÉCOUVERTE &amp; APPRENTISSAGE</v>
      </c>
      <c r="H197" s="23" t="s">
        <v>1138</v>
      </c>
    </row>
    <row r="198" ht="14.25" customHeight="1">
      <c r="A198" s="23" t="s">
        <v>856</v>
      </c>
      <c r="B198" s="23" t="s">
        <v>1132</v>
      </c>
      <c r="C198" s="23" t="str">
        <f>MATCHING!B57</f>
        <v>AK-NAT</v>
      </c>
      <c r="D198" s="23" t="str">
        <f>MATCHING!C57</f>
        <v>NATURE &amp; EXPLORATION</v>
      </c>
      <c r="E198" s="23" t="s">
        <v>34</v>
      </c>
      <c r="F198" s="23" t="s">
        <v>1133</v>
      </c>
      <c r="G198" s="75" t="str">
        <f t="shared" si="1"/>
        <v>AK-NAT · NATURE &amp; EXPLORATION</v>
      </c>
      <c r="H198" s="23" t="s">
        <v>1138</v>
      </c>
    </row>
    <row r="199" ht="14.25" customHeight="1">
      <c r="A199" s="23" t="s">
        <v>856</v>
      </c>
      <c r="B199" s="23" t="s">
        <v>1132</v>
      </c>
      <c r="C199" s="23" t="str">
        <f>MATCHING!B58</f>
        <v>AK-LOI</v>
      </c>
      <c r="D199" s="23" t="str">
        <f>MATCHING!C58</f>
        <v>LOISIRS &amp; ÉNERGIE</v>
      </c>
      <c r="E199" s="23" t="s">
        <v>34</v>
      </c>
      <c r="F199" s="23" t="s">
        <v>1133</v>
      </c>
      <c r="G199" s="75" t="str">
        <f t="shared" si="1"/>
        <v>AK-LOI · LOISIRS &amp; ÉNERGIE</v>
      </c>
      <c r="H199" s="23" t="s">
        <v>1138</v>
      </c>
    </row>
    <row r="200" ht="14.25" customHeight="1">
      <c r="A200" s="23" t="s">
        <v>856</v>
      </c>
      <c r="B200" s="23" t="s">
        <v>1132</v>
      </c>
      <c r="C200" s="23" t="str">
        <f>MATCHING!B59</f>
        <v>AK-SER</v>
      </c>
      <c r="D200" s="23" t="str">
        <f>MATCHING!C59</f>
        <v>SÉRÉNITÉ PARENTS</v>
      </c>
      <c r="E200" s="23" t="s">
        <v>34</v>
      </c>
      <c r="F200" s="23" t="s">
        <v>1133</v>
      </c>
      <c r="G200" s="75" t="str">
        <f t="shared" si="1"/>
        <v>AK-SER · SÉRÉNITÉ PARENTS</v>
      </c>
      <c r="H200" s="23" t="s">
        <v>1138</v>
      </c>
    </row>
    <row r="201" ht="14.25" customHeight="1">
      <c r="A201" s="23" t="s">
        <v>959</v>
      </c>
      <c r="B201" s="23" t="s">
        <v>1146</v>
      </c>
      <c r="C201" s="23" t="str">
        <f>MATCHING!B60</f>
        <v>RG-VEG</v>
      </c>
      <c r="D201" s="23" t="str">
        <f>MATCHING!C60</f>
        <v>Cuisine végétarienne</v>
      </c>
      <c r="E201" s="23" t="s">
        <v>155</v>
      </c>
      <c r="F201" s="23" t="s">
        <v>1107</v>
      </c>
      <c r="G201" s="75" t="str">
        <f t="shared" si="1"/>
        <v>RG-VEG · Cuisine végétarienne</v>
      </c>
      <c r="H201" s="23" t="s">
        <v>1150</v>
      </c>
    </row>
    <row r="202" ht="14.25" customHeight="1">
      <c r="A202" s="23" t="s">
        <v>959</v>
      </c>
      <c r="B202" s="23" t="s">
        <v>1146</v>
      </c>
      <c r="C202" s="23" t="str">
        <f>MATCHING!B61</f>
        <v>RG-ALG</v>
      </c>
      <c r="D202" s="23" t="str">
        <f>MATCHING!C61</f>
        <v>Allergies à signaler</v>
      </c>
      <c r="E202" s="23" t="s">
        <v>1152</v>
      </c>
      <c r="F202" s="23" t="s">
        <v>1107</v>
      </c>
      <c r="G202" s="75" t="str">
        <f t="shared" si="1"/>
        <v>RG-ALG · Allergies à signaler</v>
      </c>
      <c r="H202" s="23" t="s">
        <v>1153</v>
      </c>
    </row>
    <row r="203" ht="14.25" customHeight="1">
      <c r="A203" s="23" t="s">
        <v>1111</v>
      </c>
      <c r="B203" s="23" t="s">
        <v>1154</v>
      </c>
      <c r="C203" s="23" t="str">
        <f>MATCHING!B63</f>
        <v>TR-BER</v>
      </c>
      <c r="D203" s="23" t="str">
        <f>MATCHING!C63</f>
        <v>Berline incluse</v>
      </c>
      <c r="E203" s="23" t="s">
        <v>1155</v>
      </c>
      <c r="F203" s="23" t="s">
        <v>527</v>
      </c>
      <c r="G203" s="75" t="str">
        <f t="shared" si="1"/>
        <v>TR-BER · Berline incluse</v>
      </c>
      <c r="H203" s="23" t="s">
        <v>1158</v>
      </c>
    </row>
    <row r="204" ht="14.25" customHeight="1">
      <c r="A204" s="23" t="s">
        <v>1111</v>
      </c>
      <c r="B204" s="23" t="s">
        <v>1154</v>
      </c>
      <c r="C204" s="23" t="str">
        <f>MATCHING!B64</f>
        <v>TR-BEL</v>
      </c>
      <c r="D204" s="23" t="str">
        <f>MATCHING!C64</f>
        <v>Berline luxe (+100 €/j)</v>
      </c>
      <c r="E204" s="23" t="s">
        <v>1161</v>
      </c>
      <c r="F204" s="23" t="s">
        <v>527</v>
      </c>
      <c r="G204" s="75" t="str">
        <f t="shared" si="1"/>
        <v>TR-BEL · Berline luxe (+100 €/j)</v>
      </c>
      <c r="H204" s="23" t="s">
        <v>1164</v>
      </c>
    </row>
    <row r="205" ht="14.25" customHeight="1">
      <c r="A205" s="23" t="s">
        <v>1111</v>
      </c>
      <c r="B205" s="23" t="s">
        <v>1154</v>
      </c>
      <c r="C205" s="23" t="str">
        <f>MATCHING!B65</f>
        <v>TR-SUV</v>
      </c>
      <c r="D205" s="23" t="str">
        <f>MATCHING!C65</f>
        <v>SUV premium (+150 €/j)</v>
      </c>
      <c r="E205" s="23" t="s">
        <v>1161</v>
      </c>
      <c r="F205" s="23" t="s">
        <v>527</v>
      </c>
      <c r="G205" s="75" t="str">
        <f t="shared" si="1"/>
        <v>TR-SUV · SUV premium (+150 €/j)</v>
      </c>
      <c r="H205" s="23" t="s">
        <v>1167</v>
      </c>
    </row>
    <row r="206" ht="14.25" customHeight="1">
      <c r="A206" s="79" t="s">
        <v>1111</v>
      </c>
      <c r="B206" s="79" t="s">
        <v>1154</v>
      </c>
      <c r="C206" s="79" t="str">
        <f>MATCHING!B66</f>
        <v>TR-VAN</v>
      </c>
      <c r="D206" s="79" t="str">
        <f>MATCHING!C66</f>
        <v>Van premium (+200 €/j)</v>
      </c>
      <c r="E206" s="79" t="s">
        <v>1161</v>
      </c>
      <c r="F206" s="79" t="s">
        <v>527</v>
      </c>
      <c r="G206" s="80" t="str">
        <f t="shared" si="1"/>
        <v>TR-VAN · Van premium (+200 €/j)</v>
      </c>
      <c r="H206" s="79" t="s">
        <v>1173</v>
      </c>
    </row>
    <row r="207" ht="14.25" customHeight="1">
      <c r="A207" s="23" t="s">
        <v>1174</v>
      </c>
      <c r="B207" s="23" t="s">
        <v>1175</v>
      </c>
      <c r="C207" s="23" t="str">
        <f>'🔖 CODES DE RÉFÉRENCE'!B253</f>
        <v>Z007</v>
      </c>
      <c r="D207" s="23" t="str">
        <f>'🔖 CODES DE RÉFÉRENCE'!C253</f>
        <v>Hivernage · Avenue Mohammed VI</v>
      </c>
      <c r="E207" s="23" t="s">
        <v>186</v>
      </c>
      <c r="F207" s="23" t="s">
        <v>1174</v>
      </c>
      <c r="G207" s="23" t="str">
        <f t="shared" si="1"/>
        <v>Z007 · Hivernage · Avenue Mohammed VI</v>
      </c>
      <c r="H207" s="23" t="s">
        <v>1178</v>
      </c>
    </row>
    <row r="208" ht="14.25" customHeight="1">
      <c r="A208" s="23" t="s">
        <v>1174</v>
      </c>
      <c r="B208" s="23" t="s">
        <v>1175</v>
      </c>
      <c r="C208" s="23" t="str">
        <f>'🔖 CODES DE RÉFÉRENCE'!B254</f>
        <v>Z008</v>
      </c>
      <c r="D208" s="23" t="str">
        <f>'🔖 CODES DE RÉFÉRENCE'!C254</f>
        <v>Gueliz · Centre-ville</v>
      </c>
      <c r="E208" s="23" t="s">
        <v>186</v>
      </c>
      <c r="F208" s="23" t="s">
        <v>1174</v>
      </c>
      <c r="G208" s="23" t="str">
        <f t="shared" si="1"/>
        <v>Z008 · Gueliz · Centre-ville</v>
      </c>
      <c r="H208" s="23" t="s">
        <v>1182</v>
      </c>
    </row>
    <row r="209" ht="14.25" customHeight="1">
      <c r="A209" s="23" t="s">
        <v>1174</v>
      </c>
      <c r="B209" s="23" t="s">
        <v>1175</v>
      </c>
      <c r="C209" s="23" t="str">
        <f>'🔖 CODES DE RÉFÉRENCE'!B255</f>
        <v>Z009</v>
      </c>
      <c r="D209" s="23" t="str">
        <f>'🔖 CODES DE RÉFÉRENCE'!C255</f>
        <v>Gueliz · Hassan II</v>
      </c>
      <c r="E209" s="23" t="s">
        <v>186</v>
      </c>
      <c r="F209" s="23" t="s">
        <v>1174</v>
      </c>
      <c r="G209" s="23" t="str">
        <f t="shared" si="1"/>
        <v>Z009 · Gueliz · Hassan II</v>
      </c>
      <c r="H209" s="23" t="s">
        <v>1187</v>
      </c>
    </row>
    <row r="210" ht="14.25" customHeight="1">
      <c r="A210" s="23" t="s">
        <v>1174</v>
      </c>
      <c r="B210" s="23" t="s">
        <v>1175</v>
      </c>
      <c r="C210" s="23" t="str">
        <f>'🔖 CODES DE RÉFÉRENCE'!B256</f>
        <v>Z010</v>
      </c>
      <c r="D210" s="23" t="str">
        <f>'🔖 CODES DE RÉFÉRENCE'!C256</f>
        <v>Palmeraie · Circuit principal</v>
      </c>
      <c r="E210" s="23" t="s">
        <v>186</v>
      </c>
      <c r="F210" s="23" t="s">
        <v>1174</v>
      </c>
      <c r="G210" s="23" t="str">
        <f t="shared" si="1"/>
        <v>Z010 · Palmeraie · Circuit principal</v>
      </c>
      <c r="H210" s="23" t="s">
        <v>1193</v>
      </c>
    </row>
    <row r="211" ht="14.25" customHeight="1">
      <c r="A211" s="23" t="s">
        <v>1174</v>
      </c>
      <c r="B211" s="23" t="s">
        <v>1175</v>
      </c>
      <c r="C211" s="23" t="str">
        <f>'🔖 CODES DE RÉFÉRENCE'!B257</f>
        <v>Z011</v>
      </c>
      <c r="D211" s="23" t="str">
        <f>'🔖 CODES DE RÉFÉRENCE'!C257</f>
        <v>Palmeraie · Route de Fès</v>
      </c>
      <c r="E211" s="23" t="s">
        <v>186</v>
      </c>
      <c r="F211" s="23" t="s">
        <v>1174</v>
      </c>
      <c r="G211" s="23" t="str">
        <f t="shared" si="1"/>
        <v>Z011 · Palmeraie · Route de Fès</v>
      </c>
      <c r="H211" s="23" t="s">
        <v>1200</v>
      </c>
    </row>
    <row r="212" ht="14.25" customHeight="1">
      <c r="A212" s="83" t="s">
        <v>1201</v>
      </c>
      <c r="B212" s="83" t="s">
        <v>1202</v>
      </c>
      <c r="C212" s="83" t="str">
        <f>'🔖 CODES DE RÉFÉRENCE'!B79</f>
        <v>SE-SUR</v>
      </c>
      <c r="D212" s="83" t="str">
        <f>'🔖 CODES DE RÉFÉRENCE'!C79</f>
        <v>Surveillance de votre hébergement</v>
      </c>
      <c r="E212" s="83" t="s">
        <v>1205</v>
      </c>
      <c r="F212" s="83" t="s">
        <v>1206</v>
      </c>
      <c r="G212" s="83" t="str">
        <f t="shared" si="1"/>
        <v>SE-SUR · Surveillance de votre hébergement</v>
      </c>
      <c r="H212" s="83" t="s">
        <v>1208</v>
      </c>
    </row>
    <row r="213" ht="14.25" customHeight="1">
      <c r="A213" s="34" t="s">
        <v>1201</v>
      </c>
      <c r="B213" s="34" t="s">
        <v>1202</v>
      </c>
      <c r="C213" s="34" t="str">
        <f>'🔖 CODES DE RÉFÉRENCE'!B80</f>
        <v>SE-PRO</v>
      </c>
      <c r="D213" s="34" t="str">
        <f>'🔖 CODES DE RÉFÉRENCE'!C80</f>
        <v>Agent de protection discret</v>
      </c>
      <c r="E213" s="34" t="s">
        <v>1205</v>
      </c>
      <c r="F213" s="34" t="s">
        <v>1206</v>
      </c>
      <c r="G213" s="34" t="str">
        <f t="shared" si="1"/>
        <v>SE-PRO · Agent de protection discret</v>
      </c>
      <c r="H213" s="34" t="s">
        <v>1216</v>
      </c>
    </row>
    <row r="214" ht="14.25" customHeight="1">
      <c r="A214" s="34" t="s">
        <v>1201</v>
      </c>
      <c r="B214" s="34" t="s">
        <v>1202</v>
      </c>
      <c r="C214" s="34" t="str">
        <f>'🔖 CODES DE RÉFÉRENCE'!B81</f>
        <v>SE-FEM</v>
      </c>
      <c r="D214" s="34" t="str">
        <f>'🔖 CODES DE RÉFÉRENCE'!C81</f>
        <v>Agent de protection féminin</v>
      </c>
      <c r="E214" s="34" t="s">
        <v>1205</v>
      </c>
      <c r="F214" s="34" t="s">
        <v>1206</v>
      </c>
      <c r="G214" s="34" t="str">
        <f t="shared" si="1"/>
        <v>SE-FEM · Agent de protection féminin</v>
      </c>
      <c r="H214" s="34" t="s">
        <v>1225</v>
      </c>
    </row>
    <row r="215" ht="14.25" customHeight="1">
      <c r="A215" s="34" t="s">
        <v>1201</v>
      </c>
      <c r="B215" s="34" t="s">
        <v>1202</v>
      </c>
      <c r="C215" s="34" t="str">
        <f>'🔖 CODES DE RÉFÉRENCE'!B82</f>
        <v>SE-24H</v>
      </c>
      <c r="D215" s="34" t="str">
        <f>'🔖 CODES DE RÉFÉRENCE'!C82</f>
        <v>Protection renforcée 24h/24</v>
      </c>
      <c r="E215" s="34" t="s">
        <v>1205</v>
      </c>
      <c r="F215" s="34" t="s">
        <v>1206</v>
      </c>
      <c r="G215" s="34" t="str">
        <f t="shared" si="1"/>
        <v>SE-24H · Protection renforcée 24h/24</v>
      </c>
      <c r="H215" s="34" t="s">
        <v>1234</v>
      </c>
    </row>
    <row r="216" ht="14.25" customHeight="1">
      <c r="A216" s="67" t="s">
        <v>1201</v>
      </c>
      <c r="B216" s="67" t="s">
        <v>1202</v>
      </c>
      <c r="C216" s="67" t="str">
        <f>'🔖 CODES DE RÉFÉRENCE'!B83</f>
        <v>SE-ETU</v>
      </c>
      <c r="D216" s="67" t="str">
        <f>'🔖 CODES DE RÉFÉRENCE'!C83</f>
        <v>Étude personnalisée</v>
      </c>
      <c r="E216" s="67" t="s">
        <v>1205</v>
      </c>
      <c r="F216" s="67" t="s">
        <v>1206</v>
      </c>
      <c r="G216" s="67" t="str">
        <f t="shared" si="1"/>
        <v>SE-ETU · Étude personnalisée</v>
      </c>
      <c r="H216" s="67" t="s">
        <v>1238</v>
      </c>
    </row>
    <row r="217" ht="14.25" customHeight="1">
      <c r="A217" s="34" t="s">
        <v>1135</v>
      </c>
      <c r="B217" s="34" t="s">
        <v>1240</v>
      </c>
      <c r="C217" s="34" t="str">
        <f>'🔖 CODES DE RÉFÉRENCE'!B120</f>
        <v>KD-KFR</v>
      </c>
      <c r="D217" s="34" t="str">
        <f>'🔖 CODES DE RÉFÉRENCE'!C120</f>
        <v>KIDS FRIENDLY</v>
      </c>
      <c r="E217" s="34" t="s">
        <v>186</v>
      </c>
      <c r="F217" s="34" t="s">
        <v>1244</v>
      </c>
      <c r="G217" s="34" t="str">
        <f t="shared" si="1"/>
        <v>KD-KFR · KIDS FRIENDLY</v>
      </c>
      <c r="H217" s="34" t="s">
        <v>1245</v>
      </c>
    </row>
    <row r="218" ht="14.25" customHeight="1">
      <c r="A218" s="34" t="s">
        <v>1135</v>
      </c>
      <c r="B218" s="34" t="s">
        <v>1240</v>
      </c>
      <c r="C218" s="34" t="str">
        <f>'🔖 CODES DE RÉFÉRENCE'!B121</f>
        <v>KD-CLB</v>
      </c>
      <c r="D218" s="34" t="str">
        <f>'🔖 CODES DE RÉFÉRENCE'!C121</f>
        <v>KIDS CLUB</v>
      </c>
      <c r="E218" s="34" t="s">
        <v>186</v>
      </c>
      <c r="F218" s="34" t="s">
        <v>1244</v>
      </c>
      <c r="G218" s="34" t="str">
        <f t="shared" si="1"/>
        <v>KD-CLB · KIDS CLUB</v>
      </c>
      <c r="H218" s="34" t="s">
        <v>1250</v>
      </c>
    </row>
    <row r="219" ht="14.25" customHeight="1">
      <c r="A219" s="34" t="s">
        <v>1135</v>
      </c>
      <c r="B219" s="34" t="s">
        <v>1240</v>
      </c>
      <c r="C219" s="34" t="str">
        <f>'🔖 CODES DE RÉFÉRENCE'!B122</f>
        <v>KD-PIS</v>
      </c>
      <c r="D219" s="34" t="str">
        <f>'🔖 CODES DE RÉFÉRENCE'!C122</f>
        <v>PISCINE SÉCURISÉE</v>
      </c>
      <c r="E219" s="34" t="s">
        <v>186</v>
      </c>
      <c r="F219" s="34" t="s">
        <v>1244</v>
      </c>
      <c r="G219" s="34" t="str">
        <f t="shared" si="1"/>
        <v>KD-PIS · PISCINE SÉCURISÉE</v>
      </c>
      <c r="H219" s="34" t="s">
        <v>1255</v>
      </c>
    </row>
    <row r="220" ht="14.25" customHeight="1">
      <c r="A220" s="67" t="s">
        <v>1135</v>
      </c>
      <c r="B220" s="67" t="s">
        <v>1240</v>
      </c>
      <c r="C220" s="67" t="str">
        <f>'🔖 CODES DE RÉFÉRENCE'!B123</f>
        <v>KD-ACT</v>
      </c>
      <c r="D220" s="67" t="str">
        <f>'🔖 CODES DE RÉFÉRENCE'!C123</f>
        <v>ÉQUIPEMENT activités enfants (du lieu)</v>
      </c>
      <c r="E220" s="67" t="s">
        <v>186</v>
      </c>
      <c r="F220" s="67" t="s">
        <v>1244</v>
      </c>
      <c r="G220" s="67" t="str">
        <f t="shared" si="1"/>
        <v>KD-ACT · ÉQUIPEMENT activités enfants (du lieu)</v>
      </c>
      <c r="H220" s="67" t="s">
        <v>1258</v>
      </c>
    </row>
    <row r="221" ht="14.25" customHeight="1">
      <c r="A221" s="34" t="s">
        <v>231</v>
      </c>
      <c r="B221" s="34" t="s">
        <v>232</v>
      </c>
      <c r="C221" s="23" t="s">
        <v>1260</v>
      </c>
      <c r="D221" s="23" t="s">
        <v>1262</v>
      </c>
      <c r="E221" s="34" t="s">
        <v>155</v>
      </c>
      <c r="F221" s="34" t="s">
        <v>236</v>
      </c>
      <c r="G221" s="34" t="str">
        <f t="shared" si="1"/>
        <v>VENUE_VEGETARIAN · Lieu proposant une option végétarienne</v>
      </c>
      <c r="H221" s="34" t="s">
        <v>1265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3B52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3.88"/>
    <col customWidth="1" min="2" max="2" width="21.38"/>
    <col customWidth="1" min="3" max="3" width="24.0"/>
    <col customWidth="1" min="4" max="4" width="15.63"/>
    <col customWidth="1" min="5" max="5" width="16.38"/>
    <col customWidth="1" min="6" max="6" width="24.88"/>
    <col customWidth="1" min="7" max="7" width="31.13"/>
    <col customWidth="1" min="8" max="8" width="44.5"/>
    <col customWidth="1" min="9" max="9" width="29.38"/>
  </cols>
  <sheetData>
    <row r="1" ht="15.0" customHeight="1">
      <c r="A1" s="81" t="s">
        <v>1181</v>
      </c>
      <c r="B1" s="2"/>
      <c r="C1" s="2"/>
      <c r="D1" s="2"/>
      <c r="E1" s="2"/>
      <c r="F1" s="2"/>
      <c r="G1" s="2"/>
      <c r="H1" s="2"/>
      <c r="I1" s="4"/>
    </row>
    <row r="2" ht="15.0" customHeight="1">
      <c r="A2" s="82" t="s">
        <v>6</v>
      </c>
      <c r="B2" s="82" t="s">
        <v>1188</v>
      </c>
      <c r="C2" s="82" t="s">
        <v>10</v>
      </c>
      <c r="D2" s="82" t="s">
        <v>1189</v>
      </c>
      <c r="E2" s="82" t="s">
        <v>1191</v>
      </c>
      <c r="F2" s="82" t="s">
        <v>1194</v>
      </c>
      <c r="G2" s="82" t="s">
        <v>1195</v>
      </c>
      <c r="H2" s="82" t="s">
        <v>1196</v>
      </c>
      <c r="I2" s="82" t="s">
        <v>1197</v>
      </c>
    </row>
    <row r="3" ht="21.75" customHeight="1">
      <c r="A3" s="84" t="s">
        <v>33</v>
      </c>
      <c r="B3" s="85"/>
      <c r="C3" s="85"/>
      <c r="D3" s="85"/>
      <c r="E3" s="85"/>
      <c r="F3" s="85"/>
      <c r="G3" s="85"/>
      <c r="H3" s="85"/>
      <c r="I3" s="86"/>
    </row>
    <row r="4" ht="15.0" customHeight="1">
      <c r="A4" s="87" t="s">
        <v>1207</v>
      </c>
      <c r="B4" s="88" t="s">
        <v>1211</v>
      </c>
      <c r="C4" s="89" t="s">
        <v>1212</v>
      </c>
      <c r="D4" s="89" t="s">
        <v>1213</v>
      </c>
      <c r="E4" s="89" t="s">
        <v>1215</v>
      </c>
      <c r="F4" s="90" t="s">
        <v>1218</v>
      </c>
      <c r="G4" s="90" t="s">
        <v>1219</v>
      </c>
      <c r="H4" s="90" t="s">
        <v>1220</v>
      </c>
      <c r="I4" s="90" t="s">
        <v>1222</v>
      </c>
    </row>
    <row r="5" ht="21.75" customHeight="1">
      <c r="A5" s="87" t="s">
        <v>1224</v>
      </c>
      <c r="B5" s="88" t="s">
        <v>29</v>
      </c>
      <c r="C5" s="89" t="s">
        <v>46</v>
      </c>
      <c r="D5" s="89" t="s">
        <v>1226</v>
      </c>
      <c r="E5" s="89" t="s">
        <v>1227</v>
      </c>
      <c r="F5" s="90" t="s">
        <v>1229</v>
      </c>
      <c r="G5" s="90" t="s">
        <v>1232</v>
      </c>
      <c r="H5" s="90" t="s">
        <v>1233</v>
      </c>
      <c r="I5" s="90" t="s">
        <v>1235</v>
      </c>
    </row>
    <row r="6" ht="21.75" customHeight="1">
      <c r="A6" s="87" t="s">
        <v>1224</v>
      </c>
      <c r="B6" s="88" t="s">
        <v>64</v>
      </c>
      <c r="C6" s="89" t="s">
        <v>65</v>
      </c>
      <c r="D6" s="89" t="s">
        <v>1226</v>
      </c>
      <c r="E6" s="89" t="s">
        <v>1227</v>
      </c>
      <c r="F6" s="90" t="s">
        <v>1229</v>
      </c>
      <c r="G6" s="90" t="s">
        <v>1239</v>
      </c>
      <c r="H6" s="90" t="s">
        <v>1241</v>
      </c>
      <c r="I6" s="90"/>
    </row>
    <row r="7" ht="15.0" customHeight="1">
      <c r="A7" s="87" t="s">
        <v>1224</v>
      </c>
      <c r="B7" s="88" t="s">
        <v>75</v>
      </c>
      <c r="C7" s="89" t="s">
        <v>77</v>
      </c>
      <c r="D7" s="89" t="s">
        <v>1226</v>
      </c>
      <c r="E7" s="89" t="s">
        <v>1227</v>
      </c>
      <c r="F7" s="90" t="s">
        <v>1229</v>
      </c>
      <c r="G7" s="90" t="s">
        <v>1246</v>
      </c>
      <c r="H7" s="90" t="s">
        <v>1241</v>
      </c>
      <c r="I7" s="90"/>
    </row>
    <row r="8" ht="15.0" customHeight="1">
      <c r="A8" s="87" t="s">
        <v>1224</v>
      </c>
      <c r="B8" s="88" t="s">
        <v>91</v>
      </c>
      <c r="C8" s="89" t="s">
        <v>94</v>
      </c>
      <c r="D8" s="89" t="s">
        <v>1226</v>
      </c>
      <c r="E8" s="89" t="s">
        <v>1227</v>
      </c>
      <c r="F8" s="90" t="s">
        <v>1229</v>
      </c>
      <c r="G8" s="90" t="s">
        <v>1253</v>
      </c>
      <c r="H8" s="90" t="s">
        <v>1254</v>
      </c>
      <c r="I8" s="90"/>
    </row>
    <row r="9" ht="15.0" customHeight="1">
      <c r="A9" s="87" t="s">
        <v>1224</v>
      </c>
      <c r="B9" s="88" t="s">
        <v>99</v>
      </c>
      <c r="C9" s="89" t="s">
        <v>100</v>
      </c>
      <c r="D9" s="89" t="s">
        <v>1226</v>
      </c>
      <c r="E9" s="89" t="s">
        <v>1227</v>
      </c>
      <c r="F9" s="90" t="s">
        <v>1229</v>
      </c>
      <c r="G9" s="90" t="s">
        <v>1259</v>
      </c>
      <c r="H9" s="90" t="s">
        <v>1241</v>
      </c>
      <c r="I9" s="90"/>
    </row>
    <row r="10" ht="15.0" customHeight="1">
      <c r="A10" s="87" t="s">
        <v>1264</v>
      </c>
      <c r="B10" s="88" t="s">
        <v>125</v>
      </c>
      <c r="C10" s="89" t="s">
        <v>127</v>
      </c>
      <c r="D10" s="89" t="s">
        <v>1051</v>
      </c>
      <c r="E10" s="89" t="s">
        <v>1266</v>
      </c>
      <c r="F10" s="90" t="s">
        <v>1267</v>
      </c>
      <c r="G10" s="90" t="s">
        <v>1270</v>
      </c>
      <c r="H10" s="90" t="s">
        <v>1272</v>
      </c>
      <c r="I10" s="90" t="s">
        <v>1273</v>
      </c>
    </row>
    <row r="11" ht="15.0" customHeight="1">
      <c r="A11" s="87" t="s">
        <v>1264</v>
      </c>
      <c r="B11" s="88" t="s">
        <v>129</v>
      </c>
      <c r="C11" s="89" t="s">
        <v>130</v>
      </c>
      <c r="D11" s="89" t="s">
        <v>1051</v>
      </c>
      <c r="E11" s="89" t="s">
        <v>1276</v>
      </c>
      <c r="F11" s="90" t="s">
        <v>1277</v>
      </c>
      <c r="G11" s="90" t="s">
        <v>1270</v>
      </c>
      <c r="H11" s="90" t="s">
        <v>1279</v>
      </c>
      <c r="I11" s="90"/>
    </row>
    <row r="12" ht="15.0" customHeight="1">
      <c r="A12" s="87" t="s">
        <v>1264</v>
      </c>
      <c r="B12" s="88" t="s">
        <v>134</v>
      </c>
      <c r="C12" s="89" t="s">
        <v>135</v>
      </c>
      <c r="D12" s="89" t="s">
        <v>1051</v>
      </c>
      <c r="E12" s="89" t="s">
        <v>1276</v>
      </c>
      <c r="F12" s="90" t="s">
        <v>1283</v>
      </c>
      <c r="G12" s="90" t="s">
        <v>1270</v>
      </c>
      <c r="H12" s="90" t="s">
        <v>1279</v>
      </c>
      <c r="I12" s="90"/>
    </row>
    <row r="13" ht="15.0" customHeight="1">
      <c r="A13" s="87" t="s">
        <v>1264</v>
      </c>
      <c r="B13" s="88" t="s">
        <v>137</v>
      </c>
      <c r="C13" s="89" t="s">
        <v>139</v>
      </c>
      <c r="D13" s="89" t="s">
        <v>1051</v>
      </c>
      <c r="E13" s="89" t="s">
        <v>1276</v>
      </c>
      <c r="F13" s="90" t="s">
        <v>1287</v>
      </c>
      <c r="G13" s="90" t="s">
        <v>1270</v>
      </c>
      <c r="H13" s="90" t="s">
        <v>1279</v>
      </c>
      <c r="I13" s="90"/>
    </row>
    <row r="14" ht="15.0" customHeight="1">
      <c r="A14" s="87" t="s">
        <v>1264</v>
      </c>
      <c r="B14" s="88" t="s">
        <v>140</v>
      </c>
      <c r="C14" s="89" t="s">
        <v>141</v>
      </c>
      <c r="D14" s="89" t="s">
        <v>1051</v>
      </c>
      <c r="E14" s="89" t="s">
        <v>1276</v>
      </c>
      <c r="F14" s="90" t="s">
        <v>1292</v>
      </c>
      <c r="G14" s="90" t="s">
        <v>1270</v>
      </c>
      <c r="H14" s="90" t="s">
        <v>1279</v>
      </c>
      <c r="I14" s="90"/>
    </row>
    <row r="15" ht="15.0" customHeight="1">
      <c r="A15" s="87" t="s">
        <v>1264</v>
      </c>
      <c r="B15" s="88" t="s">
        <v>143</v>
      </c>
      <c r="C15" s="89" t="s">
        <v>177</v>
      </c>
      <c r="D15" s="89" t="s">
        <v>1062</v>
      </c>
      <c r="E15" s="89" t="s">
        <v>1276</v>
      </c>
      <c r="F15" s="90" t="s">
        <v>1298</v>
      </c>
      <c r="G15" s="90" t="s">
        <v>1299</v>
      </c>
      <c r="H15" s="90" t="s">
        <v>1300</v>
      </c>
      <c r="I15" s="90"/>
    </row>
    <row r="16" ht="15.0" customHeight="1">
      <c r="A16" s="87" t="s">
        <v>1303</v>
      </c>
      <c r="B16" s="88" t="s">
        <v>153</v>
      </c>
      <c r="C16" s="89" t="s">
        <v>154</v>
      </c>
      <c r="D16" s="89" t="s">
        <v>155</v>
      </c>
      <c r="E16" s="89" t="s">
        <v>1306</v>
      </c>
      <c r="F16" s="90" t="s">
        <v>1308</v>
      </c>
      <c r="G16" s="90" t="s">
        <v>1229</v>
      </c>
      <c r="H16" s="90" t="s">
        <v>1309</v>
      </c>
      <c r="I16" s="90"/>
    </row>
    <row r="17" ht="15.0" customHeight="1">
      <c r="A17" s="87" t="s">
        <v>1303</v>
      </c>
      <c r="B17" s="88" t="s">
        <v>158</v>
      </c>
      <c r="C17" s="89" t="s">
        <v>159</v>
      </c>
      <c r="D17" s="89" t="s">
        <v>155</v>
      </c>
      <c r="E17" s="89" t="s">
        <v>1306</v>
      </c>
      <c r="F17" s="90" t="s">
        <v>1313</v>
      </c>
      <c r="G17" s="90" t="s">
        <v>1229</v>
      </c>
      <c r="H17" s="90" t="s">
        <v>1309</v>
      </c>
      <c r="I17" s="90"/>
    </row>
    <row r="18" ht="15.0" customHeight="1">
      <c r="A18" s="87" t="s">
        <v>1303</v>
      </c>
      <c r="B18" s="88" t="s">
        <v>161</v>
      </c>
      <c r="C18" s="89" t="s">
        <v>163</v>
      </c>
      <c r="D18" s="89" t="s">
        <v>155</v>
      </c>
      <c r="E18" s="89" t="s">
        <v>1306</v>
      </c>
      <c r="F18" s="90" t="s">
        <v>1320</v>
      </c>
      <c r="G18" s="90" t="s">
        <v>1229</v>
      </c>
      <c r="H18" s="90" t="s">
        <v>1309</v>
      </c>
      <c r="I18" s="90"/>
    </row>
    <row r="19" ht="15.0" customHeight="1">
      <c r="A19" s="87" t="s">
        <v>1303</v>
      </c>
      <c r="B19" s="88" t="s">
        <v>164</v>
      </c>
      <c r="C19" s="89" t="s">
        <v>166</v>
      </c>
      <c r="D19" s="89" t="s">
        <v>155</v>
      </c>
      <c r="E19" s="89" t="s">
        <v>1306</v>
      </c>
      <c r="F19" s="90" t="s">
        <v>1325</v>
      </c>
      <c r="G19" s="90" t="s">
        <v>1229</v>
      </c>
      <c r="H19" s="90" t="s">
        <v>1309</v>
      </c>
      <c r="I19" s="90"/>
    </row>
    <row r="20" ht="15.0" customHeight="1">
      <c r="A20" s="87" t="s">
        <v>1303</v>
      </c>
      <c r="B20" s="88" t="s">
        <v>167</v>
      </c>
      <c r="C20" s="89" t="s">
        <v>169</v>
      </c>
      <c r="D20" s="89" t="s">
        <v>155</v>
      </c>
      <c r="E20" s="89" t="s">
        <v>1306</v>
      </c>
      <c r="F20" s="90" t="s">
        <v>1337</v>
      </c>
      <c r="G20" s="90" t="s">
        <v>1339</v>
      </c>
      <c r="H20" s="90" t="s">
        <v>1309</v>
      </c>
      <c r="I20" s="90"/>
    </row>
    <row r="21" ht="15.0" customHeight="1">
      <c r="A21" s="87" t="s">
        <v>1303</v>
      </c>
      <c r="B21" s="88" t="s">
        <v>171</v>
      </c>
      <c r="C21" s="89" t="s">
        <v>174</v>
      </c>
      <c r="D21" s="89" t="s">
        <v>1351</v>
      </c>
      <c r="E21" s="89" t="s">
        <v>1306</v>
      </c>
      <c r="F21" s="90" t="s">
        <v>1356</v>
      </c>
      <c r="G21" s="90" t="s">
        <v>1299</v>
      </c>
      <c r="H21" s="90" t="s">
        <v>1359</v>
      </c>
      <c r="I21" s="90" t="s">
        <v>1362</v>
      </c>
    </row>
    <row r="22" ht="15.0" customHeight="1">
      <c r="A22" s="84" t="s">
        <v>185</v>
      </c>
      <c r="B22" s="85"/>
      <c r="C22" s="85"/>
      <c r="D22" s="85"/>
      <c r="E22" s="85"/>
      <c r="F22" s="85"/>
      <c r="G22" s="85"/>
      <c r="H22" s="85"/>
      <c r="I22" s="86"/>
    </row>
    <row r="23" ht="15.0" customHeight="1">
      <c r="A23" s="87" t="s">
        <v>1374</v>
      </c>
      <c r="B23" s="88" t="s">
        <v>210</v>
      </c>
      <c r="C23" s="89" t="s">
        <v>315</v>
      </c>
      <c r="D23" s="89" t="s">
        <v>1069</v>
      </c>
      <c r="E23" s="89" t="s">
        <v>196</v>
      </c>
      <c r="F23" s="90" t="s">
        <v>1384</v>
      </c>
      <c r="G23" s="90" t="s">
        <v>1387</v>
      </c>
      <c r="H23" s="90" t="s">
        <v>1391</v>
      </c>
      <c r="I23" s="90"/>
    </row>
    <row r="24" ht="15.0" customHeight="1">
      <c r="A24" s="87" t="s">
        <v>1374</v>
      </c>
      <c r="B24" s="88" t="s">
        <v>200</v>
      </c>
      <c r="C24" s="89" t="s">
        <v>339</v>
      </c>
      <c r="D24" s="89" t="s">
        <v>1069</v>
      </c>
      <c r="E24" s="89" t="s">
        <v>196</v>
      </c>
      <c r="F24" s="90" t="s">
        <v>1405</v>
      </c>
      <c r="G24" s="90" t="s">
        <v>105</v>
      </c>
      <c r="H24" s="90" t="s">
        <v>1408</v>
      </c>
      <c r="I24" s="90" t="s">
        <v>1411</v>
      </c>
    </row>
    <row r="25" ht="15.0" customHeight="1">
      <c r="A25" s="87" t="s">
        <v>1374</v>
      </c>
      <c r="B25" s="88" t="s">
        <v>203</v>
      </c>
      <c r="C25" s="89" t="s">
        <v>347</v>
      </c>
      <c r="D25" s="89" t="s">
        <v>1069</v>
      </c>
      <c r="E25" s="89" t="s">
        <v>196</v>
      </c>
      <c r="F25" s="90" t="s">
        <v>1420</v>
      </c>
      <c r="G25" s="90" t="s">
        <v>123</v>
      </c>
      <c r="H25" s="90" t="s">
        <v>1422</v>
      </c>
      <c r="I25" s="90" t="s">
        <v>1424</v>
      </c>
    </row>
    <row r="26" ht="15.0" customHeight="1">
      <c r="A26" s="87" t="s">
        <v>1374</v>
      </c>
      <c r="B26" s="88" t="s">
        <v>215</v>
      </c>
      <c r="C26" s="89" t="s">
        <v>357</v>
      </c>
      <c r="D26" s="89" t="s">
        <v>1069</v>
      </c>
      <c r="E26" s="89" t="s">
        <v>196</v>
      </c>
      <c r="F26" s="90" t="s">
        <v>1429</v>
      </c>
      <c r="G26" s="90" t="s">
        <v>105</v>
      </c>
      <c r="H26" s="90" t="s">
        <v>1408</v>
      </c>
      <c r="I26" s="90"/>
    </row>
    <row r="27" ht="15.0" customHeight="1">
      <c r="A27" s="87" t="s">
        <v>1374</v>
      </c>
      <c r="B27" s="88" t="s">
        <v>219</v>
      </c>
      <c r="C27" s="89" t="s">
        <v>353</v>
      </c>
      <c r="D27" s="89" t="s">
        <v>1069</v>
      </c>
      <c r="E27" s="89" t="s">
        <v>196</v>
      </c>
      <c r="F27" s="90" t="s">
        <v>1452</v>
      </c>
      <c r="G27" s="90" t="s">
        <v>105</v>
      </c>
      <c r="H27" s="90" t="s">
        <v>1408</v>
      </c>
      <c r="I27" s="90" t="s">
        <v>1455</v>
      </c>
    </row>
    <row r="28" ht="15.0" customHeight="1">
      <c r="A28" s="87" t="s">
        <v>1374</v>
      </c>
      <c r="B28" s="88" t="s">
        <v>221</v>
      </c>
      <c r="C28" s="89" t="s">
        <v>1458</v>
      </c>
      <c r="D28" s="89" t="s">
        <v>1085</v>
      </c>
      <c r="E28" s="89" t="s">
        <v>196</v>
      </c>
      <c r="F28" s="90" t="s">
        <v>1459</v>
      </c>
      <c r="G28" s="90" t="s">
        <v>1229</v>
      </c>
      <c r="H28" s="90" t="s">
        <v>1460</v>
      </c>
      <c r="I28" s="90"/>
    </row>
    <row r="29" ht="34.5" customHeight="1">
      <c r="A29" s="87" t="s">
        <v>1462</v>
      </c>
      <c r="B29" s="88" t="s">
        <v>1229</v>
      </c>
      <c r="C29" s="89" t="s">
        <v>1463</v>
      </c>
      <c r="D29" s="89" t="s">
        <v>1464</v>
      </c>
      <c r="E29" s="89" t="s">
        <v>196</v>
      </c>
      <c r="F29" s="90" t="s">
        <v>1229</v>
      </c>
      <c r="G29" s="90" t="s">
        <v>1229</v>
      </c>
      <c r="H29" s="90" t="s">
        <v>1466</v>
      </c>
      <c r="I29" s="90"/>
    </row>
    <row r="30" ht="23.25" customHeight="1">
      <c r="A30" s="87" t="s">
        <v>1468</v>
      </c>
      <c r="B30" s="88" t="s">
        <v>279</v>
      </c>
      <c r="C30" s="89" t="s">
        <v>442</v>
      </c>
      <c r="D30" s="89" t="s">
        <v>34</v>
      </c>
      <c r="E30" s="89" t="s">
        <v>1469</v>
      </c>
      <c r="F30" s="90" t="s">
        <v>1470</v>
      </c>
      <c r="G30" s="90" t="s">
        <v>1471</v>
      </c>
      <c r="H30" s="90" t="s">
        <v>1473</v>
      </c>
      <c r="I30" s="90"/>
    </row>
    <row r="31" ht="14.25" customHeight="1">
      <c r="A31" s="87" t="s">
        <v>1468</v>
      </c>
      <c r="B31" s="88" t="s">
        <v>284</v>
      </c>
      <c r="C31" s="89" t="s">
        <v>458</v>
      </c>
      <c r="D31" s="89" t="s">
        <v>34</v>
      </c>
      <c r="E31" s="89" t="s">
        <v>1469</v>
      </c>
      <c r="F31" s="90" t="s">
        <v>1470</v>
      </c>
      <c r="G31" s="90" t="s">
        <v>1476</v>
      </c>
      <c r="H31" s="90" t="s">
        <v>1473</v>
      </c>
      <c r="I31" s="90" t="s">
        <v>1479</v>
      </c>
    </row>
    <row r="32" ht="14.25" customHeight="1">
      <c r="A32" s="87" t="s">
        <v>1468</v>
      </c>
      <c r="B32" s="88" t="s">
        <v>289</v>
      </c>
      <c r="C32" s="89" t="s">
        <v>470</v>
      </c>
      <c r="D32" s="89" t="s">
        <v>34</v>
      </c>
      <c r="E32" s="89" t="s">
        <v>1469</v>
      </c>
      <c r="F32" s="90" t="s">
        <v>1470</v>
      </c>
      <c r="G32" s="90" t="s">
        <v>1481</v>
      </c>
      <c r="H32" s="90" t="s">
        <v>1473</v>
      </c>
      <c r="I32" s="90"/>
    </row>
    <row r="33" ht="14.25" customHeight="1">
      <c r="A33" s="87" t="s">
        <v>1468</v>
      </c>
      <c r="B33" s="88" t="s">
        <v>275</v>
      </c>
      <c r="C33" s="89" t="s">
        <v>483</v>
      </c>
      <c r="D33" s="89" t="s">
        <v>34</v>
      </c>
      <c r="E33" s="89" t="s">
        <v>1469</v>
      </c>
      <c r="F33" s="90" t="s">
        <v>1470</v>
      </c>
      <c r="G33" s="90" t="s">
        <v>1232</v>
      </c>
      <c r="H33" s="90" t="s">
        <v>1473</v>
      </c>
      <c r="I33" s="90"/>
    </row>
    <row r="34" ht="23.25" customHeight="1">
      <c r="A34" s="87" t="s">
        <v>1468</v>
      </c>
      <c r="B34" s="88" t="s">
        <v>292</v>
      </c>
      <c r="C34" s="89" t="s">
        <v>493</v>
      </c>
      <c r="D34" s="89" t="s">
        <v>34</v>
      </c>
      <c r="E34" s="89" t="s">
        <v>1469</v>
      </c>
      <c r="F34" s="90" t="s">
        <v>1470</v>
      </c>
      <c r="G34" s="90" t="s">
        <v>1488</v>
      </c>
      <c r="H34" s="90" t="s">
        <v>1473</v>
      </c>
      <c r="I34" s="90" t="s">
        <v>1455</v>
      </c>
    </row>
    <row r="35" ht="14.25" customHeight="1">
      <c r="A35" s="87" t="s">
        <v>1468</v>
      </c>
      <c r="B35" s="88" t="s">
        <v>272</v>
      </c>
      <c r="C35" s="89" t="s">
        <v>425</v>
      </c>
      <c r="D35" s="89" t="s">
        <v>1097</v>
      </c>
      <c r="E35" s="89" t="s">
        <v>1469</v>
      </c>
      <c r="F35" s="90" t="s">
        <v>1492</v>
      </c>
      <c r="G35" s="90" t="s">
        <v>1493</v>
      </c>
      <c r="H35" s="90" t="s">
        <v>1494</v>
      </c>
      <c r="I35" s="90" t="s">
        <v>1495</v>
      </c>
    </row>
    <row r="36" ht="14.25" customHeight="1">
      <c r="A36" s="87" t="s">
        <v>1496</v>
      </c>
      <c r="B36" s="88" t="s">
        <v>304</v>
      </c>
      <c r="C36" s="89" t="s">
        <v>546</v>
      </c>
      <c r="D36" s="89" t="s">
        <v>34</v>
      </c>
      <c r="E36" s="89" t="s">
        <v>1497</v>
      </c>
      <c r="F36" s="90" t="s">
        <v>1498</v>
      </c>
      <c r="G36" s="90" t="s">
        <v>1499</v>
      </c>
      <c r="H36" s="90" t="s">
        <v>1501</v>
      </c>
      <c r="I36" s="90"/>
    </row>
    <row r="37" ht="14.25" customHeight="1">
      <c r="A37" s="87" t="s">
        <v>1496</v>
      </c>
      <c r="B37" s="88" t="s">
        <v>308</v>
      </c>
      <c r="C37" s="89" t="s">
        <v>564</v>
      </c>
      <c r="D37" s="89" t="s">
        <v>34</v>
      </c>
      <c r="E37" s="89">
        <v>2.5</v>
      </c>
      <c r="F37" s="90" t="s">
        <v>1498</v>
      </c>
      <c r="G37" s="90" t="s">
        <v>190</v>
      </c>
      <c r="H37" s="90" t="s">
        <v>1473</v>
      </c>
      <c r="I37" s="90" t="s">
        <v>1455</v>
      </c>
    </row>
    <row r="38" ht="14.25" customHeight="1">
      <c r="A38" s="87" t="s">
        <v>1496</v>
      </c>
      <c r="B38" s="88" t="s">
        <v>313</v>
      </c>
      <c r="C38" s="89" t="s">
        <v>581</v>
      </c>
      <c r="D38" s="89" t="s">
        <v>34</v>
      </c>
      <c r="E38" s="89">
        <v>2.5</v>
      </c>
      <c r="F38" s="90" t="s">
        <v>1498</v>
      </c>
      <c r="G38" s="90" t="s">
        <v>1504</v>
      </c>
      <c r="H38" s="90" t="s">
        <v>1473</v>
      </c>
      <c r="I38" s="90"/>
    </row>
    <row r="39" ht="23.25" customHeight="1">
      <c r="A39" s="87" t="s">
        <v>1496</v>
      </c>
      <c r="B39" s="88" t="s">
        <v>319</v>
      </c>
      <c r="C39" s="89" t="s">
        <v>594</v>
      </c>
      <c r="D39" s="89" t="s">
        <v>34</v>
      </c>
      <c r="E39" s="89">
        <v>2.5</v>
      </c>
      <c r="F39" s="90" t="s">
        <v>1498</v>
      </c>
      <c r="G39" s="90" t="s">
        <v>1508</v>
      </c>
      <c r="H39" s="90" t="s">
        <v>1473</v>
      </c>
      <c r="I39" s="90"/>
    </row>
    <row r="40" ht="14.25" customHeight="1">
      <c r="A40" s="87" t="s">
        <v>1496</v>
      </c>
      <c r="B40" s="88" t="s">
        <v>322</v>
      </c>
      <c r="C40" s="89" t="s">
        <v>610</v>
      </c>
      <c r="D40" s="89" t="s">
        <v>34</v>
      </c>
      <c r="E40" s="89">
        <v>2.5</v>
      </c>
      <c r="F40" s="90" t="s">
        <v>1498</v>
      </c>
      <c r="G40" s="90" t="s">
        <v>1509</v>
      </c>
      <c r="H40" s="90" t="s">
        <v>1473</v>
      </c>
      <c r="I40" s="90" t="s">
        <v>1455</v>
      </c>
    </row>
    <row r="41" ht="14.25" customHeight="1">
      <c r="A41" s="87" t="s">
        <v>1496</v>
      </c>
      <c r="B41" s="88" t="s">
        <v>325</v>
      </c>
      <c r="C41" s="89" t="s">
        <v>628</v>
      </c>
      <c r="D41" s="89" t="s">
        <v>34</v>
      </c>
      <c r="E41" s="89">
        <v>2.5</v>
      </c>
      <c r="F41" s="90" t="s">
        <v>1498</v>
      </c>
      <c r="G41" s="90" t="s">
        <v>1339</v>
      </c>
      <c r="H41" s="90" t="s">
        <v>1473</v>
      </c>
      <c r="I41" s="90" t="s">
        <v>1455</v>
      </c>
    </row>
    <row r="42" ht="14.25" customHeight="1">
      <c r="A42" s="87" t="s">
        <v>1512</v>
      </c>
      <c r="B42" s="88" t="s">
        <v>1513</v>
      </c>
      <c r="C42" s="89" t="s">
        <v>1514</v>
      </c>
      <c r="D42" s="89" t="s">
        <v>34</v>
      </c>
      <c r="E42" s="89" t="s">
        <v>1515</v>
      </c>
      <c r="F42" s="90" t="s">
        <v>1516</v>
      </c>
      <c r="G42" s="90" t="s">
        <v>1517</v>
      </c>
      <c r="H42" s="90" t="s">
        <v>1518</v>
      </c>
      <c r="I42" s="90"/>
    </row>
    <row r="43" ht="23.25" customHeight="1">
      <c r="A43" s="87" t="s">
        <v>1512</v>
      </c>
      <c r="B43" s="88" t="s">
        <v>351</v>
      </c>
      <c r="C43" s="89" t="s">
        <v>505</v>
      </c>
      <c r="D43" s="89" t="s">
        <v>34</v>
      </c>
      <c r="E43" s="89" t="s">
        <v>1515</v>
      </c>
      <c r="F43" s="90" t="s">
        <v>1516</v>
      </c>
      <c r="G43" s="90" t="s">
        <v>1523</v>
      </c>
      <c r="H43" s="90" t="s">
        <v>1525</v>
      </c>
      <c r="I43" s="90" t="s">
        <v>1455</v>
      </c>
    </row>
    <row r="44" ht="23.25" customHeight="1">
      <c r="A44" s="87" t="s">
        <v>1526</v>
      </c>
      <c r="B44" s="88" t="s">
        <v>359</v>
      </c>
      <c r="C44" s="89" t="s">
        <v>689</v>
      </c>
      <c r="D44" s="89" t="s">
        <v>34</v>
      </c>
      <c r="E44" s="89" t="s">
        <v>1527</v>
      </c>
      <c r="F44" s="90" t="s">
        <v>1528</v>
      </c>
      <c r="G44" s="90" t="s">
        <v>1529</v>
      </c>
      <c r="H44" s="90" t="s">
        <v>1501</v>
      </c>
      <c r="I44" s="90"/>
    </row>
    <row r="45" ht="14.25" customHeight="1">
      <c r="A45" s="87" t="s">
        <v>1526</v>
      </c>
      <c r="B45" s="88" t="s">
        <v>363</v>
      </c>
      <c r="C45" s="89" t="s">
        <v>711</v>
      </c>
      <c r="D45" s="89" t="s">
        <v>34</v>
      </c>
      <c r="E45" s="89">
        <v>2.7</v>
      </c>
      <c r="F45" s="90" t="s">
        <v>1528</v>
      </c>
      <c r="G45" s="90" t="s">
        <v>1339</v>
      </c>
      <c r="H45" s="90" t="s">
        <v>1473</v>
      </c>
      <c r="I45" s="90" t="s">
        <v>1455</v>
      </c>
    </row>
    <row r="46" ht="14.25" customHeight="1">
      <c r="A46" s="87" t="s">
        <v>1526</v>
      </c>
      <c r="B46" s="88" t="s">
        <v>367</v>
      </c>
      <c r="C46" s="89" t="s">
        <v>725</v>
      </c>
      <c r="D46" s="89" t="s">
        <v>34</v>
      </c>
      <c r="E46" s="89">
        <v>2.7</v>
      </c>
      <c r="F46" s="90" t="s">
        <v>1528</v>
      </c>
      <c r="G46" s="90" t="s">
        <v>405</v>
      </c>
      <c r="H46" s="90" t="s">
        <v>1473</v>
      </c>
      <c r="I46" s="90" t="s">
        <v>1455</v>
      </c>
    </row>
    <row r="47" ht="14.25" customHeight="1">
      <c r="A47" s="87" t="s">
        <v>1526</v>
      </c>
      <c r="B47" s="88" t="s">
        <v>371</v>
      </c>
      <c r="C47" s="89" t="s">
        <v>741</v>
      </c>
      <c r="D47" s="89" t="s">
        <v>34</v>
      </c>
      <c r="E47" s="89">
        <v>2.7</v>
      </c>
      <c r="F47" s="90" t="s">
        <v>1528</v>
      </c>
      <c r="G47" s="90" t="s">
        <v>1536</v>
      </c>
      <c r="H47" s="90" t="s">
        <v>1473</v>
      </c>
      <c r="I47" s="90" t="s">
        <v>1455</v>
      </c>
    </row>
    <row r="48" ht="14.25" customHeight="1">
      <c r="A48" s="87" t="s">
        <v>1526</v>
      </c>
      <c r="B48" s="88" t="s">
        <v>375</v>
      </c>
      <c r="C48" s="89" t="s">
        <v>764</v>
      </c>
      <c r="D48" s="89" t="s">
        <v>34</v>
      </c>
      <c r="E48" s="89">
        <v>2.7</v>
      </c>
      <c r="F48" s="90" t="s">
        <v>1528</v>
      </c>
      <c r="G48" s="90" t="s">
        <v>1537</v>
      </c>
      <c r="H48" s="90" t="s">
        <v>1473</v>
      </c>
      <c r="I48" s="90" t="s">
        <v>1538</v>
      </c>
    </row>
    <row r="49" ht="14.25" customHeight="1">
      <c r="A49" s="87" t="s">
        <v>1526</v>
      </c>
      <c r="B49" s="88" t="s">
        <v>379</v>
      </c>
      <c r="C49" s="89" t="s">
        <v>754</v>
      </c>
      <c r="D49" s="89" t="s">
        <v>34</v>
      </c>
      <c r="E49" s="89">
        <v>2.7</v>
      </c>
      <c r="F49" s="90" t="s">
        <v>1528</v>
      </c>
      <c r="G49" s="90" t="s">
        <v>1539</v>
      </c>
      <c r="H49" s="90" t="s">
        <v>1473</v>
      </c>
      <c r="I49" s="90"/>
    </row>
    <row r="50" ht="14.25" customHeight="1">
      <c r="A50" s="87" t="s">
        <v>1542</v>
      </c>
      <c r="B50" s="88" t="s">
        <v>399</v>
      </c>
      <c r="C50" s="89" t="s">
        <v>792</v>
      </c>
      <c r="D50" s="89" t="s">
        <v>34</v>
      </c>
      <c r="E50" s="89" t="s">
        <v>1546</v>
      </c>
      <c r="F50" s="90" t="s">
        <v>1547</v>
      </c>
      <c r="G50" s="90" t="s">
        <v>1549</v>
      </c>
      <c r="H50" s="90" t="s">
        <v>1473</v>
      </c>
      <c r="I50" s="90"/>
    </row>
    <row r="51" ht="23.25" customHeight="1">
      <c r="A51" s="87" t="s">
        <v>1542</v>
      </c>
      <c r="B51" s="88" t="s">
        <v>402</v>
      </c>
      <c r="C51" s="89" t="s">
        <v>802</v>
      </c>
      <c r="D51" s="89" t="s">
        <v>34</v>
      </c>
      <c r="E51" s="89">
        <v>2.8</v>
      </c>
      <c r="F51" s="90" t="s">
        <v>1547</v>
      </c>
      <c r="G51" s="90" t="s">
        <v>1552</v>
      </c>
      <c r="H51" s="90" t="s">
        <v>1473</v>
      </c>
      <c r="I51" s="90"/>
    </row>
    <row r="52" ht="14.25" customHeight="1">
      <c r="A52" s="87" t="s">
        <v>1542</v>
      </c>
      <c r="B52" s="88" t="s">
        <v>405</v>
      </c>
      <c r="C52" s="89" t="s">
        <v>817</v>
      </c>
      <c r="D52" s="89" t="s">
        <v>34</v>
      </c>
      <c r="E52" s="89">
        <v>2.8</v>
      </c>
      <c r="F52" s="90" t="s">
        <v>1547</v>
      </c>
      <c r="G52" s="90" t="s">
        <v>405</v>
      </c>
      <c r="H52" s="90" t="s">
        <v>1473</v>
      </c>
      <c r="I52" s="90" t="s">
        <v>1455</v>
      </c>
    </row>
    <row r="53" ht="14.25" customHeight="1">
      <c r="A53" s="87" t="s">
        <v>1542</v>
      </c>
      <c r="B53" s="88" t="s">
        <v>408</v>
      </c>
      <c r="C53" s="89" t="s">
        <v>830</v>
      </c>
      <c r="D53" s="89" t="s">
        <v>34</v>
      </c>
      <c r="E53" s="89">
        <v>2.8</v>
      </c>
      <c r="F53" s="90" t="s">
        <v>1547</v>
      </c>
      <c r="G53" s="90" t="s">
        <v>408</v>
      </c>
      <c r="H53" s="90" t="s">
        <v>1473</v>
      </c>
      <c r="I53" s="90" t="s">
        <v>1455</v>
      </c>
    </row>
    <row r="54" ht="23.25" customHeight="1">
      <c r="A54" s="87" t="s">
        <v>1542</v>
      </c>
      <c r="B54" s="88" t="s">
        <v>412</v>
      </c>
      <c r="C54" s="89" t="s">
        <v>841</v>
      </c>
      <c r="D54" s="89" t="s">
        <v>34</v>
      </c>
      <c r="E54" s="89">
        <v>2.8</v>
      </c>
      <c r="F54" s="90" t="s">
        <v>1547</v>
      </c>
      <c r="G54" s="90" t="s">
        <v>1563</v>
      </c>
      <c r="H54" s="90" t="s">
        <v>1473</v>
      </c>
      <c r="I54" s="90" t="s">
        <v>1565</v>
      </c>
    </row>
    <row r="55" ht="14.25" customHeight="1">
      <c r="A55" s="87" t="s">
        <v>1566</v>
      </c>
      <c r="B55" s="88" t="s">
        <v>427</v>
      </c>
      <c r="C55" s="89" t="s">
        <v>860</v>
      </c>
      <c r="D55" s="89" t="s">
        <v>34</v>
      </c>
      <c r="E55" s="89" t="s">
        <v>1570</v>
      </c>
      <c r="F55" s="90" t="s">
        <v>1572</v>
      </c>
      <c r="G55" s="90" t="s">
        <v>1573</v>
      </c>
      <c r="H55" s="90" t="s">
        <v>1473</v>
      </c>
      <c r="I55" s="90"/>
    </row>
    <row r="56" ht="14.25" customHeight="1">
      <c r="A56" s="87" t="s">
        <v>1566</v>
      </c>
      <c r="B56" s="88" t="s">
        <v>433</v>
      </c>
      <c r="C56" s="89" t="s">
        <v>871</v>
      </c>
      <c r="D56" s="89" t="s">
        <v>34</v>
      </c>
      <c r="E56" s="89">
        <v>2.9</v>
      </c>
      <c r="F56" s="90" t="s">
        <v>1576</v>
      </c>
      <c r="G56" s="90" t="s">
        <v>1147</v>
      </c>
      <c r="H56" s="90" t="s">
        <v>1473</v>
      </c>
      <c r="I56" s="90" t="s">
        <v>1455</v>
      </c>
    </row>
    <row r="57" ht="14.25" customHeight="1">
      <c r="A57" s="87" t="s">
        <v>1566</v>
      </c>
      <c r="B57" s="88" t="s">
        <v>437</v>
      </c>
      <c r="C57" s="89" t="s">
        <v>879</v>
      </c>
      <c r="D57" s="89" t="s">
        <v>34</v>
      </c>
      <c r="E57" s="89">
        <v>2.9</v>
      </c>
      <c r="F57" s="90" t="s">
        <v>1576</v>
      </c>
      <c r="G57" s="90" t="s">
        <v>437</v>
      </c>
      <c r="H57" s="90" t="s">
        <v>1473</v>
      </c>
      <c r="I57" s="90" t="s">
        <v>1455</v>
      </c>
    </row>
    <row r="58" ht="14.25" customHeight="1">
      <c r="A58" s="87" t="s">
        <v>1566</v>
      </c>
      <c r="B58" s="88" t="s">
        <v>445</v>
      </c>
      <c r="C58" s="89" t="s">
        <v>894</v>
      </c>
      <c r="D58" s="89" t="s">
        <v>34</v>
      </c>
      <c r="E58" s="89">
        <v>2.9</v>
      </c>
      <c r="F58" s="90" t="s">
        <v>1576</v>
      </c>
      <c r="G58" s="90" t="s">
        <v>1584</v>
      </c>
      <c r="H58" s="90" t="s">
        <v>1473</v>
      </c>
      <c r="I58" s="90" t="s">
        <v>1455</v>
      </c>
    </row>
    <row r="59" ht="14.25" customHeight="1">
      <c r="A59" s="87" t="s">
        <v>1566</v>
      </c>
      <c r="B59" s="88" t="s">
        <v>449</v>
      </c>
      <c r="C59" s="89" t="s">
        <v>907</v>
      </c>
      <c r="D59" s="89" t="s">
        <v>34</v>
      </c>
      <c r="E59" s="89">
        <v>2.9</v>
      </c>
      <c r="F59" s="90" t="s">
        <v>1576</v>
      </c>
      <c r="G59" s="90" t="s">
        <v>867</v>
      </c>
      <c r="H59" s="90" t="s">
        <v>1473</v>
      </c>
      <c r="I59" s="90" t="s">
        <v>1565</v>
      </c>
    </row>
    <row r="60" ht="34.5" customHeight="1">
      <c r="A60" s="87" t="s">
        <v>1587</v>
      </c>
      <c r="B60" s="88" t="s">
        <v>462</v>
      </c>
      <c r="C60" s="89" t="s">
        <v>464</v>
      </c>
      <c r="D60" s="89" t="s">
        <v>155</v>
      </c>
      <c r="E60" s="89" t="s">
        <v>1591</v>
      </c>
      <c r="F60" s="90" t="s">
        <v>1592</v>
      </c>
      <c r="G60" s="90" t="s">
        <v>1229</v>
      </c>
      <c r="H60" s="90" t="s">
        <v>1593</v>
      </c>
      <c r="I60" s="90" t="s">
        <v>1595</v>
      </c>
    </row>
    <row r="61" ht="23.25" customHeight="1">
      <c r="A61" s="87" t="s">
        <v>1587</v>
      </c>
      <c r="B61" s="88" t="s">
        <v>466</v>
      </c>
      <c r="C61" s="89" t="s">
        <v>468</v>
      </c>
      <c r="D61" s="89" t="s">
        <v>1152</v>
      </c>
      <c r="E61" s="89" t="s">
        <v>1591</v>
      </c>
      <c r="F61" s="90" t="s">
        <v>1600</v>
      </c>
      <c r="G61" s="90" t="s">
        <v>1229</v>
      </c>
      <c r="H61" s="90" t="s">
        <v>1606</v>
      </c>
      <c r="I61" s="90" t="s">
        <v>1607</v>
      </c>
    </row>
    <row r="62" ht="14.25" customHeight="1">
      <c r="A62" s="84" t="s">
        <v>1609</v>
      </c>
      <c r="B62" s="85"/>
      <c r="C62" s="85"/>
      <c r="D62" s="85"/>
      <c r="E62" s="85"/>
      <c r="F62" s="85"/>
      <c r="G62" s="85"/>
      <c r="H62" s="85"/>
      <c r="I62" s="86"/>
    </row>
    <row r="63" ht="23.25" customHeight="1">
      <c r="A63" s="87" t="s">
        <v>1616</v>
      </c>
      <c r="B63" s="88" t="s">
        <v>563</v>
      </c>
      <c r="C63" s="89" t="s">
        <v>566</v>
      </c>
      <c r="D63" s="89" t="s">
        <v>1155</v>
      </c>
      <c r="E63" s="89" t="s">
        <v>1619</v>
      </c>
      <c r="F63" s="90" t="s">
        <v>1229</v>
      </c>
      <c r="G63" s="90" t="s">
        <v>1229</v>
      </c>
      <c r="H63" s="90" t="s">
        <v>1623</v>
      </c>
      <c r="I63" s="90" t="s">
        <v>1625</v>
      </c>
    </row>
    <row r="64" ht="14.25" customHeight="1">
      <c r="A64" s="87" t="s">
        <v>1616</v>
      </c>
      <c r="B64" s="88" t="s">
        <v>570</v>
      </c>
      <c r="C64" s="89" t="s">
        <v>571</v>
      </c>
      <c r="D64" s="89" t="s">
        <v>1161</v>
      </c>
      <c r="E64" s="89">
        <v>3.0</v>
      </c>
      <c r="F64" s="90" t="s">
        <v>1229</v>
      </c>
      <c r="G64" s="90" t="s">
        <v>1229</v>
      </c>
      <c r="H64" s="90" t="s">
        <v>1633</v>
      </c>
      <c r="I64" s="90"/>
    </row>
    <row r="65" ht="14.25" customHeight="1">
      <c r="A65" s="87" t="s">
        <v>1616</v>
      </c>
      <c r="B65" s="88" t="s">
        <v>573</v>
      </c>
      <c r="C65" s="89" t="s">
        <v>576</v>
      </c>
      <c r="D65" s="89" t="s">
        <v>1161</v>
      </c>
      <c r="E65" s="89">
        <v>3.0</v>
      </c>
      <c r="F65" s="90" t="s">
        <v>1229</v>
      </c>
      <c r="G65" s="90" t="s">
        <v>1229</v>
      </c>
      <c r="H65" s="90" t="s">
        <v>1640</v>
      </c>
      <c r="I65" s="90"/>
    </row>
    <row r="66" ht="14.25" customHeight="1">
      <c r="A66" s="87" t="s">
        <v>1616</v>
      </c>
      <c r="B66" s="88" t="s">
        <v>578</v>
      </c>
      <c r="C66" s="89" t="s">
        <v>579</v>
      </c>
      <c r="D66" s="89" t="s">
        <v>1161</v>
      </c>
      <c r="E66" s="89">
        <v>3.0</v>
      </c>
      <c r="F66" s="90" t="s">
        <v>1229</v>
      </c>
      <c r="G66" s="90" t="s">
        <v>1229</v>
      </c>
      <c r="H66" s="90" t="s">
        <v>1640</v>
      </c>
      <c r="I66" s="90"/>
    </row>
    <row r="67" ht="23.25" customHeight="1">
      <c r="A67" s="87" t="s">
        <v>1649</v>
      </c>
      <c r="B67" s="88" t="s">
        <v>1650</v>
      </c>
      <c r="C67" s="89" t="s">
        <v>1651</v>
      </c>
      <c r="D67" s="89" t="s">
        <v>1652</v>
      </c>
      <c r="E67" s="89">
        <v>3.0</v>
      </c>
      <c r="F67" s="90" t="s">
        <v>1229</v>
      </c>
      <c r="G67" s="90" t="s">
        <v>1229</v>
      </c>
      <c r="H67" s="90" t="s">
        <v>1654</v>
      </c>
      <c r="I67" s="90" t="s">
        <v>1656</v>
      </c>
    </row>
    <row r="68" ht="34.5" customHeight="1">
      <c r="A68" s="87" t="s">
        <v>1649</v>
      </c>
      <c r="B68" s="88" t="s">
        <v>1660</v>
      </c>
      <c r="C68" s="89" t="s">
        <v>1044</v>
      </c>
      <c r="D68" s="89" t="s">
        <v>1662</v>
      </c>
      <c r="E68" s="89" t="s">
        <v>1663</v>
      </c>
      <c r="F68" s="90" t="s">
        <v>1229</v>
      </c>
      <c r="G68" s="90" t="s">
        <v>1229</v>
      </c>
      <c r="H68" s="90" t="s">
        <v>1664</v>
      </c>
      <c r="I68" s="90"/>
    </row>
    <row r="69" ht="14.25" customHeight="1"/>
    <row r="70" ht="15.75" customHeight="1">
      <c r="A70" s="122" t="s">
        <v>1669</v>
      </c>
      <c r="B70" s="5"/>
    </row>
    <row r="71" ht="14.25" customHeight="1">
      <c r="A71" s="123" t="s">
        <v>1672</v>
      </c>
      <c r="B71" s="124" t="s">
        <v>1674</v>
      </c>
    </row>
    <row r="72" ht="14.25" customHeight="1">
      <c r="A72" s="123" t="s">
        <v>1677</v>
      </c>
      <c r="B72" s="124" t="s">
        <v>1679</v>
      </c>
    </row>
    <row r="73" ht="14.25" customHeight="1">
      <c r="A73" s="123" t="s">
        <v>1680</v>
      </c>
      <c r="B73" s="124" t="s">
        <v>1682</v>
      </c>
    </row>
    <row r="74" ht="14.25" customHeight="1">
      <c r="A74" s="123" t="s">
        <v>1683</v>
      </c>
      <c r="B74" s="124" t="s">
        <v>1685</v>
      </c>
    </row>
    <row r="75" ht="14.25" customHeight="1">
      <c r="A75" s="123" t="s">
        <v>1688</v>
      </c>
      <c r="B75" s="124" t="s">
        <v>1689</v>
      </c>
    </row>
    <row r="76" ht="14.25" customHeight="1">
      <c r="A76" s="123" t="s">
        <v>1691</v>
      </c>
      <c r="B76" s="124" t="s">
        <v>1692</v>
      </c>
    </row>
    <row r="77" ht="14.25" customHeight="1">
      <c r="A77" s="123" t="s">
        <v>1693</v>
      </c>
      <c r="B77" s="124" t="s">
        <v>1695</v>
      </c>
    </row>
    <row r="78" ht="14.25" customHeight="1">
      <c r="A78" s="123" t="s">
        <v>1697</v>
      </c>
      <c r="B78" s="124" t="s">
        <v>1698</v>
      </c>
    </row>
    <row r="79" ht="14.25" customHeight="1">
      <c r="A79" s="123" t="s">
        <v>1699</v>
      </c>
      <c r="B79" s="124" t="s">
        <v>1700</v>
      </c>
    </row>
    <row r="80" ht="14.25" customHeight="1">
      <c r="A80" s="128" t="s">
        <v>1702</v>
      </c>
      <c r="B80" s="5"/>
    </row>
    <row r="81" ht="14.25" customHeight="1">
      <c r="A81" s="123" t="s">
        <v>174</v>
      </c>
      <c r="B81" s="124" t="s">
        <v>1703</v>
      </c>
    </row>
    <row r="82" ht="14.25" customHeight="1">
      <c r="A82" s="123"/>
      <c r="B82" s="124"/>
    </row>
    <row r="83" ht="14.25" customHeight="1">
      <c r="A83" s="123" t="s">
        <v>272</v>
      </c>
      <c r="B83" s="124" t="s">
        <v>1704</v>
      </c>
    </row>
    <row r="84" ht="14.25" customHeight="1">
      <c r="A84" s="123" t="s">
        <v>1706</v>
      </c>
      <c r="B84" s="124" t="s">
        <v>1707</v>
      </c>
    </row>
    <row r="85" ht="14.25" customHeight="1">
      <c r="A85" s="123" t="s">
        <v>1211</v>
      </c>
      <c r="B85" s="124" t="s">
        <v>1709</v>
      </c>
    </row>
    <row r="86" ht="14.25" customHeight="1">
      <c r="A86" s="123" t="s">
        <v>563</v>
      </c>
      <c r="B86" s="124" t="s">
        <v>1711</v>
      </c>
    </row>
    <row r="87" ht="14.25" customHeight="1">
      <c r="A87" s="123" t="s">
        <v>466</v>
      </c>
      <c r="B87" s="124" t="s">
        <v>1713</v>
      </c>
    </row>
    <row r="88" ht="14.25" customHeight="1">
      <c r="A88" s="123" t="s">
        <v>1714</v>
      </c>
      <c r="B88" s="124" t="s">
        <v>1715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3:I3"/>
    <mergeCell ref="A22:I22"/>
    <mergeCell ref="A62:I6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3B52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35.5"/>
    <col customWidth="1" min="3" max="3" width="37.38"/>
    <col customWidth="1" min="4" max="4" width="44.5"/>
    <col customWidth="1" min="5" max="6" width="12.5"/>
    <col customWidth="1" min="7" max="7" width="53.38"/>
  </cols>
  <sheetData>
    <row r="1" ht="24.0" customHeight="1">
      <c r="A1" s="91" t="s">
        <v>1312</v>
      </c>
      <c r="B1" s="2"/>
      <c r="C1" s="2"/>
      <c r="D1" s="2"/>
      <c r="E1" s="2"/>
      <c r="F1" s="2"/>
      <c r="G1" s="4"/>
    </row>
    <row r="2" ht="21.75" customHeight="1">
      <c r="A2" s="92" t="s">
        <v>1316</v>
      </c>
      <c r="B2" s="2"/>
      <c r="C2" s="2"/>
      <c r="D2" s="2"/>
      <c r="E2" s="2"/>
      <c r="F2" s="2"/>
      <c r="G2" s="4"/>
    </row>
    <row r="3" ht="30.0" customHeight="1">
      <c r="A3" s="93" t="s">
        <v>1319</v>
      </c>
      <c r="B3" s="2"/>
      <c r="C3" s="2"/>
      <c r="D3" s="2"/>
      <c r="E3" s="2"/>
      <c r="F3" s="2"/>
      <c r="G3" s="4"/>
    </row>
    <row r="4" ht="14.25" customHeight="1"/>
    <row r="5" ht="19.5" customHeight="1">
      <c r="A5" s="94" t="s">
        <v>1321</v>
      </c>
      <c r="B5" s="2"/>
      <c r="C5" s="2"/>
      <c r="D5" s="2"/>
      <c r="E5" s="2"/>
      <c r="F5" s="2"/>
      <c r="G5" s="4"/>
    </row>
    <row r="6" ht="21.75" customHeight="1">
      <c r="A6" s="95" t="s">
        <v>1322</v>
      </c>
      <c r="B6" s="96"/>
      <c r="C6" s="96"/>
      <c r="D6" s="96"/>
      <c r="E6" s="96"/>
      <c r="F6" s="96"/>
      <c r="G6" s="97"/>
    </row>
    <row r="7" ht="27.75" customHeight="1">
      <c r="A7" s="98" t="s">
        <v>1328</v>
      </c>
      <c r="B7" s="98" t="s">
        <v>10</v>
      </c>
      <c r="C7" s="98" t="s">
        <v>1330</v>
      </c>
      <c r="D7" s="98" t="s">
        <v>1331</v>
      </c>
      <c r="E7" s="98" t="s">
        <v>1332</v>
      </c>
      <c r="F7" s="99" t="s">
        <v>1336</v>
      </c>
      <c r="G7" s="98" t="s">
        <v>1338</v>
      </c>
    </row>
    <row r="8" ht="31.5" customHeight="1">
      <c r="A8" s="100" t="s">
        <v>1340</v>
      </c>
      <c r="B8" s="101" t="s">
        <v>1341</v>
      </c>
      <c r="C8" s="102" t="s">
        <v>1343</v>
      </c>
      <c r="D8" s="101" t="s">
        <v>1346</v>
      </c>
      <c r="E8" s="102" t="s">
        <v>1347</v>
      </c>
      <c r="F8" s="103">
        <v>15.0</v>
      </c>
      <c r="G8" s="101" t="s">
        <v>1348</v>
      </c>
    </row>
    <row r="9" ht="31.5" customHeight="1">
      <c r="A9" s="100" t="s">
        <v>1349</v>
      </c>
      <c r="B9" s="101" t="s">
        <v>1352</v>
      </c>
      <c r="C9" s="102" t="s">
        <v>1354</v>
      </c>
      <c r="D9" s="101" t="s">
        <v>1355</v>
      </c>
      <c r="E9" s="102" t="s">
        <v>1347</v>
      </c>
      <c r="F9" s="103">
        <v>15.0</v>
      </c>
      <c r="G9" s="101" t="s">
        <v>1357</v>
      </c>
    </row>
    <row r="10" ht="31.5" customHeight="1">
      <c r="A10" s="100" t="s">
        <v>1358</v>
      </c>
      <c r="B10" s="101" t="s">
        <v>1360</v>
      </c>
      <c r="C10" s="102" t="s">
        <v>1364</v>
      </c>
      <c r="D10" s="101" t="s">
        <v>1365</v>
      </c>
      <c r="E10" s="102" t="s">
        <v>1347</v>
      </c>
      <c r="F10" s="103">
        <v>10.0</v>
      </c>
      <c r="G10" s="101" t="s">
        <v>1366</v>
      </c>
    </row>
    <row r="11" ht="31.5" customHeight="1">
      <c r="A11" s="100" t="s">
        <v>1367</v>
      </c>
      <c r="B11" s="101" t="s">
        <v>1368</v>
      </c>
      <c r="C11" s="102" t="s">
        <v>1369</v>
      </c>
      <c r="D11" s="101" t="s">
        <v>1370</v>
      </c>
      <c r="E11" s="102" t="s">
        <v>1347</v>
      </c>
      <c r="F11" s="103">
        <v>6.0</v>
      </c>
      <c r="G11" s="101" t="s">
        <v>1373</v>
      </c>
    </row>
    <row r="12" ht="31.5" customHeight="1">
      <c r="A12" s="100" t="s">
        <v>1375</v>
      </c>
      <c r="B12" s="101" t="s">
        <v>1376</v>
      </c>
      <c r="C12" s="102" t="s">
        <v>1377</v>
      </c>
      <c r="D12" s="101" t="s">
        <v>1378</v>
      </c>
      <c r="E12" s="102" t="s">
        <v>1347</v>
      </c>
      <c r="F12" s="103">
        <v>6.0</v>
      </c>
      <c r="G12" s="101" t="s">
        <v>1381</v>
      </c>
    </row>
    <row r="13" ht="31.5" customHeight="1">
      <c r="A13" s="100" t="s">
        <v>1383</v>
      </c>
      <c r="B13" s="101" t="s">
        <v>1385</v>
      </c>
      <c r="C13" s="102" t="s">
        <v>1386</v>
      </c>
      <c r="D13" s="101" t="s">
        <v>1388</v>
      </c>
      <c r="E13" s="102" t="s">
        <v>1347</v>
      </c>
      <c r="F13" s="103">
        <v>10.0</v>
      </c>
      <c r="G13" s="101" t="s">
        <v>1389</v>
      </c>
    </row>
    <row r="14" ht="31.5" customHeight="1">
      <c r="A14" s="100" t="s">
        <v>1393</v>
      </c>
      <c r="B14" s="101" t="s">
        <v>1395</v>
      </c>
      <c r="C14" s="102" t="s">
        <v>1396</v>
      </c>
      <c r="D14" s="101" t="s">
        <v>1397</v>
      </c>
      <c r="E14" s="102" t="s">
        <v>1347</v>
      </c>
      <c r="F14" s="103">
        <v>4.0</v>
      </c>
      <c r="G14" s="101" t="s">
        <v>1398</v>
      </c>
    </row>
    <row r="15" ht="31.5" customHeight="1">
      <c r="A15" s="100" t="s">
        <v>1399</v>
      </c>
      <c r="B15" s="101" t="s">
        <v>1400</v>
      </c>
      <c r="C15" s="102" t="s">
        <v>1402</v>
      </c>
      <c r="D15" s="101" t="s">
        <v>1404</v>
      </c>
      <c r="E15" s="102" t="s">
        <v>1347</v>
      </c>
      <c r="F15" s="103">
        <v>6.0</v>
      </c>
      <c r="G15" s="101" t="s">
        <v>1407</v>
      </c>
    </row>
    <row r="16" ht="31.5" customHeight="1">
      <c r="A16" s="100" t="s">
        <v>1409</v>
      </c>
      <c r="B16" s="101" t="s">
        <v>1410</v>
      </c>
      <c r="C16" s="102" t="s">
        <v>1412</v>
      </c>
      <c r="D16" s="101" t="s">
        <v>1413</v>
      </c>
      <c r="E16" s="102" t="s">
        <v>1347</v>
      </c>
      <c r="F16" s="103">
        <v>4.0</v>
      </c>
      <c r="G16" s="101" t="s">
        <v>1415</v>
      </c>
    </row>
    <row r="17" ht="31.5" customHeight="1">
      <c r="A17" s="100" t="s">
        <v>1416</v>
      </c>
      <c r="B17" s="101" t="s">
        <v>1417</v>
      </c>
      <c r="C17" s="102" t="s">
        <v>1418</v>
      </c>
      <c r="D17" s="101" t="s">
        <v>1419</v>
      </c>
      <c r="E17" s="102" t="s">
        <v>1347</v>
      </c>
      <c r="F17" s="103">
        <v>3.0</v>
      </c>
      <c r="G17" s="101" t="s">
        <v>1421</v>
      </c>
    </row>
    <row r="18" ht="31.5" customHeight="1">
      <c r="A18" s="100" t="s">
        <v>1423</v>
      </c>
      <c r="B18" s="101" t="s">
        <v>1425</v>
      </c>
      <c r="C18" s="102" t="s">
        <v>1426</v>
      </c>
      <c r="D18" s="101" t="s">
        <v>1427</v>
      </c>
      <c r="E18" s="102" t="s">
        <v>1347</v>
      </c>
      <c r="F18" s="103">
        <v>4.0</v>
      </c>
      <c r="G18" s="101" t="s">
        <v>1428</v>
      </c>
    </row>
    <row r="19" ht="31.5" customHeight="1">
      <c r="A19" s="100" t="s">
        <v>1430</v>
      </c>
      <c r="B19" s="101" t="s">
        <v>1431</v>
      </c>
      <c r="C19" s="102" t="s">
        <v>1433</v>
      </c>
      <c r="D19" s="101" t="s">
        <v>1435</v>
      </c>
      <c r="E19" s="102" t="s">
        <v>1347</v>
      </c>
      <c r="F19" s="103">
        <v>5.0</v>
      </c>
      <c r="G19" s="101" t="s">
        <v>1438</v>
      </c>
    </row>
    <row r="20" ht="31.5" customHeight="1">
      <c r="A20" s="100" t="s">
        <v>1439</v>
      </c>
      <c r="B20" s="101" t="s">
        <v>1440</v>
      </c>
      <c r="C20" s="102" t="s">
        <v>1441</v>
      </c>
      <c r="D20" s="101" t="s">
        <v>1442</v>
      </c>
      <c r="E20" s="102" t="s">
        <v>1347</v>
      </c>
      <c r="F20" s="103">
        <v>4.0</v>
      </c>
      <c r="G20" s="101" t="s">
        <v>1444</v>
      </c>
    </row>
    <row r="21" ht="31.5" customHeight="1">
      <c r="A21" s="100" t="s">
        <v>1446</v>
      </c>
      <c r="B21" s="101" t="s">
        <v>1448</v>
      </c>
      <c r="C21" s="102" t="s">
        <v>1450</v>
      </c>
      <c r="D21" s="101" t="s">
        <v>1451</v>
      </c>
      <c r="E21" s="102" t="s">
        <v>1347</v>
      </c>
      <c r="F21" s="103">
        <v>8.0</v>
      </c>
      <c r="G21" s="101" t="s">
        <v>1453</v>
      </c>
    </row>
    <row r="22" ht="14.25" customHeight="1">
      <c r="A22" s="104" t="s">
        <v>1454</v>
      </c>
      <c r="B22" s="86"/>
      <c r="C22" s="102"/>
      <c r="D22" s="101"/>
      <c r="E22" s="102"/>
      <c r="F22" s="105">
        <f>SUM(F8:F21)</f>
        <v>100</v>
      </c>
      <c r="G22" s="101"/>
    </row>
    <row r="23" ht="14.25" customHeight="1">
      <c r="B23" s="106"/>
      <c r="D23" s="106"/>
      <c r="G23" s="106"/>
    </row>
    <row r="24" ht="19.5" customHeight="1">
      <c r="A24" s="107" t="s">
        <v>1465</v>
      </c>
      <c r="B24" s="96"/>
      <c r="C24" s="97"/>
      <c r="D24" s="106"/>
      <c r="G24" s="106"/>
    </row>
    <row r="25" ht="27.75" customHeight="1">
      <c r="A25" s="98" t="s">
        <v>1328</v>
      </c>
      <c r="B25" s="82" t="s">
        <v>10</v>
      </c>
      <c r="C25" s="102"/>
      <c r="D25" s="101"/>
      <c r="E25" s="102"/>
      <c r="F25" s="99" t="s">
        <v>1472</v>
      </c>
      <c r="G25" s="82" t="s">
        <v>1474</v>
      </c>
    </row>
    <row r="26" ht="13.5" customHeight="1">
      <c r="A26" s="100" t="str">
        <f t="shared" ref="A26:B26" si="1">A8</f>
        <v>M1</v>
      </c>
      <c r="B26" s="101" t="str">
        <f t="shared" si="1"/>
        <v>STANDING</v>
      </c>
      <c r="C26" s="102"/>
      <c r="D26" s="101"/>
      <c r="E26" s="102"/>
      <c r="F26" s="108">
        <v>5.0</v>
      </c>
      <c r="G26" s="109">
        <f t="shared" ref="G26:G39" si="3">F26*F8/100</f>
        <v>0.75</v>
      </c>
    </row>
    <row r="27" ht="13.5" customHeight="1">
      <c r="A27" s="100" t="str">
        <f t="shared" ref="A27:B27" si="2">A9</f>
        <v>M2</v>
      </c>
      <c r="B27" s="101" t="str">
        <f t="shared" si="2"/>
        <v>RATINGS plateformes</v>
      </c>
      <c r="C27" s="102"/>
      <c r="D27" s="101"/>
      <c r="E27" s="102"/>
      <c r="F27" s="108">
        <v>4.0</v>
      </c>
      <c r="G27" s="109">
        <f t="shared" si="3"/>
        <v>0.6</v>
      </c>
    </row>
    <row r="28" ht="13.5" customHeight="1">
      <c r="A28" s="100" t="str">
        <f t="shared" ref="A28:B28" si="4">A10</f>
        <v>M3</v>
      </c>
      <c r="B28" s="101" t="str">
        <f t="shared" si="4"/>
        <v>LABELS &amp; DISTINCTIONS</v>
      </c>
      <c r="C28" s="102"/>
      <c r="D28" s="101"/>
      <c r="E28" s="102"/>
      <c r="F28" s="108">
        <v>3.5</v>
      </c>
      <c r="G28" s="109">
        <f t="shared" si="3"/>
        <v>0.35</v>
      </c>
    </row>
    <row r="29" ht="13.5" customHeight="1">
      <c r="A29" s="100" t="str">
        <f t="shared" ref="A29:B29" si="5">A11</f>
        <v>M4</v>
      </c>
      <c r="B29" s="101" t="str">
        <f t="shared" si="5"/>
        <v>ANCIENNETÉ / RÉPUTATION</v>
      </c>
      <c r="C29" s="102"/>
      <c r="D29" s="101"/>
      <c r="E29" s="102"/>
      <c r="F29" s="108">
        <v>5.0</v>
      </c>
      <c r="G29" s="109">
        <f t="shared" si="3"/>
        <v>0.3</v>
      </c>
    </row>
    <row r="30" ht="13.5" customHeight="1">
      <c r="A30" s="100" t="str">
        <f t="shared" ref="A30:B30" si="6">A12</f>
        <v>M5</v>
      </c>
      <c r="B30" s="101" t="str">
        <f t="shared" si="6"/>
        <v>CLARTÉ DU POSITIONNEMENT</v>
      </c>
      <c r="C30" s="102"/>
      <c r="D30" s="101"/>
      <c r="E30" s="102"/>
      <c r="F30" s="108">
        <v>5.0</v>
      </c>
      <c r="G30" s="109">
        <f t="shared" si="3"/>
        <v>0.3</v>
      </c>
    </row>
    <row r="31" ht="13.5" customHeight="1">
      <c r="A31" s="100" t="str">
        <f t="shared" ref="A31:B31" si="7">A13</f>
        <v>M6</v>
      </c>
      <c r="B31" s="101" t="str">
        <f t="shared" si="7"/>
        <v>ÉQUIPEMENTS &amp; SERVICES</v>
      </c>
      <c r="C31" s="102"/>
      <c r="D31" s="101"/>
      <c r="E31" s="102"/>
      <c r="F31" s="108">
        <v>4.0</v>
      </c>
      <c r="G31" s="109">
        <f t="shared" si="3"/>
        <v>0.4</v>
      </c>
    </row>
    <row r="32" ht="13.5" customHeight="1">
      <c r="A32" s="100" t="str">
        <f t="shared" ref="A32:B32" si="8">A14</f>
        <v>M7</v>
      </c>
      <c r="B32" s="101" t="str">
        <f t="shared" si="8"/>
        <v>FAMILLE / ENFANTS</v>
      </c>
      <c r="C32" s="102"/>
      <c r="D32" s="101"/>
      <c r="E32" s="102"/>
      <c r="F32" s="108">
        <v>2.5</v>
      </c>
      <c r="G32" s="109">
        <f t="shared" si="3"/>
        <v>0.1</v>
      </c>
    </row>
    <row r="33" ht="13.5" customHeight="1">
      <c r="A33" s="100" t="str">
        <f t="shared" ref="A33:B33" si="9">A15</f>
        <v>M8</v>
      </c>
      <c r="B33" s="101" t="str">
        <f t="shared" si="9"/>
        <v>ACCÈS &amp; PRIVATISATION</v>
      </c>
      <c r="C33" s="102"/>
      <c r="D33" s="101"/>
      <c r="E33" s="102"/>
      <c r="F33" s="108">
        <v>5.0</v>
      </c>
      <c r="G33" s="109">
        <f t="shared" si="3"/>
        <v>0.3</v>
      </c>
    </row>
    <row r="34" ht="13.5" customHeight="1">
      <c r="A34" s="100" t="str">
        <f t="shared" ref="A34:B34" si="10">A16</f>
        <v>M9</v>
      </c>
      <c r="B34" s="101" t="str">
        <f t="shared" si="10"/>
        <v>COUVERTURE PUBLICS</v>
      </c>
      <c r="C34" s="102"/>
      <c r="D34" s="101"/>
      <c r="E34" s="102"/>
      <c r="F34" s="108">
        <v>4.0</v>
      </c>
      <c r="G34" s="109">
        <f t="shared" si="3"/>
        <v>0.16</v>
      </c>
    </row>
    <row r="35" ht="13.5" customHeight="1">
      <c r="A35" s="100" t="str">
        <f t="shared" ref="A35:B35" si="11">A17</f>
        <v>M10</v>
      </c>
      <c r="B35" s="101" t="str">
        <f t="shared" si="11"/>
        <v>DIGITALISATION / PRÉSENCE</v>
      </c>
      <c r="C35" s="102"/>
      <c r="D35" s="101"/>
      <c r="E35" s="102"/>
      <c r="F35" s="108">
        <v>3.0</v>
      </c>
      <c r="G35" s="109">
        <f t="shared" si="3"/>
        <v>0.09</v>
      </c>
    </row>
    <row r="36" ht="13.5" customHeight="1">
      <c r="A36" s="100" t="str">
        <f t="shared" ref="A36:B36" si="12">A18</f>
        <v>M11</v>
      </c>
      <c r="B36" s="101" t="str">
        <f t="shared" si="12"/>
        <v>CONFORMITÉ RÉGLEMENTAIRE</v>
      </c>
      <c r="C36" s="102"/>
      <c r="D36" s="101"/>
      <c r="E36" s="102"/>
      <c r="F36" s="108">
        <v>3.0</v>
      </c>
      <c r="G36" s="109">
        <f t="shared" si="3"/>
        <v>0.12</v>
      </c>
    </row>
    <row r="37" ht="13.5" customHeight="1">
      <c r="A37" s="100" t="str">
        <f t="shared" ref="A37:B37" si="13">A19</f>
        <v>M12</v>
      </c>
      <c r="B37" s="101" t="str">
        <f t="shared" si="13"/>
        <v>COMMERCIAL / PARTENARIAT</v>
      </c>
      <c r="C37" s="102"/>
      <c r="D37" s="101"/>
      <c r="E37" s="102"/>
      <c r="F37" s="108">
        <v>5.0</v>
      </c>
      <c r="G37" s="109">
        <f t="shared" si="3"/>
        <v>0.25</v>
      </c>
    </row>
    <row r="38" ht="13.5" customHeight="1">
      <c r="A38" s="100" t="str">
        <f t="shared" ref="A38:B38" si="14">A20</f>
        <v>M13</v>
      </c>
      <c r="B38" s="101" t="str">
        <f t="shared" si="14"/>
        <v>FLEXIBILITÉ OPÉ (contraintes)</v>
      </c>
      <c r="C38" s="102"/>
      <c r="D38" s="101"/>
      <c r="E38" s="102"/>
      <c r="F38" s="108">
        <v>5.0</v>
      </c>
      <c r="G38" s="109">
        <f t="shared" si="3"/>
        <v>0.2</v>
      </c>
    </row>
    <row r="39" ht="13.5" customHeight="1">
      <c r="A39" s="100" t="str">
        <f t="shared" ref="A39:B39" si="15">A21</f>
        <v>M14</v>
      </c>
      <c r="B39" s="101" t="str">
        <f t="shared" si="15"/>
        <v>SCORE SUR-MESURE</v>
      </c>
      <c r="C39" s="102"/>
      <c r="D39" s="101"/>
      <c r="E39" s="102"/>
      <c r="F39" s="108">
        <v>3.0</v>
      </c>
      <c r="G39" s="109">
        <f t="shared" si="3"/>
        <v>0.24</v>
      </c>
    </row>
    <row r="40" ht="14.25" customHeight="1">
      <c r="A40" s="110" t="s">
        <v>1521</v>
      </c>
      <c r="B40" s="101"/>
      <c r="C40" s="102"/>
      <c r="D40" s="101"/>
      <c r="E40" s="102"/>
      <c r="F40" s="102"/>
      <c r="G40" s="111">
        <f>SUM(G26:G39)</f>
        <v>4.16</v>
      </c>
    </row>
    <row r="41" ht="14.25" customHeight="1">
      <c r="A41" s="110" t="s">
        <v>1524</v>
      </c>
      <c r="B41" s="101"/>
      <c r="C41" s="102"/>
      <c r="D41" s="101"/>
      <c r="E41" s="102"/>
      <c r="F41" s="102"/>
      <c r="G41" s="118" t="str">
        <f t="array" ref="G41">IFS(G40&lt;=2,"LVL-1 · 🔔",G40&lt;=3.5,"LVL-2 · 🔔🔔",G40&lt;=4,"LVL-3 · 🔔🔔🔔",G40&lt;=4.5,"LVL-4 · 🔔🔔🔔🔔",TRUE,"LVL-5 · 🔔🔔🔔🔔🔔")</f>
        <v>LVL-4 · 🔔🔔🔔🔔</v>
      </c>
    </row>
    <row r="42" ht="14.25" customHeight="1">
      <c r="B42" s="106"/>
      <c r="D42" s="106"/>
      <c r="G42" s="106"/>
    </row>
    <row r="43" ht="19.5" customHeight="1">
      <c r="A43" s="119" t="s">
        <v>1535</v>
      </c>
      <c r="B43" s="96"/>
      <c r="C43" s="96"/>
      <c r="D43" s="97"/>
      <c r="G43" s="106"/>
    </row>
    <row r="44" ht="27.75" customHeight="1">
      <c r="A44" s="98" t="s">
        <v>8</v>
      </c>
      <c r="B44" s="82" t="s">
        <v>10</v>
      </c>
      <c r="C44" s="98" t="s">
        <v>1540</v>
      </c>
      <c r="D44" s="82" t="s">
        <v>1543</v>
      </c>
      <c r="E44" s="102"/>
      <c r="F44" s="102"/>
      <c r="G44" s="82" t="s">
        <v>1550</v>
      </c>
    </row>
    <row r="45" ht="15.75" customHeight="1">
      <c r="A45" s="100" t="s">
        <v>459</v>
      </c>
      <c r="B45" s="101" t="s">
        <v>460</v>
      </c>
      <c r="C45" s="102" t="s">
        <v>1551</v>
      </c>
      <c r="D45" s="101" t="s">
        <v>1553</v>
      </c>
      <c r="E45" s="102"/>
      <c r="F45" s="102"/>
      <c r="G45" s="101" t="s">
        <v>1554</v>
      </c>
    </row>
    <row r="46" ht="15.75" customHeight="1">
      <c r="A46" s="100" t="s">
        <v>465</v>
      </c>
      <c r="B46" s="101" t="s">
        <v>467</v>
      </c>
      <c r="C46" s="102" t="s">
        <v>1556</v>
      </c>
      <c r="D46" s="101" t="s">
        <v>1558</v>
      </c>
      <c r="E46" s="102"/>
      <c r="F46" s="102"/>
      <c r="G46" s="101" t="s">
        <v>1560</v>
      </c>
    </row>
    <row r="47" ht="15.75" customHeight="1">
      <c r="A47" s="100" t="s">
        <v>473</v>
      </c>
      <c r="B47" s="101" t="s">
        <v>474</v>
      </c>
      <c r="C47" s="102" t="s">
        <v>1561</v>
      </c>
      <c r="D47" s="101" t="s">
        <v>1562</v>
      </c>
      <c r="E47" s="102"/>
      <c r="F47" s="102"/>
      <c r="G47" s="101" t="s">
        <v>1564</v>
      </c>
    </row>
    <row r="48" ht="15.75" customHeight="1">
      <c r="A48" s="100" t="s">
        <v>479</v>
      </c>
      <c r="B48" s="101" t="s">
        <v>481</v>
      </c>
      <c r="C48" s="102" t="s">
        <v>1571</v>
      </c>
      <c r="D48" s="101" t="s">
        <v>1574</v>
      </c>
      <c r="E48" s="102"/>
      <c r="F48" s="102"/>
      <c r="G48" s="101" t="s">
        <v>1575</v>
      </c>
    </row>
    <row r="49" ht="15.75" customHeight="1">
      <c r="A49" s="100" t="s">
        <v>487</v>
      </c>
      <c r="B49" s="101" t="s">
        <v>488</v>
      </c>
      <c r="C49" s="102" t="s">
        <v>1577</v>
      </c>
      <c r="D49" s="101" t="s">
        <v>1578</v>
      </c>
      <c r="E49" s="102"/>
      <c r="F49" s="102"/>
      <c r="G49" s="101" t="s">
        <v>1581</v>
      </c>
    </row>
    <row r="50" ht="14.25" customHeight="1">
      <c r="B50" s="106"/>
      <c r="D50" s="106"/>
      <c r="G50" s="106"/>
    </row>
    <row r="51" ht="19.5" customHeight="1">
      <c r="A51" s="94" t="s">
        <v>1583</v>
      </c>
      <c r="B51" s="2"/>
      <c r="C51" s="2"/>
      <c r="D51" s="4"/>
      <c r="G51" s="106"/>
    </row>
    <row r="52" ht="15.0" customHeight="1">
      <c r="A52" s="92" t="s">
        <v>1585</v>
      </c>
      <c r="B52" s="2"/>
      <c r="C52" s="2"/>
      <c r="D52" s="4"/>
      <c r="G52" s="106"/>
    </row>
    <row r="53" ht="27.75" customHeight="1">
      <c r="A53" s="120" t="s">
        <v>1590</v>
      </c>
      <c r="B53" s="96"/>
      <c r="C53" s="96"/>
      <c r="D53" s="97"/>
      <c r="G53" s="106"/>
    </row>
    <row r="54" ht="25.5" customHeight="1">
      <c r="A54" s="98" t="s">
        <v>1598</v>
      </c>
      <c r="B54" s="82" t="s">
        <v>1599</v>
      </c>
      <c r="C54" s="98" t="s">
        <v>1604</v>
      </c>
      <c r="D54" s="82" t="s">
        <v>1605</v>
      </c>
      <c r="G54" s="106"/>
    </row>
    <row r="55" ht="25.5" customHeight="1">
      <c r="A55" s="102" t="s">
        <v>1608</v>
      </c>
      <c r="B55" s="101" t="s">
        <v>1610</v>
      </c>
      <c r="C55" s="102" t="s">
        <v>1613</v>
      </c>
      <c r="D55" s="101" t="s">
        <v>1615</v>
      </c>
      <c r="G55" s="106"/>
    </row>
    <row r="56" ht="25.5" customHeight="1">
      <c r="A56" s="102" t="s">
        <v>1617</v>
      </c>
      <c r="B56" s="101" t="s">
        <v>151</v>
      </c>
      <c r="C56" s="102" t="s">
        <v>1618</v>
      </c>
      <c r="D56" s="101" t="s">
        <v>1621</v>
      </c>
      <c r="G56" s="106"/>
    </row>
    <row r="57" ht="25.5" customHeight="1">
      <c r="A57" s="102" t="s">
        <v>1626</v>
      </c>
      <c r="B57" s="101" t="s">
        <v>1050</v>
      </c>
      <c r="C57" s="102" t="s">
        <v>1627</v>
      </c>
      <c r="D57" s="101" t="s">
        <v>1628</v>
      </c>
      <c r="G57" s="106"/>
    </row>
    <row r="58" ht="25.5" customHeight="1">
      <c r="B58" s="106"/>
      <c r="D58" s="106"/>
      <c r="G58" s="106"/>
    </row>
    <row r="59" ht="25.5" customHeight="1">
      <c r="A59" s="120" t="s">
        <v>1632</v>
      </c>
      <c r="B59" s="96"/>
      <c r="C59" s="97"/>
      <c r="D59" s="106"/>
      <c r="G59" s="106"/>
    </row>
    <row r="60" ht="25.5" customHeight="1">
      <c r="A60" s="98" t="s">
        <v>1634</v>
      </c>
      <c r="B60" s="82" t="s">
        <v>1636</v>
      </c>
      <c r="C60" s="98" t="s">
        <v>1638</v>
      </c>
      <c r="D60" s="98"/>
      <c r="E60" s="98"/>
      <c r="F60" s="99" t="s">
        <v>1641</v>
      </c>
      <c r="G60" s="82" t="s">
        <v>1642</v>
      </c>
    </row>
    <row r="61" ht="14.25" customHeight="1">
      <c r="A61" s="102" t="s">
        <v>1643</v>
      </c>
      <c r="B61" s="101" t="s">
        <v>1644</v>
      </c>
      <c r="C61" s="102" t="s">
        <v>1646</v>
      </c>
      <c r="D61" s="101"/>
      <c r="E61" s="102"/>
      <c r="F61" s="121">
        <v>15.0</v>
      </c>
      <c r="G61" s="101" t="s">
        <v>1653</v>
      </c>
    </row>
    <row r="62" ht="15.0" customHeight="1">
      <c r="A62" s="102" t="s">
        <v>1658</v>
      </c>
      <c r="B62" s="101" t="s">
        <v>1661</v>
      </c>
      <c r="C62" s="102" t="s">
        <v>35</v>
      </c>
      <c r="D62" s="101"/>
      <c r="E62" s="102"/>
      <c r="F62" s="121">
        <v>15.0</v>
      </c>
      <c r="G62" s="101" t="s">
        <v>1667</v>
      </c>
    </row>
    <row r="63" ht="27.75" customHeight="1">
      <c r="A63" s="102" t="s">
        <v>1670</v>
      </c>
      <c r="B63" s="101" t="s">
        <v>1671</v>
      </c>
      <c r="C63" s="102" t="s">
        <v>35</v>
      </c>
      <c r="D63" s="101"/>
      <c r="E63" s="102"/>
      <c r="F63" s="121">
        <v>8.0</v>
      </c>
      <c r="G63" s="101" t="s">
        <v>1678</v>
      </c>
    </row>
    <row r="64" ht="15.75" customHeight="1"/>
    <row r="65" ht="24.0" customHeight="1">
      <c r="A65" s="125" t="s">
        <v>1681</v>
      </c>
      <c r="B65" s="106"/>
      <c r="D65" s="106"/>
      <c r="G65" s="106"/>
    </row>
    <row r="66" ht="24.0" customHeight="1">
      <c r="A66" s="126" t="s">
        <v>1690</v>
      </c>
      <c r="B66" s="106"/>
      <c r="D66" s="106"/>
      <c r="G66" s="106"/>
    </row>
    <row r="67" ht="24.0" customHeight="1">
      <c r="A67" s="127" t="s">
        <v>1696</v>
      </c>
      <c r="B67" s="106"/>
      <c r="D67" s="106"/>
      <c r="G67" s="106"/>
    </row>
    <row r="68" ht="24.0" customHeight="1">
      <c r="A68" s="98" t="s">
        <v>1598</v>
      </c>
      <c r="B68" s="82" t="s">
        <v>1599</v>
      </c>
      <c r="C68" s="98" t="s">
        <v>1604</v>
      </c>
      <c r="D68" s="82" t="s">
        <v>1605</v>
      </c>
      <c r="G68" s="106"/>
    </row>
    <row r="69" ht="24.0" customHeight="1">
      <c r="A69" s="102" t="s">
        <v>1705</v>
      </c>
      <c r="B69" s="101" t="s">
        <v>1708</v>
      </c>
      <c r="C69" s="102" t="s">
        <v>1710</v>
      </c>
      <c r="D69" s="101" t="s">
        <v>1712</v>
      </c>
      <c r="G69" s="106"/>
    </row>
    <row r="70" ht="24.0" customHeight="1">
      <c r="A70" s="102" t="s">
        <v>1716</v>
      </c>
      <c r="B70" s="101" t="s">
        <v>1717</v>
      </c>
      <c r="C70" s="102" t="s">
        <v>1718</v>
      </c>
      <c r="D70" s="101" t="s">
        <v>1720</v>
      </c>
      <c r="G70" s="106"/>
    </row>
    <row r="71" ht="24.0" customHeight="1">
      <c r="A71" s="102" t="s">
        <v>1724</v>
      </c>
      <c r="B71" s="101" t="s">
        <v>1725</v>
      </c>
      <c r="C71" s="102" t="s">
        <v>1726</v>
      </c>
      <c r="D71" s="101" t="s">
        <v>1727</v>
      </c>
      <c r="G71" s="106"/>
    </row>
    <row r="72" ht="24.0" customHeight="1">
      <c r="A72" s="102" t="s">
        <v>1729</v>
      </c>
      <c r="B72" s="101" t="s">
        <v>1731</v>
      </c>
      <c r="C72" s="102" t="s">
        <v>1733</v>
      </c>
      <c r="D72" s="101" t="s">
        <v>1735</v>
      </c>
      <c r="G72" s="106"/>
    </row>
    <row r="73" ht="24.0" customHeight="1">
      <c r="B73" s="106"/>
      <c r="D73" s="106"/>
      <c r="G73" s="106"/>
    </row>
    <row r="74" ht="24.0" customHeight="1">
      <c r="A74" s="127" t="s">
        <v>1739</v>
      </c>
      <c r="B74" s="106"/>
      <c r="D74" s="106"/>
      <c r="G74" s="106"/>
    </row>
    <row r="75" ht="24.0" customHeight="1">
      <c r="A75" s="98" t="s">
        <v>1634</v>
      </c>
      <c r="B75" s="82" t="s">
        <v>1636</v>
      </c>
      <c r="C75" s="98" t="s">
        <v>1638</v>
      </c>
      <c r="D75" s="101"/>
      <c r="E75" s="102"/>
      <c r="F75" s="99" t="s">
        <v>1641</v>
      </c>
      <c r="G75" s="82" t="s">
        <v>1642</v>
      </c>
    </row>
    <row r="76" ht="14.25" customHeight="1">
      <c r="A76" s="102" t="s">
        <v>1741</v>
      </c>
      <c r="B76" s="101" t="s">
        <v>1742</v>
      </c>
      <c r="C76" s="102" t="s">
        <v>88</v>
      </c>
      <c r="D76" s="101"/>
      <c r="E76" s="102"/>
      <c r="F76" s="121">
        <v>20.0</v>
      </c>
      <c r="G76" s="101" t="s">
        <v>1743</v>
      </c>
    </row>
    <row r="77" ht="19.5" customHeight="1">
      <c r="A77" s="102" t="s">
        <v>1744</v>
      </c>
      <c r="B77" s="101" t="s">
        <v>1745</v>
      </c>
      <c r="C77" s="102" t="s">
        <v>1746</v>
      </c>
      <c r="D77" s="101"/>
      <c r="E77" s="102"/>
      <c r="F77" s="121">
        <v>12.0</v>
      </c>
      <c r="G77" s="101" t="s">
        <v>1748</v>
      </c>
    </row>
    <row r="78" ht="15.0" customHeight="1">
      <c r="A78" s="102" t="s">
        <v>1749</v>
      </c>
      <c r="B78" s="101" t="s">
        <v>1750</v>
      </c>
      <c r="C78" s="102" t="s">
        <v>1751</v>
      </c>
      <c r="D78" s="101"/>
      <c r="E78" s="102"/>
      <c r="F78" s="121">
        <v>8.0</v>
      </c>
      <c r="G78" s="101" t="s">
        <v>1753</v>
      </c>
    </row>
    <row r="79" ht="27.75" customHeight="1">
      <c r="B79" s="106"/>
      <c r="D79" s="106"/>
      <c r="G79" s="106"/>
    </row>
    <row r="80" ht="18.0" customHeight="1">
      <c r="A80" s="137" t="s">
        <v>1754</v>
      </c>
      <c r="B80" s="101"/>
      <c r="C80" s="102"/>
      <c r="D80" s="101"/>
      <c r="E80" s="102"/>
      <c r="F80" s="102"/>
      <c r="G80" s="101"/>
    </row>
    <row r="81" ht="18.0" customHeight="1">
      <c r="A81" s="102" t="s">
        <v>1757</v>
      </c>
      <c r="B81" s="101" t="s">
        <v>1758</v>
      </c>
      <c r="C81" s="102" t="s">
        <v>35</v>
      </c>
      <c r="D81" s="101"/>
      <c r="E81" s="102"/>
      <c r="F81" s="121">
        <v>-30.0</v>
      </c>
      <c r="G81" s="101" t="s">
        <v>1760</v>
      </c>
    </row>
    <row r="82" ht="18.0" customHeight="1">
      <c r="A82" s="102" t="s">
        <v>1761</v>
      </c>
      <c r="B82" s="101" t="s">
        <v>1762</v>
      </c>
      <c r="C82" s="102" t="s">
        <v>35</v>
      </c>
      <c r="D82" s="101"/>
      <c r="E82" s="102"/>
      <c r="F82" s="121">
        <v>-15.0</v>
      </c>
      <c r="G82" s="101" t="s">
        <v>1764</v>
      </c>
    </row>
    <row r="83" ht="18.0" customHeight="1">
      <c r="B83" s="106"/>
      <c r="D83" s="106"/>
      <c r="G83" s="106"/>
    </row>
    <row r="84" ht="14.25" customHeight="1">
      <c r="A84" s="127" t="s">
        <v>1765</v>
      </c>
      <c r="B84" s="106"/>
      <c r="D84" s="106"/>
      <c r="G84" s="106"/>
    </row>
    <row r="85" ht="15.0" customHeight="1">
      <c r="A85" s="126" t="s">
        <v>1766</v>
      </c>
      <c r="B85" s="106"/>
      <c r="D85" s="106"/>
      <c r="G85" s="106"/>
    </row>
    <row r="86" ht="14.25" customHeight="1">
      <c r="A86" s="98" t="s">
        <v>312</v>
      </c>
      <c r="B86" s="82" t="s">
        <v>1767</v>
      </c>
      <c r="C86" s="98" t="s">
        <v>1768</v>
      </c>
      <c r="D86" s="82" t="s">
        <v>1769</v>
      </c>
      <c r="E86" s="98" t="s">
        <v>1771</v>
      </c>
      <c r="F86" s="98" t="s">
        <v>1034</v>
      </c>
      <c r="G86" s="82" t="s">
        <v>1772</v>
      </c>
    </row>
    <row r="87" ht="19.5" customHeight="1">
      <c r="A87" s="102" t="s">
        <v>210</v>
      </c>
      <c r="B87" s="101" t="s">
        <v>342</v>
      </c>
      <c r="C87" s="102" t="s">
        <v>1774</v>
      </c>
      <c r="D87" s="101" t="s">
        <v>1775</v>
      </c>
      <c r="E87" s="102" t="s">
        <v>1776</v>
      </c>
      <c r="F87" s="102" t="s">
        <v>1778</v>
      </c>
      <c r="G87" s="101" t="s">
        <v>1779</v>
      </c>
    </row>
    <row r="88" ht="21.75" customHeight="1">
      <c r="A88" s="102" t="s">
        <v>200</v>
      </c>
      <c r="B88" s="101" t="s">
        <v>293</v>
      </c>
      <c r="C88" s="102" t="s">
        <v>1781</v>
      </c>
      <c r="D88" s="101" t="s">
        <v>1783</v>
      </c>
      <c r="E88" s="102">
        <v>2.0</v>
      </c>
      <c r="F88" s="102" t="s">
        <v>1043</v>
      </c>
      <c r="G88" s="101" t="s">
        <v>1785</v>
      </c>
    </row>
    <row r="89" ht="27.75" customHeight="1">
      <c r="A89" s="102" t="s">
        <v>203</v>
      </c>
      <c r="B89" s="101" t="s">
        <v>283</v>
      </c>
      <c r="C89" s="102" t="s">
        <v>1786</v>
      </c>
      <c r="D89" s="101" t="s">
        <v>1787</v>
      </c>
      <c r="E89" s="102">
        <v>2.0</v>
      </c>
      <c r="F89" s="102" t="s">
        <v>1789</v>
      </c>
      <c r="G89" s="101" t="s">
        <v>1790</v>
      </c>
    </row>
    <row r="90" ht="39.75" customHeight="1">
      <c r="A90" s="102" t="s">
        <v>215</v>
      </c>
      <c r="B90" s="101" t="s">
        <v>357</v>
      </c>
      <c r="C90" s="102" t="s">
        <v>1793</v>
      </c>
      <c r="D90" s="101" t="s">
        <v>1794</v>
      </c>
      <c r="E90" s="102">
        <v>2.0</v>
      </c>
      <c r="F90" s="102" t="s">
        <v>1043</v>
      </c>
      <c r="G90" s="101" t="s">
        <v>1796</v>
      </c>
    </row>
    <row r="91" ht="39.75" customHeight="1">
      <c r="A91" s="102" t="s">
        <v>219</v>
      </c>
      <c r="B91" s="101" t="s">
        <v>353</v>
      </c>
      <c r="C91" s="102" t="s">
        <v>1793</v>
      </c>
      <c r="D91" s="101" t="s">
        <v>1797</v>
      </c>
      <c r="E91" s="102">
        <v>2.0</v>
      </c>
      <c r="F91" s="102" t="s">
        <v>1043</v>
      </c>
      <c r="G91" s="101" t="s">
        <v>1799</v>
      </c>
    </row>
    <row r="92" ht="39.75" customHeight="1">
      <c r="A92" s="102" t="s">
        <v>221</v>
      </c>
      <c r="B92" s="101" t="s">
        <v>1800</v>
      </c>
      <c r="C92" s="102" t="s">
        <v>1801</v>
      </c>
      <c r="D92" s="101" t="s">
        <v>1802</v>
      </c>
      <c r="E92" s="102" t="s">
        <v>1803</v>
      </c>
      <c r="F92" s="102" t="s">
        <v>1804</v>
      </c>
      <c r="G92" s="101" t="s">
        <v>1805</v>
      </c>
    </row>
    <row r="93" ht="39.75" customHeight="1">
      <c r="B93" s="106"/>
      <c r="D93" s="106"/>
      <c r="G93" s="106"/>
    </row>
    <row r="94" ht="39.75" customHeight="1">
      <c r="A94" s="125" t="s">
        <v>1806</v>
      </c>
      <c r="B94" s="106"/>
      <c r="D94" s="106"/>
      <c r="G94" s="106"/>
    </row>
    <row r="95" ht="39.75" customHeight="1">
      <c r="A95" s="126" t="s">
        <v>1808</v>
      </c>
      <c r="B95" s="106"/>
      <c r="D95" s="106"/>
      <c r="G95" s="106"/>
    </row>
    <row r="96" ht="14.25" customHeight="1">
      <c r="A96" s="98" t="s">
        <v>8</v>
      </c>
      <c r="B96" s="82" t="s">
        <v>1809</v>
      </c>
      <c r="C96" s="98" t="s">
        <v>1810</v>
      </c>
      <c r="D96" s="82" t="s">
        <v>1811</v>
      </c>
      <c r="E96" s="102"/>
      <c r="F96" s="102"/>
      <c r="G96" s="82" t="s">
        <v>1812</v>
      </c>
    </row>
    <row r="97" ht="14.25" customHeight="1">
      <c r="A97" s="102" t="s">
        <v>1813</v>
      </c>
      <c r="B97" s="101" t="s">
        <v>1814</v>
      </c>
      <c r="C97" s="102" t="s">
        <v>1815</v>
      </c>
      <c r="D97" s="101" t="s">
        <v>1816</v>
      </c>
      <c r="E97" s="102"/>
      <c r="F97" s="102"/>
      <c r="G97" s="101" t="s">
        <v>1817</v>
      </c>
    </row>
    <row r="98" ht="19.5" customHeight="1">
      <c r="A98" s="102" t="s">
        <v>1818</v>
      </c>
      <c r="B98" s="101" t="s">
        <v>1819</v>
      </c>
      <c r="C98" s="102" t="s">
        <v>1820</v>
      </c>
      <c r="D98" s="101" t="s">
        <v>1821</v>
      </c>
      <c r="E98" s="102"/>
      <c r="F98" s="102"/>
      <c r="G98" s="101" t="s">
        <v>1822</v>
      </c>
    </row>
    <row r="99" ht="24.0" customHeight="1">
      <c r="A99" s="102" t="s">
        <v>1034</v>
      </c>
      <c r="B99" s="101" t="s">
        <v>1823</v>
      </c>
      <c r="C99" s="102" t="s">
        <v>1825</v>
      </c>
      <c r="D99" s="101" t="s">
        <v>1826</v>
      </c>
      <c r="E99" s="102"/>
      <c r="F99" s="102"/>
      <c r="G99" s="101" t="s">
        <v>1828</v>
      </c>
    </row>
    <row r="100" ht="24.0" customHeight="1">
      <c r="A100" s="102" t="s">
        <v>1206</v>
      </c>
      <c r="B100" s="101" t="s">
        <v>1830</v>
      </c>
      <c r="C100" s="102" t="s">
        <v>1831</v>
      </c>
      <c r="D100" s="101" t="s">
        <v>1832</v>
      </c>
      <c r="E100" s="102"/>
      <c r="F100" s="102"/>
      <c r="G100" s="101" t="s">
        <v>1834</v>
      </c>
    </row>
    <row r="101" ht="24.0" customHeight="1">
      <c r="B101" s="106"/>
      <c r="D101" s="106"/>
      <c r="G101" s="106"/>
    </row>
    <row r="102" ht="24.0" customHeight="1">
      <c r="A102" s="125" t="s">
        <v>1835</v>
      </c>
      <c r="B102" s="106"/>
      <c r="D102" s="106"/>
      <c r="G102" s="106"/>
    </row>
    <row r="103" ht="24.0" customHeight="1">
      <c r="A103" s="126" t="s">
        <v>1837</v>
      </c>
      <c r="B103" s="106"/>
      <c r="D103" s="106"/>
      <c r="G103" s="106"/>
    </row>
    <row r="104" ht="24.0" customHeight="1">
      <c r="A104" s="127" t="s">
        <v>1838</v>
      </c>
      <c r="B104" s="106"/>
      <c r="D104" s="106"/>
      <c r="G104" s="106"/>
    </row>
    <row r="105" ht="24.0" customHeight="1">
      <c r="A105" s="98" t="s">
        <v>1634</v>
      </c>
      <c r="B105" s="82" t="s">
        <v>1636</v>
      </c>
      <c r="C105" s="98" t="s">
        <v>1638</v>
      </c>
      <c r="D105" s="101"/>
      <c r="E105" s="102"/>
      <c r="F105" s="99" t="s">
        <v>1641</v>
      </c>
      <c r="G105" s="82" t="s">
        <v>1642</v>
      </c>
    </row>
    <row r="106" ht="14.25" customHeight="1">
      <c r="A106" s="102" t="s">
        <v>1840</v>
      </c>
      <c r="B106" s="101" t="s">
        <v>1841</v>
      </c>
      <c r="C106" s="102" t="s">
        <v>1842</v>
      </c>
      <c r="D106" s="101"/>
      <c r="E106" s="102"/>
      <c r="F106" s="121">
        <v>5.0</v>
      </c>
      <c r="G106" s="101" t="s">
        <v>1843</v>
      </c>
    </row>
    <row r="107" ht="14.25" customHeight="1">
      <c r="A107" s="102" t="s">
        <v>1844</v>
      </c>
      <c r="B107" s="101" t="s">
        <v>1845</v>
      </c>
      <c r="C107" s="102" t="s">
        <v>35</v>
      </c>
      <c r="D107" s="101"/>
      <c r="E107" s="102"/>
      <c r="F107" s="121">
        <v>5.0</v>
      </c>
      <c r="G107" s="101" t="s">
        <v>1848</v>
      </c>
    </row>
    <row r="108" ht="14.25" customHeight="1">
      <c r="A108" s="102" t="s">
        <v>1850</v>
      </c>
      <c r="B108" s="101" t="s">
        <v>1852</v>
      </c>
      <c r="C108" s="102" t="s">
        <v>35</v>
      </c>
      <c r="D108" s="101"/>
      <c r="E108" s="102"/>
      <c r="F108" s="165">
        <v>5.0</v>
      </c>
      <c r="G108" s="101" t="s">
        <v>1854</v>
      </c>
    </row>
    <row r="109" ht="14.25" customHeight="1">
      <c r="A109" s="102" t="s">
        <v>1855</v>
      </c>
      <c r="B109" s="101" t="s">
        <v>1856</v>
      </c>
      <c r="C109" s="102" t="s">
        <v>35</v>
      </c>
      <c r="D109" s="101"/>
      <c r="E109" s="102"/>
      <c r="F109" s="121">
        <v>4.0</v>
      </c>
      <c r="G109" s="101" t="s">
        <v>1857</v>
      </c>
    </row>
    <row r="110" ht="14.25" customHeight="1">
      <c r="B110" s="106"/>
      <c r="D110" s="106"/>
      <c r="G110" s="106"/>
    </row>
    <row r="111" ht="14.25" customHeight="1">
      <c r="A111" s="127" t="s">
        <v>1858</v>
      </c>
      <c r="B111" s="106"/>
      <c r="D111" s="106"/>
      <c r="G111" s="106"/>
    </row>
    <row r="112" ht="14.25" customHeight="1">
      <c r="A112" s="98" t="s">
        <v>8</v>
      </c>
      <c r="B112" s="82" t="s">
        <v>10</v>
      </c>
      <c r="C112" s="98" t="s">
        <v>1863</v>
      </c>
      <c r="D112" s="82" t="s">
        <v>1864</v>
      </c>
      <c r="E112" s="102"/>
      <c r="F112" s="99" t="s">
        <v>1865</v>
      </c>
      <c r="G112" s="82" t="s">
        <v>1866</v>
      </c>
    </row>
    <row r="113" ht="14.25" customHeight="1">
      <c r="A113" s="102" t="s">
        <v>1091</v>
      </c>
      <c r="B113" s="101" t="s">
        <v>1092</v>
      </c>
      <c r="C113" s="100" t="s">
        <v>1868</v>
      </c>
      <c r="D113" s="101" t="s">
        <v>1869</v>
      </c>
      <c r="E113" s="102"/>
      <c r="F113" s="121" t="s">
        <v>1871</v>
      </c>
      <c r="G113" s="101" t="s">
        <v>1872</v>
      </c>
    </row>
    <row r="114" ht="14.25" customHeight="1">
      <c r="A114" s="102" t="s">
        <v>1094</v>
      </c>
      <c r="B114" s="101" t="s">
        <v>1095</v>
      </c>
      <c r="C114" s="100" t="s">
        <v>1874</v>
      </c>
      <c r="D114" s="101" t="s">
        <v>1875</v>
      </c>
      <c r="E114" s="102"/>
      <c r="F114" s="121" t="s">
        <v>1876</v>
      </c>
      <c r="G114" s="101" t="s">
        <v>1877</v>
      </c>
    </row>
    <row r="115" ht="14.25" customHeight="1">
      <c r="A115" s="102" t="s">
        <v>1099</v>
      </c>
      <c r="B115" s="101" t="s">
        <v>1100</v>
      </c>
      <c r="C115" s="100" t="s">
        <v>1879</v>
      </c>
      <c r="D115" s="101" t="s">
        <v>1880</v>
      </c>
      <c r="E115" s="102"/>
      <c r="F115" s="121" t="s">
        <v>1881</v>
      </c>
      <c r="G115" s="101" t="s">
        <v>1882</v>
      </c>
    </row>
    <row r="116" ht="14.25" customHeight="1">
      <c r="A116" s="102" t="s">
        <v>1104</v>
      </c>
      <c r="B116" s="101" t="s">
        <v>1105</v>
      </c>
      <c r="C116" s="100" t="s">
        <v>1229</v>
      </c>
      <c r="D116" s="101" t="s">
        <v>1884</v>
      </c>
      <c r="E116" s="102"/>
      <c r="F116" s="121" t="s">
        <v>1876</v>
      </c>
      <c r="G116" s="101" t="s">
        <v>1885</v>
      </c>
    </row>
    <row r="117" ht="14.25" customHeight="1">
      <c r="A117" s="179" t="s">
        <v>1886</v>
      </c>
      <c r="B117" s="106"/>
      <c r="D117" s="106"/>
      <c r="G117" s="106"/>
    </row>
    <row r="118" ht="14.25" customHeight="1">
      <c r="B118" s="106"/>
      <c r="D118" s="106"/>
      <c r="G118" s="106"/>
    </row>
    <row r="119" ht="14.25" customHeight="1">
      <c r="A119" s="127" t="s">
        <v>1889</v>
      </c>
      <c r="B119" s="106"/>
      <c r="D119" s="106"/>
      <c r="G119" s="106"/>
    </row>
    <row r="120" ht="14.25" customHeight="1">
      <c r="A120" s="126" t="s">
        <v>1890</v>
      </c>
      <c r="B120" s="106"/>
      <c r="D120" s="106"/>
      <c r="G120" s="106"/>
    </row>
    <row r="121" ht="14.25" customHeight="1">
      <c r="B121" s="106"/>
      <c r="D121" s="106"/>
      <c r="G121" s="106"/>
    </row>
    <row r="122" ht="14.25" customHeight="1">
      <c r="A122" s="127" t="s">
        <v>1891</v>
      </c>
      <c r="B122" s="106"/>
      <c r="D122" s="106"/>
      <c r="G122" s="106"/>
    </row>
    <row r="123" ht="14.25" customHeight="1">
      <c r="A123" s="126" t="s">
        <v>1893</v>
      </c>
      <c r="B123" s="106"/>
      <c r="D123" s="106"/>
      <c r="G123" s="106"/>
    </row>
    <row r="124" ht="14.25" customHeight="1">
      <c r="B124" s="106"/>
      <c r="D124" s="106"/>
      <c r="G124" s="106"/>
    </row>
    <row r="125" ht="14.25" customHeight="1">
      <c r="A125" s="125" t="s">
        <v>1894</v>
      </c>
      <c r="B125" s="106"/>
      <c r="D125" s="106"/>
      <c r="G125" s="106"/>
    </row>
    <row r="126" ht="14.25" customHeight="1">
      <c r="A126" s="62" t="s">
        <v>1895</v>
      </c>
      <c r="B126" s="106"/>
      <c r="D126" s="106"/>
      <c r="G126" s="106"/>
    </row>
    <row r="127" ht="14.25" customHeight="1">
      <c r="A127" s="62" t="s">
        <v>1898</v>
      </c>
      <c r="B127" s="106"/>
      <c r="D127" s="106"/>
      <c r="G127" s="106"/>
    </row>
    <row r="128" ht="14.25" customHeight="1">
      <c r="A128" s="62" t="s">
        <v>1899</v>
      </c>
      <c r="B128" s="106"/>
      <c r="D128" s="106"/>
      <c r="G128" s="106"/>
    </row>
    <row r="129" ht="14.25" customHeight="1">
      <c r="A129" s="62" t="s">
        <v>1900</v>
      </c>
    </row>
    <row r="130" ht="14.25" customHeight="1">
      <c r="A130" s="62" t="s">
        <v>1902</v>
      </c>
    </row>
    <row r="131" ht="14.25" customHeight="1"/>
    <row r="132" ht="14.25" customHeight="1">
      <c r="A132" s="145" t="s">
        <v>1903</v>
      </c>
    </row>
    <row r="133" ht="14.25" customHeight="1">
      <c r="A133" s="13" t="s">
        <v>1905</v>
      </c>
    </row>
    <row r="134" ht="14.25" customHeight="1">
      <c r="A134" s="13" t="s">
        <v>1906</v>
      </c>
    </row>
    <row r="135" ht="14.25" customHeight="1">
      <c r="A135" s="13" t="s">
        <v>1907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43:D43"/>
    <mergeCell ref="A51:D51"/>
    <mergeCell ref="A52:D52"/>
    <mergeCell ref="A53:D53"/>
    <mergeCell ref="A59:C59"/>
    <mergeCell ref="A1:G1"/>
    <mergeCell ref="A2:G2"/>
    <mergeCell ref="A3:G3"/>
    <mergeCell ref="A5:G5"/>
    <mergeCell ref="A6:G6"/>
    <mergeCell ref="A22:B22"/>
    <mergeCell ref="A24:C24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3B52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2.5"/>
    <col customWidth="1" min="2" max="2" width="13.88"/>
    <col customWidth="1" min="3" max="3" width="40.88"/>
    <col customWidth="1" min="4" max="4" width="21.38"/>
    <col customWidth="1" min="5" max="5" width="12.5"/>
    <col customWidth="1" min="6" max="10" width="10.63"/>
  </cols>
  <sheetData>
    <row r="1" ht="21.75" customHeight="1">
      <c r="A1" s="140" t="s">
        <v>1773</v>
      </c>
    </row>
    <row r="2" ht="14.25" customHeight="1">
      <c r="A2" s="141" t="s">
        <v>1777</v>
      </c>
    </row>
    <row r="3" ht="14.25" customHeight="1">
      <c r="A3" s="143" t="s">
        <v>1780</v>
      </c>
    </row>
    <row r="4" ht="14.25" customHeight="1">
      <c r="H4" s="145" t="s">
        <v>1782</v>
      </c>
    </row>
    <row r="5" ht="14.25" customHeight="1">
      <c r="A5" s="98" t="s">
        <v>6</v>
      </c>
      <c r="B5" s="98" t="s">
        <v>1634</v>
      </c>
      <c r="C5" s="98" t="s">
        <v>10</v>
      </c>
      <c r="D5" s="98" t="s">
        <v>19</v>
      </c>
      <c r="E5" s="98" t="s">
        <v>1788</v>
      </c>
      <c r="H5" s="6" t="s">
        <v>1792</v>
      </c>
      <c r="I5" s="147" t="s">
        <v>1641</v>
      </c>
      <c r="J5" s="6" t="s">
        <v>1795</v>
      </c>
    </row>
    <row r="6" ht="14.25" customHeight="1">
      <c r="A6" s="149" t="str">
        <f t="array" ref="A6">_xlws.FILTER(MASTER_TAGS!A3:A221,ISNUMBER(SEARCH("tri",MASTER_TAGS!E3:E221))*ISERROR(SEARCH("pas de",MASTER_TAGS!E3:E221)))</f>
        <v>#NAME?</v>
      </c>
      <c r="B6" s="155" t="str">
        <f t="array" ref="B6">_xlws.FILTER(MASTER_TAGS!C3:E221,ISNUMBER(SEARCH("tri",MASTER_TAGS!E3:E221))*ISERROR(SEARCH("pas de",MASTER_TAGS!E3:E221)))</f>
        <v>#NAME?</v>
      </c>
      <c r="C6" s="23"/>
      <c r="D6" s="155"/>
      <c r="E6" s="103" t="str">
        <f t="shared" ref="E6:E93" si="1">XLOOKUP($B6,$H$6:$H$25,$I$6:$I$25,XLOOKUP($A6,$H$6:$H$25,$I$6:$I$25,0))</f>
        <v>#NAME?</v>
      </c>
      <c r="H6" s="13" t="s">
        <v>76</v>
      </c>
      <c r="I6" s="162">
        <v>20.0</v>
      </c>
      <c r="J6" s="13" t="s">
        <v>1853</v>
      </c>
    </row>
    <row r="7" ht="14.25" customHeight="1">
      <c r="A7" s="149"/>
      <c r="B7" s="155"/>
      <c r="C7" s="23"/>
      <c r="D7" s="155"/>
      <c r="E7" s="103">
        <f t="shared" si="1"/>
        <v>0</v>
      </c>
      <c r="H7" s="13" t="s">
        <v>26</v>
      </c>
      <c r="I7" s="162">
        <v>15.0</v>
      </c>
      <c r="J7" s="13" t="s">
        <v>1860</v>
      </c>
    </row>
    <row r="8" ht="14.25" customHeight="1">
      <c r="A8" s="149"/>
      <c r="B8" s="155"/>
      <c r="C8" s="23"/>
      <c r="D8" s="155"/>
      <c r="E8" s="103">
        <f t="shared" si="1"/>
        <v>0</v>
      </c>
      <c r="H8" s="13" t="s">
        <v>198</v>
      </c>
      <c r="I8" s="162">
        <v>15.0</v>
      </c>
      <c r="J8" s="13" t="s">
        <v>1867</v>
      </c>
    </row>
    <row r="9" ht="14.25" customHeight="1">
      <c r="A9" s="149"/>
      <c r="B9" s="155"/>
      <c r="C9" s="23"/>
      <c r="D9" s="155"/>
      <c r="E9" s="103">
        <f t="shared" si="1"/>
        <v>0</v>
      </c>
      <c r="H9" s="13" t="s">
        <v>190</v>
      </c>
      <c r="I9" s="162">
        <v>10.0</v>
      </c>
      <c r="J9" s="13" t="s">
        <v>1873</v>
      </c>
    </row>
    <row r="10" ht="14.25" customHeight="1">
      <c r="A10" s="149"/>
      <c r="B10" s="155"/>
      <c r="C10" s="23"/>
      <c r="D10" s="155"/>
      <c r="E10" s="103">
        <f t="shared" si="1"/>
        <v>0</v>
      </c>
      <c r="H10" s="13" t="s">
        <v>183</v>
      </c>
      <c r="I10" s="162">
        <v>5.0</v>
      </c>
      <c r="J10" s="13" t="s">
        <v>1878</v>
      </c>
    </row>
    <row r="11" ht="14.25" customHeight="1">
      <c r="A11" s="149"/>
      <c r="B11" s="155"/>
      <c r="C11" s="23"/>
      <c r="D11" s="155"/>
      <c r="E11" s="103">
        <f t="shared" si="1"/>
        <v>0</v>
      </c>
      <c r="H11" s="13" t="s">
        <v>487</v>
      </c>
      <c r="I11" s="162">
        <v>20.0</v>
      </c>
      <c r="J11" s="13" t="s">
        <v>1883</v>
      </c>
    </row>
    <row r="12" ht="14.25" customHeight="1">
      <c r="A12" s="149"/>
      <c r="B12" s="155"/>
      <c r="C12" s="23"/>
      <c r="D12" s="155"/>
      <c r="E12" s="103">
        <f t="shared" si="1"/>
        <v>0</v>
      </c>
      <c r="H12" s="13" t="s">
        <v>479</v>
      </c>
      <c r="I12" s="162">
        <v>15.0</v>
      </c>
      <c r="J12" s="13" t="s">
        <v>1887</v>
      </c>
    </row>
    <row r="13" ht="14.25" customHeight="1">
      <c r="A13" s="149"/>
      <c r="B13" s="155"/>
      <c r="C13" s="23"/>
      <c r="D13" s="155"/>
      <c r="E13" s="103">
        <f t="shared" si="1"/>
        <v>0</v>
      </c>
      <c r="H13" s="13" t="s">
        <v>473</v>
      </c>
      <c r="I13" s="162">
        <v>10.0</v>
      </c>
      <c r="J13" s="13" t="s">
        <v>1887</v>
      </c>
    </row>
    <row r="14" ht="14.25" customHeight="1">
      <c r="A14" s="149"/>
      <c r="B14" s="155"/>
      <c r="C14" s="23"/>
      <c r="D14" s="155"/>
      <c r="E14" s="103">
        <f t="shared" si="1"/>
        <v>0</v>
      </c>
      <c r="H14" s="13" t="s">
        <v>465</v>
      </c>
      <c r="I14" s="162">
        <v>5.0</v>
      </c>
      <c r="J14" s="13" t="s">
        <v>1887</v>
      </c>
    </row>
    <row r="15" ht="14.25" customHeight="1">
      <c r="A15" s="149"/>
      <c r="B15" s="155"/>
      <c r="C15" s="23"/>
      <c r="D15" s="155"/>
      <c r="E15" s="103">
        <f t="shared" si="1"/>
        <v>0</v>
      </c>
      <c r="H15" s="13" t="s">
        <v>459</v>
      </c>
      <c r="I15" s="162">
        <v>0.0</v>
      </c>
      <c r="J15" s="13" t="s">
        <v>1896</v>
      </c>
    </row>
    <row r="16" ht="14.25" customHeight="1">
      <c r="A16" s="149"/>
      <c r="B16" s="155"/>
      <c r="C16" s="23"/>
      <c r="D16" s="155"/>
      <c r="E16" s="103">
        <f t="shared" si="1"/>
        <v>0</v>
      </c>
      <c r="H16" s="13" t="s">
        <v>812</v>
      </c>
      <c r="I16" s="162">
        <v>12.0</v>
      </c>
      <c r="J16" s="13" t="s">
        <v>1901</v>
      </c>
    </row>
    <row r="17" ht="14.25" customHeight="1">
      <c r="A17" s="149"/>
      <c r="B17" s="155"/>
      <c r="C17" s="23"/>
      <c r="D17" s="155"/>
      <c r="E17" s="103">
        <f t="shared" si="1"/>
        <v>0</v>
      </c>
      <c r="H17" s="13" t="s">
        <v>27</v>
      </c>
      <c r="I17" s="162">
        <v>8.0</v>
      </c>
      <c r="J17" s="13" t="s">
        <v>1908</v>
      </c>
    </row>
    <row r="18" ht="14.25" customHeight="1">
      <c r="A18" s="149"/>
      <c r="B18" s="155"/>
      <c r="C18" s="23"/>
      <c r="D18" s="155"/>
      <c r="E18" s="103">
        <f t="shared" si="1"/>
        <v>0</v>
      </c>
      <c r="H18" s="13" t="s">
        <v>1174</v>
      </c>
      <c r="I18" s="162">
        <v>8.0</v>
      </c>
      <c r="J18" s="13" t="s">
        <v>1910</v>
      </c>
    </row>
    <row r="19" ht="14.25" customHeight="1">
      <c r="A19" s="149"/>
      <c r="B19" s="155"/>
      <c r="C19" s="23"/>
      <c r="D19" s="155"/>
      <c r="E19" s="103">
        <f t="shared" si="1"/>
        <v>0</v>
      </c>
      <c r="H19" s="13" t="s">
        <v>422</v>
      </c>
      <c r="I19" s="162">
        <v>8.0</v>
      </c>
      <c r="J19" s="13" t="s">
        <v>1911</v>
      </c>
    </row>
    <row r="20" ht="14.25" customHeight="1">
      <c r="A20" s="149"/>
      <c r="B20" s="155"/>
      <c r="C20" s="23"/>
      <c r="D20" s="155"/>
      <c r="E20" s="103">
        <f t="shared" si="1"/>
        <v>0</v>
      </c>
      <c r="H20" s="13" t="s">
        <v>543</v>
      </c>
      <c r="I20" s="162">
        <v>8.0</v>
      </c>
      <c r="J20" s="13" t="s">
        <v>1913</v>
      </c>
    </row>
    <row r="21" ht="14.25" customHeight="1">
      <c r="A21" s="149"/>
      <c r="B21" s="155"/>
      <c r="C21" s="23"/>
      <c r="D21" s="155"/>
      <c r="E21" s="103">
        <f t="shared" si="1"/>
        <v>0</v>
      </c>
      <c r="H21" s="13" t="s">
        <v>686</v>
      </c>
      <c r="I21" s="162">
        <v>8.0</v>
      </c>
      <c r="J21" s="13" t="s">
        <v>1915</v>
      </c>
    </row>
    <row r="22" ht="14.25" customHeight="1">
      <c r="A22" s="149"/>
      <c r="B22" s="155"/>
      <c r="C22" s="23"/>
      <c r="D22" s="155"/>
      <c r="E22" s="103">
        <f t="shared" si="1"/>
        <v>0</v>
      </c>
      <c r="H22" s="13" t="s">
        <v>788</v>
      </c>
      <c r="I22" s="162">
        <v>8.0</v>
      </c>
      <c r="J22" s="13" t="s">
        <v>1920</v>
      </c>
    </row>
    <row r="23" ht="14.25" customHeight="1">
      <c r="A23" s="149"/>
      <c r="B23" s="155"/>
      <c r="C23" s="23"/>
      <c r="D23" s="155"/>
      <c r="E23" s="103">
        <f t="shared" si="1"/>
        <v>0</v>
      </c>
      <c r="H23" s="13" t="s">
        <v>856</v>
      </c>
      <c r="I23" s="162">
        <v>8.0</v>
      </c>
      <c r="J23" s="13" t="s">
        <v>1923</v>
      </c>
    </row>
    <row r="24" ht="14.25" customHeight="1">
      <c r="A24" s="149"/>
      <c r="B24" s="155"/>
      <c r="C24" s="23"/>
      <c r="D24" s="155"/>
      <c r="E24" s="103">
        <f t="shared" si="1"/>
        <v>0</v>
      </c>
      <c r="H24" s="13" t="s">
        <v>312</v>
      </c>
      <c r="I24" s="162">
        <v>8.0</v>
      </c>
      <c r="J24" s="13" t="s">
        <v>1924</v>
      </c>
    </row>
    <row r="25" ht="14.25" customHeight="1">
      <c r="A25" s="149"/>
      <c r="B25" s="155"/>
      <c r="C25" s="23"/>
      <c r="D25" s="155"/>
      <c r="E25" s="103">
        <f t="shared" si="1"/>
        <v>0</v>
      </c>
      <c r="H25" s="13" t="s">
        <v>1135</v>
      </c>
      <c r="I25" s="162">
        <v>8.0</v>
      </c>
      <c r="J25" s="13" t="s">
        <v>1927</v>
      </c>
    </row>
    <row r="26" ht="14.25" customHeight="1">
      <c r="A26" s="149"/>
      <c r="B26" s="155"/>
      <c r="C26" s="23"/>
      <c r="D26" s="155"/>
      <c r="E26" s="103">
        <f t="shared" si="1"/>
        <v>0</v>
      </c>
    </row>
    <row r="27" ht="14.25" customHeight="1">
      <c r="A27" s="149"/>
      <c r="B27" s="155"/>
      <c r="C27" s="23"/>
      <c r="D27" s="155"/>
      <c r="E27" s="103">
        <f t="shared" si="1"/>
        <v>0</v>
      </c>
    </row>
    <row r="28" ht="14.25" customHeight="1">
      <c r="A28" s="149"/>
      <c r="B28" s="155"/>
      <c r="C28" s="23"/>
      <c r="D28" s="155"/>
      <c r="E28" s="103">
        <f t="shared" si="1"/>
        <v>0</v>
      </c>
    </row>
    <row r="29" ht="14.25" customHeight="1">
      <c r="A29" s="149"/>
      <c r="B29" s="155"/>
      <c r="C29" s="23"/>
      <c r="D29" s="155"/>
      <c r="E29" s="103">
        <f t="shared" si="1"/>
        <v>0</v>
      </c>
    </row>
    <row r="30" ht="14.25" customHeight="1">
      <c r="A30" s="149"/>
      <c r="B30" s="155"/>
      <c r="C30" s="23"/>
      <c r="D30" s="155"/>
      <c r="E30" s="103">
        <f t="shared" si="1"/>
        <v>0</v>
      </c>
    </row>
    <row r="31" ht="14.25" customHeight="1">
      <c r="A31" s="149"/>
      <c r="B31" s="155"/>
      <c r="C31" s="23"/>
      <c r="D31" s="155"/>
      <c r="E31" s="103">
        <f t="shared" si="1"/>
        <v>0</v>
      </c>
    </row>
    <row r="32" ht="14.25" customHeight="1">
      <c r="A32" s="149"/>
      <c r="B32" s="155"/>
      <c r="C32" s="23"/>
      <c r="D32" s="155"/>
      <c r="E32" s="103">
        <f t="shared" si="1"/>
        <v>0</v>
      </c>
    </row>
    <row r="33" ht="14.25" customHeight="1">
      <c r="A33" s="149"/>
      <c r="B33" s="155"/>
      <c r="C33" s="23"/>
      <c r="D33" s="155"/>
      <c r="E33" s="103">
        <f t="shared" si="1"/>
        <v>0</v>
      </c>
    </row>
    <row r="34" ht="14.25" customHeight="1">
      <c r="A34" s="149"/>
      <c r="B34" s="155"/>
      <c r="C34" s="23"/>
      <c r="D34" s="155"/>
      <c r="E34" s="103">
        <f t="shared" si="1"/>
        <v>0</v>
      </c>
    </row>
    <row r="35" ht="14.25" customHeight="1">
      <c r="A35" s="149"/>
      <c r="B35" s="155"/>
      <c r="C35" s="23"/>
      <c r="D35" s="155"/>
      <c r="E35" s="103">
        <f t="shared" si="1"/>
        <v>0</v>
      </c>
    </row>
    <row r="36" ht="14.25" customHeight="1">
      <c r="A36" s="149"/>
      <c r="B36" s="155"/>
      <c r="C36" s="23"/>
      <c r="D36" s="155"/>
      <c r="E36" s="103">
        <f t="shared" si="1"/>
        <v>0</v>
      </c>
    </row>
    <row r="37" ht="14.25" customHeight="1">
      <c r="A37" s="149"/>
      <c r="B37" s="155"/>
      <c r="C37" s="23"/>
      <c r="D37" s="155"/>
      <c r="E37" s="103">
        <f t="shared" si="1"/>
        <v>0</v>
      </c>
    </row>
    <row r="38" ht="14.25" customHeight="1">
      <c r="A38" s="149"/>
      <c r="B38" s="155"/>
      <c r="C38" s="23"/>
      <c r="D38" s="155"/>
      <c r="E38" s="103">
        <f t="shared" si="1"/>
        <v>0</v>
      </c>
    </row>
    <row r="39" ht="14.25" customHeight="1">
      <c r="A39" s="149"/>
      <c r="B39" s="155"/>
      <c r="C39" s="23"/>
      <c r="D39" s="155"/>
      <c r="E39" s="103">
        <f t="shared" si="1"/>
        <v>0</v>
      </c>
    </row>
    <row r="40" ht="14.25" customHeight="1">
      <c r="A40" s="149"/>
      <c r="B40" s="155"/>
      <c r="C40" s="23"/>
      <c r="D40" s="155"/>
      <c r="E40" s="103">
        <f t="shared" si="1"/>
        <v>0</v>
      </c>
    </row>
    <row r="41" ht="14.25" customHeight="1">
      <c r="A41" s="149"/>
      <c r="B41" s="155"/>
      <c r="C41" s="23"/>
      <c r="D41" s="155"/>
      <c r="E41" s="103">
        <f t="shared" si="1"/>
        <v>0</v>
      </c>
    </row>
    <row r="42" ht="14.25" customHeight="1">
      <c r="A42" s="149"/>
      <c r="B42" s="155"/>
      <c r="C42" s="23"/>
      <c r="D42" s="155"/>
      <c r="E42" s="103">
        <f t="shared" si="1"/>
        <v>0</v>
      </c>
    </row>
    <row r="43" ht="14.25" customHeight="1">
      <c r="A43" s="149"/>
      <c r="B43" s="155"/>
      <c r="C43" s="23"/>
      <c r="D43" s="155"/>
      <c r="E43" s="103">
        <f t="shared" si="1"/>
        <v>0</v>
      </c>
    </row>
    <row r="44" ht="14.25" customHeight="1">
      <c r="A44" s="149"/>
      <c r="B44" s="155"/>
      <c r="C44" s="23"/>
      <c r="D44" s="155"/>
      <c r="E44" s="103">
        <f t="shared" si="1"/>
        <v>0</v>
      </c>
    </row>
    <row r="45" ht="14.25" customHeight="1">
      <c r="A45" s="149"/>
      <c r="B45" s="155"/>
      <c r="C45" s="23"/>
      <c r="D45" s="155"/>
      <c r="E45" s="103">
        <f t="shared" si="1"/>
        <v>0</v>
      </c>
    </row>
    <row r="46" ht="14.25" customHeight="1">
      <c r="A46" s="149"/>
      <c r="B46" s="155"/>
      <c r="C46" s="23"/>
      <c r="D46" s="155"/>
      <c r="E46" s="103">
        <f t="shared" si="1"/>
        <v>0</v>
      </c>
    </row>
    <row r="47" ht="14.25" customHeight="1">
      <c r="A47" s="149"/>
      <c r="B47" s="155"/>
      <c r="C47" s="23"/>
      <c r="D47" s="155"/>
      <c r="E47" s="103">
        <f t="shared" si="1"/>
        <v>0</v>
      </c>
    </row>
    <row r="48" ht="14.25" customHeight="1">
      <c r="A48" s="149"/>
      <c r="B48" s="155"/>
      <c r="C48" s="23"/>
      <c r="D48" s="155"/>
      <c r="E48" s="103">
        <f t="shared" si="1"/>
        <v>0</v>
      </c>
    </row>
    <row r="49" ht="14.25" customHeight="1">
      <c r="A49" s="149"/>
      <c r="B49" s="155"/>
      <c r="C49" s="23"/>
      <c r="D49" s="155"/>
      <c r="E49" s="103">
        <f t="shared" si="1"/>
        <v>0</v>
      </c>
    </row>
    <row r="50" ht="14.25" customHeight="1">
      <c r="A50" s="149"/>
      <c r="B50" s="155"/>
      <c r="C50" s="23"/>
      <c r="D50" s="155"/>
      <c r="E50" s="103">
        <f t="shared" si="1"/>
        <v>0</v>
      </c>
    </row>
    <row r="51" ht="14.25" customHeight="1">
      <c r="A51" s="149"/>
      <c r="B51" s="155"/>
      <c r="C51" s="23"/>
      <c r="D51" s="155"/>
      <c r="E51" s="103">
        <f t="shared" si="1"/>
        <v>0</v>
      </c>
    </row>
    <row r="52" ht="14.25" customHeight="1">
      <c r="A52" s="149"/>
      <c r="B52" s="155"/>
      <c r="C52" s="23"/>
      <c r="D52" s="155"/>
      <c r="E52" s="103">
        <f t="shared" si="1"/>
        <v>0</v>
      </c>
    </row>
    <row r="53" ht="14.25" customHeight="1">
      <c r="A53" s="149"/>
      <c r="B53" s="155"/>
      <c r="C53" s="23"/>
      <c r="D53" s="155"/>
      <c r="E53" s="103">
        <f t="shared" si="1"/>
        <v>0</v>
      </c>
    </row>
    <row r="54" ht="14.25" customHeight="1">
      <c r="A54" s="149"/>
      <c r="B54" s="155"/>
      <c r="C54" s="23"/>
      <c r="D54" s="155"/>
      <c r="E54" s="103">
        <f t="shared" si="1"/>
        <v>0</v>
      </c>
    </row>
    <row r="55" ht="14.25" customHeight="1">
      <c r="A55" s="149"/>
      <c r="B55" s="155"/>
      <c r="C55" s="23"/>
      <c r="D55" s="155"/>
      <c r="E55" s="103">
        <f t="shared" si="1"/>
        <v>0</v>
      </c>
    </row>
    <row r="56" ht="14.25" customHeight="1">
      <c r="A56" s="149"/>
      <c r="B56" s="155"/>
      <c r="C56" s="23"/>
      <c r="D56" s="155"/>
      <c r="E56" s="103">
        <f t="shared" si="1"/>
        <v>0</v>
      </c>
    </row>
    <row r="57" ht="14.25" customHeight="1">
      <c r="A57" s="149"/>
      <c r="B57" s="155"/>
      <c r="C57" s="23"/>
      <c r="D57" s="155"/>
      <c r="E57" s="103">
        <f t="shared" si="1"/>
        <v>0</v>
      </c>
    </row>
    <row r="58" ht="14.25" customHeight="1">
      <c r="A58" s="149"/>
      <c r="B58" s="155"/>
      <c r="C58" s="23"/>
      <c r="D58" s="155"/>
      <c r="E58" s="103">
        <f t="shared" si="1"/>
        <v>0</v>
      </c>
    </row>
    <row r="59" ht="14.25" customHeight="1">
      <c r="A59" s="149"/>
      <c r="B59" s="155"/>
      <c r="C59" s="23"/>
      <c r="D59" s="155"/>
      <c r="E59" s="103">
        <f t="shared" si="1"/>
        <v>0</v>
      </c>
    </row>
    <row r="60" ht="14.25" customHeight="1">
      <c r="A60" s="149"/>
      <c r="B60" s="155"/>
      <c r="C60" s="23"/>
      <c r="D60" s="155"/>
      <c r="E60" s="103">
        <f t="shared" si="1"/>
        <v>0</v>
      </c>
    </row>
    <row r="61" ht="14.25" customHeight="1">
      <c r="A61" s="149"/>
      <c r="B61" s="155"/>
      <c r="C61" s="23"/>
      <c r="D61" s="155"/>
      <c r="E61" s="103">
        <f t="shared" si="1"/>
        <v>0</v>
      </c>
    </row>
    <row r="62" ht="14.25" customHeight="1">
      <c r="A62" s="149"/>
      <c r="B62" s="155"/>
      <c r="C62" s="23"/>
      <c r="D62" s="155"/>
      <c r="E62" s="103">
        <f t="shared" si="1"/>
        <v>0</v>
      </c>
    </row>
    <row r="63" ht="14.25" customHeight="1">
      <c r="A63" s="149"/>
      <c r="B63" s="155"/>
      <c r="C63" s="23"/>
      <c r="D63" s="155"/>
      <c r="E63" s="103">
        <f t="shared" si="1"/>
        <v>0</v>
      </c>
    </row>
    <row r="64" ht="14.25" customHeight="1">
      <c r="A64" s="149"/>
      <c r="B64" s="155"/>
      <c r="C64" s="23"/>
      <c r="D64" s="155"/>
      <c r="E64" s="103">
        <f t="shared" si="1"/>
        <v>0</v>
      </c>
    </row>
    <row r="65" ht="14.25" customHeight="1">
      <c r="A65" s="149"/>
      <c r="B65" s="155"/>
      <c r="C65" s="23"/>
      <c r="D65" s="155"/>
      <c r="E65" s="103">
        <f t="shared" si="1"/>
        <v>0</v>
      </c>
    </row>
    <row r="66" ht="14.25" customHeight="1">
      <c r="A66" s="149"/>
      <c r="B66" s="155"/>
      <c r="C66" s="23"/>
      <c r="D66" s="155"/>
      <c r="E66" s="103">
        <f t="shared" si="1"/>
        <v>0</v>
      </c>
    </row>
    <row r="67" ht="14.25" customHeight="1">
      <c r="A67" s="149"/>
      <c r="B67" s="155"/>
      <c r="C67" s="23"/>
      <c r="D67" s="155"/>
      <c r="E67" s="103">
        <f t="shared" si="1"/>
        <v>0</v>
      </c>
    </row>
    <row r="68" ht="14.25" customHeight="1">
      <c r="A68" s="149"/>
      <c r="B68" s="155"/>
      <c r="C68" s="23"/>
      <c r="D68" s="155"/>
      <c r="E68" s="103">
        <f t="shared" si="1"/>
        <v>0</v>
      </c>
    </row>
    <row r="69" ht="14.25" customHeight="1">
      <c r="A69" s="149"/>
      <c r="B69" s="155"/>
      <c r="C69" s="23"/>
      <c r="D69" s="155"/>
      <c r="E69" s="103">
        <f t="shared" si="1"/>
        <v>0</v>
      </c>
    </row>
    <row r="70" ht="14.25" customHeight="1">
      <c r="A70" s="149"/>
      <c r="B70" s="155"/>
      <c r="C70" s="23"/>
      <c r="D70" s="155"/>
      <c r="E70" s="103">
        <f t="shared" si="1"/>
        <v>0</v>
      </c>
    </row>
    <row r="71" ht="14.25" customHeight="1">
      <c r="A71" s="149"/>
      <c r="B71" s="155"/>
      <c r="C71" s="23"/>
      <c r="D71" s="155"/>
      <c r="E71" s="103">
        <f t="shared" si="1"/>
        <v>0</v>
      </c>
    </row>
    <row r="72" ht="14.25" customHeight="1">
      <c r="A72" s="149"/>
      <c r="B72" s="155"/>
      <c r="C72" s="23"/>
      <c r="D72" s="155"/>
      <c r="E72" s="103">
        <f t="shared" si="1"/>
        <v>0</v>
      </c>
    </row>
    <row r="73" ht="14.25" customHeight="1">
      <c r="A73" s="149"/>
      <c r="B73" s="155"/>
      <c r="C73" s="23"/>
      <c r="D73" s="155"/>
      <c r="E73" s="103">
        <f t="shared" si="1"/>
        <v>0</v>
      </c>
    </row>
    <row r="74" ht="14.25" customHeight="1">
      <c r="A74" s="149"/>
      <c r="B74" s="155"/>
      <c r="C74" s="23"/>
      <c r="D74" s="155"/>
      <c r="E74" s="103">
        <f t="shared" si="1"/>
        <v>0</v>
      </c>
    </row>
    <row r="75" ht="14.25" customHeight="1">
      <c r="A75" s="149"/>
      <c r="B75" s="155"/>
      <c r="C75" s="23"/>
      <c r="D75" s="155"/>
      <c r="E75" s="103">
        <f t="shared" si="1"/>
        <v>0</v>
      </c>
    </row>
    <row r="76" ht="14.25" customHeight="1">
      <c r="A76" s="149"/>
      <c r="B76" s="155"/>
      <c r="C76" s="23"/>
      <c r="D76" s="155"/>
      <c r="E76" s="103">
        <f t="shared" si="1"/>
        <v>0</v>
      </c>
    </row>
    <row r="77" ht="14.25" customHeight="1">
      <c r="A77" s="149"/>
      <c r="B77" s="155"/>
      <c r="C77" s="23"/>
      <c r="D77" s="155"/>
      <c r="E77" s="103">
        <f t="shared" si="1"/>
        <v>0</v>
      </c>
    </row>
    <row r="78" ht="14.25" customHeight="1">
      <c r="A78" s="149"/>
      <c r="B78" s="155"/>
      <c r="C78" s="23"/>
      <c r="D78" s="155"/>
      <c r="E78" s="103">
        <f t="shared" si="1"/>
        <v>0</v>
      </c>
    </row>
    <row r="79" ht="14.25" customHeight="1">
      <c r="A79" s="149"/>
      <c r="B79" s="155"/>
      <c r="C79" s="23"/>
      <c r="D79" s="155"/>
      <c r="E79" s="103">
        <f t="shared" si="1"/>
        <v>0</v>
      </c>
    </row>
    <row r="80" ht="14.25" customHeight="1">
      <c r="A80" s="149"/>
      <c r="B80" s="155"/>
      <c r="C80" s="23"/>
      <c r="D80" s="155"/>
      <c r="E80" s="103">
        <f t="shared" si="1"/>
        <v>0</v>
      </c>
    </row>
    <row r="81" ht="14.25" customHeight="1">
      <c r="A81" s="149"/>
      <c r="B81" s="155"/>
      <c r="C81" s="23"/>
      <c r="D81" s="155"/>
      <c r="E81" s="103">
        <f t="shared" si="1"/>
        <v>0</v>
      </c>
    </row>
    <row r="82" ht="14.25" customHeight="1">
      <c r="A82" s="149"/>
      <c r="B82" s="155"/>
      <c r="C82" s="23"/>
      <c r="D82" s="155"/>
      <c r="E82" s="103">
        <f t="shared" si="1"/>
        <v>0</v>
      </c>
    </row>
    <row r="83" ht="14.25" customHeight="1">
      <c r="A83" s="149"/>
      <c r="B83" s="155"/>
      <c r="C83" s="23"/>
      <c r="D83" s="155"/>
      <c r="E83" s="103">
        <f t="shared" si="1"/>
        <v>0</v>
      </c>
    </row>
    <row r="84" ht="14.25" customHeight="1">
      <c r="A84" s="149"/>
      <c r="B84" s="155"/>
      <c r="C84" s="23"/>
      <c r="D84" s="155"/>
      <c r="E84" s="103">
        <f t="shared" si="1"/>
        <v>0</v>
      </c>
    </row>
    <row r="85" ht="14.25" customHeight="1">
      <c r="A85" s="149"/>
      <c r="B85" s="155"/>
      <c r="C85" s="23"/>
      <c r="D85" s="155"/>
      <c r="E85" s="103">
        <f t="shared" si="1"/>
        <v>0</v>
      </c>
    </row>
    <row r="86" ht="14.25" customHeight="1">
      <c r="A86" s="149"/>
      <c r="B86" s="155"/>
      <c r="C86" s="23"/>
      <c r="D86" s="155"/>
      <c r="E86" s="103">
        <f t="shared" si="1"/>
        <v>0</v>
      </c>
    </row>
    <row r="87" ht="14.25" customHeight="1">
      <c r="A87" s="149"/>
      <c r="B87" s="155"/>
      <c r="C87" s="23"/>
      <c r="D87" s="155"/>
      <c r="E87" s="103">
        <f t="shared" si="1"/>
        <v>0</v>
      </c>
    </row>
    <row r="88" ht="14.25" customHeight="1">
      <c r="A88" s="149"/>
      <c r="B88" s="155"/>
      <c r="C88" s="23"/>
      <c r="D88" s="155"/>
      <c r="E88" s="103">
        <f t="shared" si="1"/>
        <v>0</v>
      </c>
    </row>
    <row r="89" ht="14.25" customHeight="1">
      <c r="A89" s="149"/>
      <c r="B89" s="155"/>
      <c r="C89" s="23"/>
      <c r="D89" s="155"/>
      <c r="E89" s="103">
        <f t="shared" si="1"/>
        <v>0</v>
      </c>
    </row>
    <row r="90" ht="14.25" customHeight="1">
      <c r="A90" s="149"/>
      <c r="B90" s="155"/>
      <c r="C90" s="23"/>
      <c r="D90" s="155"/>
      <c r="E90" s="103">
        <f t="shared" si="1"/>
        <v>0</v>
      </c>
    </row>
    <row r="91" ht="14.25" customHeight="1">
      <c r="A91" s="149"/>
      <c r="B91" s="155"/>
      <c r="C91" s="23"/>
      <c r="D91" s="155"/>
      <c r="E91" s="103">
        <f t="shared" si="1"/>
        <v>0</v>
      </c>
    </row>
    <row r="92" ht="14.25" customHeight="1">
      <c r="A92" s="149"/>
      <c r="B92" s="155"/>
      <c r="C92" s="23"/>
      <c r="D92" s="155"/>
      <c r="E92" s="103">
        <f t="shared" si="1"/>
        <v>0</v>
      </c>
    </row>
    <row r="93" ht="14.25" customHeight="1">
      <c r="A93" s="149"/>
      <c r="B93" s="155"/>
      <c r="C93" s="23"/>
      <c r="D93" s="155"/>
      <c r="E93" s="103">
        <f t="shared" si="1"/>
        <v>0</v>
      </c>
    </row>
    <row r="94" ht="15.0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3B52"/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35.5"/>
    <col customWidth="1" min="3" max="3" width="19.5"/>
    <col customWidth="1" min="4" max="4" width="60.5"/>
    <col customWidth="1" min="5" max="5" width="31.13"/>
    <col customWidth="1" min="6" max="6" width="23.13"/>
  </cols>
  <sheetData>
    <row r="1" ht="21.75" customHeight="1">
      <c r="A1" s="140" t="s">
        <v>1946</v>
      </c>
    </row>
    <row r="2" ht="14.25" customHeight="1">
      <c r="A2" s="141" t="s">
        <v>1948</v>
      </c>
    </row>
    <row r="3" ht="14.25" customHeight="1"/>
    <row r="4" ht="14.25" customHeight="1">
      <c r="A4" s="98" t="s">
        <v>1598</v>
      </c>
      <c r="B4" s="98" t="s">
        <v>1605</v>
      </c>
      <c r="C4" s="98" t="s">
        <v>1189</v>
      </c>
      <c r="D4" s="98" t="s">
        <v>1950</v>
      </c>
      <c r="E4" s="98" t="s">
        <v>1951</v>
      </c>
      <c r="F4" s="98" t="s">
        <v>22</v>
      </c>
    </row>
    <row r="5" ht="25.5" customHeight="1">
      <c r="A5" s="188">
        <v>1.0</v>
      </c>
      <c r="B5" s="149" t="s">
        <v>1956</v>
      </c>
      <c r="C5" s="155" t="s">
        <v>1957</v>
      </c>
      <c r="D5" s="23" t="s">
        <v>1958</v>
      </c>
      <c r="E5" s="23" t="s">
        <v>1959</v>
      </c>
      <c r="F5" s="155" t="s">
        <v>1960</v>
      </c>
    </row>
    <row r="6" ht="25.5" customHeight="1">
      <c r="A6" s="188">
        <v>2.0</v>
      </c>
      <c r="B6" s="149" t="s">
        <v>1962</v>
      </c>
      <c r="C6" s="155" t="s">
        <v>1957</v>
      </c>
      <c r="D6" s="23" t="s">
        <v>1964</v>
      </c>
      <c r="E6" s="23" t="s">
        <v>1965</v>
      </c>
      <c r="F6" s="155" t="s">
        <v>1960</v>
      </c>
    </row>
    <row r="7" ht="25.5" customHeight="1">
      <c r="A7" s="188">
        <v>3.0</v>
      </c>
      <c r="B7" s="149" t="s">
        <v>1966</v>
      </c>
      <c r="C7" s="155" t="s">
        <v>1967</v>
      </c>
      <c r="D7" s="23" t="s">
        <v>1968</v>
      </c>
      <c r="E7" s="23" t="s">
        <v>1969</v>
      </c>
      <c r="F7" s="189" t="s">
        <v>1971</v>
      </c>
    </row>
    <row r="8" ht="25.5" customHeight="1">
      <c r="A8" s="188">
        <v>4.0</v>
      </c>
      <c r="B8" s="149" t="s">
        <v>1973</v>
      </c>
      <c r="C8" s="155" t="s">
        <v>1974</v>
      </c>
      <c r="D8" s="23" t="s">
        <v>1975</v>
      </c>
      <c r="E8" s="23" t="s">
        <v>1976</v>
      </c>
      <c r="F8" s="155" t="s">
        <v>1960</v>
      </c>
    </row>
    <row r="9" ht="25.5" customHeight="1">
      <c r="A9" s="188">
        <v>5.0</v>
      </c>
      <c r="B9" s="149" t="s">
        <v>1977</v>
      </c>
      <c r="C9" s="155" t="s">
        <v>1974</v>
      </c>
      <c r="D9" s="23" t="s">
        <v>1980</v>
      </c>
      <c r="E9" s="23" t="s">
        <v>1981</v>
      </c>
      <c r="F9" s="155" t="s">
        <v>1960</v>
      </c>
    </row>
    <row r="10" ht="25.5" customHeight="1">
      <c r="A10" s="188">
        <v>6.0</v>
      </c>
      <c r="B10" s="149" t="s">
        <v>1982</v>
      </c>
      <c r="C10" s="155" t="s">
        <v>1974</v>
      </c>
      <c r="D10" s="23" t="s">
        <v>1983</v>
      </c>
      <c r="E10" s="23" t="s">
        <v>1985</v>
      </c>
      <c r="F10" s="155" t="s">
        <v>1960</v>
      </c>
    </row>
    <row r="11" ht="25.5" customHeight="1">
      <c r="A11" s="188">
        <v>7.0</v>
      </c>
      <c r="B11" s="149" t="s">
        <v>1987</v>
      </c>
      <c r="C11" s="155" t="s">
        <v>1974</v>
      </c>
      <c r="D11" s="23" t="s">
        <v>1988</v>
      </c>
      <c r="E11" s="23" t="s">
        <v>1989</v>
      </c>
      <c r="F11" s="155" t="s">
        <v>1960</v>
      </c>
    </row>
    <row r="12" ht="25.5" customHeight="1">
      <c r="A12" s="188">
        <v>8.0</v>
      </c>
      <c r="B12" s="149" t="s">
        <v>1990</v>
      </c>
      <c r="C12" s="155" t="s">
        <v>1974</v>
      </c>
      <c r="D12" s="23" t="s">
        <v>1993</v>
      </c>
      <c r="E12" s="23" t="s">
        <v>1994</v>
      </c>
      <c r="F12" s="155" t="s">
        <v>1960</v>
      </c>
    </row>
    <row r="13" ht="25.5" customHeight="1">
      <c r="A13" s="188">
        <v>9.0</v>
      </c>
      <c r="B13" s="149" t="s">
        <v>1995</v>
      </c>
      <c r="C13" s="155" t="s">
        <v>1996</v>
      </c>
      <c r="D13" s="23" t="s">
        <v>1997</v>
      </c>
      <c r="E13" s="23" t="s">
        <v>1998</v>
      </c>
      <c r="F13" s="155" t="s">
        <v>1960</v>
      </c>
    </row>
    <row r="14" ht="25.5" customHeight="1">
      <c r="A14" s="188">
        <v>10.0</v>
      </c>
      <c r="B14" s="149" t="s">
        <v>2001</v>
      </c>
      <c r="C14" s="155" t="s">
        <v>2003</v>
      </c>
      <c r="D14" s="23" t="s">
        <v>2004</v>
      </c>
      <c r="E14" s="23" t="s">
        <v>2005</v>
      </c>
      <c r="F14" s="155" t="s">
        <v>1960</v>
      </c>
    </row>
    <row r="15" ht="25.5" customHeight="1">
      <c r="A15" s="188">
        <v>11.0</v>
      </c>
      <c r="B15" s="149" t="s">
        <v>2006</v>
      </c>
      <c r="C15" s="155" t="s">
        <v>2007</v>
      </c>
      <c r="D15" s="23" t="s">
        <v>2009</v>
      </c>
      <c r="E15" s="23" t="s">
        <v>2010</v>
      </c>
      <c r="F15" s="155" t="s">
        <v>1960</v>
      </c>
    </row>
    <row r="16" ht="25.5" customHeight="1">
      <c r="A16" s="188">
        <v>12.0</v>
      </c>
      <c r="B16" s="149" t="s">
        <v>2011</v>
      </c>
      <c r="C16" s="155" t="s">
        <v>2012</v>
      </c>
      <c r="D16" s="23" t="s">
        <v>2013</v>
      </c>
      <c r="E16" s="23" t="s">
        <v>2014</v>
      </c>
      <c r="F16" s="155" t="s">
        <v>1960</v>
      </c>
    </row>
    <row r="17" ht="25.5" customHeight="1">
      <c r="A17" s="188">
        <v>13.0</v>
      </c>
      <c r="B17" s="149" t="s">
        <v>2015</v>
      </c>
      <c r="C17" s="155" t="s">
        <v>2016</v>
      </c>
      <c r="D17" s="23" t="s">
        <v>2017</v>
      </c>
      <c r="E17" s="23" t="s">
        <v>2018</v>
      </c>
      <c r="F17" s="155" t="s">
        <v>1960</v>
      </c>
    </row>
    <row r="18" ht="25.5" customHeight="1">
      <c r="A18" s="192">
        <v>14.0</v>
      </c>
      <c r="B18" s="193" t="s">
        <v>2019</v>
      </c>
      <c r="C18" s="194" t="s">
        <v>2020</v>
      </c>
      <c r="D18" s="79" t="s">
        <v>2021</v>
      </c>
      <c r="E18" s="79" t="s">
        <v>2022</v>
      </c>
      <c r="F18" s="194" t="s">
        <v>1960</v>
      </c>
    </row>
    <row r="19" ht="25.5" customHeight="1">
      <c r="A19" s="195">
        <v>15.0</v>
      </c>
      <c r="B19" s="197" t="s">
        <v>2023</v>
      </c>
      <c r="C19" s="198" t="s">
        <v>1974</v>
      </c>
      <c r="D19" s="80" t="s">
        <v>2025</v>
      </c>
      <c r="E19" s="80" t="s">
        <v>2026</v>
      </c>
      <c r="F19" s="194" t="s">
        <v>1960</v>
      </c>
    </row>
    <row r="20" ht="25.5" customHeight="1">
      <c r="A20" s="199">
        <v>16.0</v>
      </c>
      <c r="B20" s="200" t="s">
        <v>2029</v>
      </c>
      <c r="C20" s="201" t="s">
        <v>2030</v>
      </c>
      <c r="D20" s="75" t="s">
        <v>2031</v>
      </c>
      <c r="E20" s="75" t="s">
        <v>2032</v>
      </c>
      <c r="F20" s="155" t="s">
        <v>1960</v>
      </c>
    </row>
    <row r="21" ht="14.25" customHeight="1"/>
    <row r="22" ht="14.25" customHeight="1">
      <c r="A22" s="202" t="s">
        <v>2033</v>
      </c>
      <c r="B22" s="2"/>
      <c r="C22" s="2"/>
      <c r="D22" s="2"/>
      <c r="E22" s="2"/>
      <c r="F22" s="4"/>
    </row>
    <row r="23" ht="14.25" customHeight="1">
      <c r="A23" s="203" t="s">
        <v>2036</v>
      </c>
      <c r="B23" s="203" t="s">
        <v>2037</v>
      </c>
      <c r="C23" s="203" t="s">
        <v>2038</v>
      </c>
    </row>
    <row r="24" ht="14.25" customHeight="1">
      <c r="A24" s="204" t="s">
        <v>2039</v>
      </c>
      <c r="B24" s="205">
        <v>1.0</v>
      </c>
      <c r="C24" s="71">
        <v>2.4</v>
      </c>
    </row>
    <row r="25" ht="14.25" customHeight="1">
      <c r="A25" s="204" t="s">
        <v>2042</v>
      </c>
      <c r="B25" s="205">
        <v>2.0</v>
      </c>
      <c r="C25" s="71">
        <v>2.5</v>
      </c>
    </row>
    <row r="26" ht="14.25" customHeight="1">
      <c r="A26" s="204" t="s">
        <v>2043</v>
      </c>
      <c r="B26" s="205">
        <v>3.0</v>
      </c>
      <c r="C26" s="71">
        <v>2.6</v>
      </c>
    </row>
    <row r="27" ht="14.25" customHeight="1">
      <c r="A27" s="204" t="s">
        <v>2045</v>
      </c>
      <c r="B27" s="205">
        <v>4.0</v>
      </c>
      <c r="C27" s="71">
        <v>2.7</v>
      </c>
    </row>
    <row r="28" ht="14.25" customHeight="1">
      <c r="A28" s="204" t="s">
        <v>2046</v>
      </c>
      <c r="B28" s="205">
        <v>5.0</v>
      </c>
      <c r="C28" s="71">
        <v>2.8</v>
      </c>
    </row>
    <row r="29" ht="14.25" customHeight="1">
      <c r="A29" s="204" t="s">
        <v>2047</v>
      </c>
      <c r="B29" s="205">
        <v>6.0</v>
      </c>
      <c r="C29" s="71">
        <v>2.9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:F2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3B52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8.88"/>
    <col customWidth="1" min="3" max="3" width="56.25"/>
    <col customWidth="1" min="4" max="4" width="18.38"/>
    <col customWidth="1" min="5" max="5" width="14.0"/>
    <col customWidth="1" min="6" max="6" width="14.5"/>
  </cols>
  <sheetData>
    <row r="1" ht="21.75" customHeight="1">
      <c r="A1" s="213" t="s">
        <v>2067</v>
      </c>
      <c r="B1" s="5"/>
      <c r="C1" s="5"/>
      <c r="D1" s="5"/>
      <c r="E1" s="5"/>
      <c r="F1" s="5"/>
    </row>
    <row r="2" ht="14.25" customHeight="1">
      <c r="A2" s="215" t="s">
        <v>2070</v>
      </c>
      <c r="B2" s="5"/>
      <c r="C2" s="5"/>
      <c r="D2" s="5"/>
      <c r="E2" s="5"/>
      <c r="F2" s="5"/>
    </row>
    <row r="3" ht="14.25" customHeight="1">
      <c r="A3" s="215" t="s">
        <v>2071</v>
      </c>
      <c r="B3" s="5"/>
      <c r="C3" s="5"/>
      <c r="D3" s="5"/>
      <c r="E3" s="5"/>
      <c r="F3" s="5"/>
    </row>
    <row r="4" ht="14.25" customHeight="1"/>
    <row r="5" ht="14.25" customHeight="1">
      <c r="A5" s="98" t="s">
        <v>1598</v>
      </c>
      <c r="B5" s="98" t="s">
        <v>2072</v>
      </c>
      <c r="C5" s="98" t="s">
        <v>2073</v>
      </c>
      <c r="D5" s="99" t="s">
        <v>2074</v>
      </c>
      <c r="E5" s="99" t="s">
        <v>2076</v>
      </c>
      <c r="F5" s="98" t="s">
        <v>2078</v>
      </c>
    </row>
    <row r="6" ht="14.25" customHeight="1">
      <c r="A6" s="155">
        <v>1.0</v>
      </c>
      <c r="B6" s="149" t="s">
        <v>2080</v>
      </c>
      <c r="C6" s="23" t="s">
        <v>2081</v>
      </c>
      <c r="D6" s="222">
        <v>8000.0</v>
      </c>
      <c r="E6" s="223">
        <v>0.1</v>
      </c>
      <c r="F6" s="224">
        <f t="shared" ref="F6:F12" si="1">IF($E6="","",D6*E6)</f>
        <v>800</v>
      </c>
    </row>
    <row r="7" ht="14.25" customHeight="1">
      <c r="A7" s="155">
        <v>2.0</v>
      </c>
      <c r="B7" s="149" t="s">
        <v>2092</v>
      </c>
      <c r="C7" s="23" t="s">
        <v>2094</v>
      </c>
      <c r="D7" s="222">
        <v>2000.0</v>
      </c>
      <c r="E7" s="223">
        <v>0.1</v>
      </c>
      <c r="F7" s="224">
        <f t="shared" si="1"/>
        <v>200</v>
      </c>
    </row>
    <row r="8" ht="14.25" customHeight="1">
      <c r="A8" s="155">
        <v>3.0</v>
      </c>
      <c r="B8" s="149" t="s">
        <v>534</v>
      </c>
      <c r="C8" s="23" t="s">
        <v>2095</v>
      </c>
      <c r="D8" s="222">
        <v>1500.0</v>
      </c>
      <c r="E8" s="223">
        <v>0.1</v>
      </c>
      <c r="F8" s="224">
        <f t="shared" si="1"/>
        <v>150</v>
      </c>
    </row>
    <row r="9" ht="14.25" customHeight="1">
      <c r="A9" s="155">
        <v>4.0</v>
      </c>
      <c r="B9" s="149" t="s">
        <v>2099</v>
      </c>
      <c r="C9" s="23" t="s">
        <v>2100</v>
      </c>
      <c r="D9" s="222">
        <v>1000.0</v>
      </c>
      <c r="E9" s="223">
        <v>0.1</v>
      </c>
      <c r="F9" s="224">
        <f t="shared" si="1"/>
        <v>100</v>
      </c>
    </row>
    <row r="10" ht="14.25" customHeight="1">
      <c r="A10" s="155">
        <v>5.0</v>
      </c>
      <c r="B10" s="149" t="s">
        <v>2103</v>
      </c>
      <c r="C10" s="23" t="s">
        <v>2104</v>
      </c>
      <c r="D10" s="222">
        <v>1200.0</v>
      </c>
      <c r="E10" s="223">
        <v>0.1</v>
      </c>
      <c r="F10" s="224">
        <f t="shared" si="1"/>
        <v>120</v>
      </c>
    </row>
    <row r="11" ht="14.25" customHeight="1">
      <c r="A11" s="155">
        <v>6.0</v>
      </c>
      <c r="B11" s="149" t="s">
        <v>1394</v>
      </c>
      <c r="C11" s="23" t="s">
        <v>2108</v>
      </c>
      <c r="D11" s="222">
        <v>500.0</v>
      </c>
      <c r="E11" s="223">
        <v>0.1</v>
      </c>
      <c r="F11" s="224">
        <f t="shared" si="1"/>
        <v>50</v>
      </c>
    </row>
    <row r="12" ht="14.25" customHeight="1">
      <c r="A12" s="155">
        <v>7.0</v>
      </c>
      <c r="B12" s="149" t="s">
        <v>2111</v>
      </c>
      <c r="C12" s="23" t="s">
        <v>2113</v>
      </c>
      <c r="D12" s="222">
        <v>250.0</v>
      </c>
      <c r="E12" s="223">
        <v>0.1</v>
      </c>
      <c r="F12" s="224">
        <f t="shared" si="1"/>
        <v>25</v>
      </c>
    </row>
    <row r="13" ht="14.25" customHeight="1">
      <c r="A13" s="188" t="s">
        <v>2117</v>
      </c>
      <c r="B13" s="149" t="s">
        <v>2118</v>
      </c>
      <c r="C13" s="23"/>
      <c r="D13" s="225">
        <f>SUM(D6:D12)</f>
        <v>14450</v>
      </c>
      <c r="E13" s="226">
        <f>IF(D13=0,"",F13/D13)</f>
        <v>0.1</v>
      </c>
      <c r="F13" s="225">
        <f>SUM(F6:F12)</f>
        <v>1445</v>
      </c>
    </row>
    <row r="14" ht="14.25" customHeight="1"/>
    <row r="15" ht="14.25" customHeight="1">
      <c r="A15" s="227" t="s">
        <v>2128</v>
      </c>
      <c r="B15" s="228"/>
      <c r="C15" s="228"/>
      <c r="D15" s="229">
        <f>D13+F13</f>
        <v>15895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3" width="17.75"/>
    <col customWidth="1" min="4" max="4" width="22.0"/>
    <col customWidth="1" min="5" max="5" width="17.75"/>
    <col customWidth="1" min="6" max="6" width="30.0"/>
    <col customWidth="1" min="7" max="7" width="17.75"/>
    <col customWidth="1" min="8" max="8" width="20.0"/>
    <col customWidth="1" min="9" max="9" width="55.38"/>
    <col customWidth="1" min="10" max="10" width="18.0"/>
    <col customWidth="1" min="11" max="18" width="17.75"/>
    <col customWidth="1" min="19" max="19" width="34.0"/>
    <col customWidth="1" min="20" max="20" width="22.0"/>
    <col customWidth="1" min="21" max="21" width="17.75"/>
    <col customWidth="1" min="22" max="23" width="30.0"/>
    <col customWidth="1" min="24" max="24" width="28.0"/>
    <col customWidth="1" min="25" max="25" width="18.0"/>
    <col customWidth="1" min="26" max="26" width="17.75"/>
    <col customWidth="1" min="27" max="27" width="148.63"/>
    <col customWidth="1" min="28" max="28" width="17.75"/>
    <col customWidth="1" min="29" max="30" width="24.0"/>
    <col customWidth="1" min="31" max="31" width="36.5"/>
    <col customWidth="1" min="32" max="35" width="20.0"/>
    <col customWidth="1" min="36" max="36" width="38.75"/>
  </cols>
  <sheetData>
    <row r="1" ht="19.5" customHeight="1">
      <c r="A1" s="147"/>
      <c r="B1" s="230" t="s">
        <v>2131</v>
      </c>
      <c r="C1" s="2"/>
      <c r="D1" s="2"/>
      <c r="E1" s="2"/>
      <c r="F1" s="2"/>
      <c r="G1" s="2"/>
      <c r="H1" s="2"/>
      <c r="I1" s="2"/>
      <c r="J1" s="2"/>
      <c r="K1" s="2"/>
      <c r="L1" s="4"/>
      <c r="M1" s="230" t="s">
        <v>2132</v>
      </c>
      <c r="N1" s="2"/>
      <c r="O1" s="2"/>
      <c r="P1" s="2"/>
      <c r="Q1" s="2"/>
      <c r="R1" s="2"/>
      <c r="S1" s="4"/>
      <c r="T1" s="230" t="s">
        <v>2133</v>
      </c>
      <c r="U1" s="2"/>
      <c r="V1" s="2"/>
      <c r="W1" s="2"/>
      <c r="X1" s="2"/>
      <c r="Y1" s="2"/>
      <c r="Z1" s="4"/>
      <c r="AA1" s="232" t="s">
        <v>2135</v>
      </c>
      <c r="AB1" s="233" t="s">
        <v>2138</v>
      </c>
      <c r="AC1" s="85"/>
      <c r="AD1" s="85"/>
      <c r="AE1" s="86"/>
      <c r="AF1" s="147"/>
      <c r="AG1" s="147"/>
      <c r="AH1" s="147"/>
      <c r="AI1" s="147"/>
      <c r="AJ1" s="147"/>
    </row>
    <row r="2" ht="42.0" customHeight="1">
      <c r="A2" s="231" t="s">
        <v>2134</v>
      </c>
      <c r="B2" s="231" t="s">
        <v>2136</v>
      </c>
      <c r="C2" s="231" t="s">
        <v>2137</v>
      </c>
      <c r="D2" s="231" t="s">
        <v>2152</v>
      </c>
      <c r="E2" s="231" t="s">
        <v>8</v>
      </c>
      <c r="F2" s="231" t="s">
        <v>2143</v>
      </c>
      <c r="G2" s="231" t="s">
        <v>2157</v>
      </c>
      <c r="H2" s="231" t="s">
        <v>2160</v>
      </c>
      <c r="I2" s="231" t="s">
        <v>2146</v>
      </c>
      <c r="J2" s="231" t="s">
        <v>2144</v>
      </c>
      <c r="K2" s="231" t="s">
        <v>2164</v>
      </c>
      <c r="L2" s="231" t="s">
        <v>2166</v>
      </c>
      <c r="M2" s="231" t="s">
        <v>2167</v>
      </c>
      <c r="N2" s="231" t="s">
        <v>2169</v>
      </c>
      <c r="O2" s="231" t="s">
        <v>2171</v>
      </c>
      <c r="P2" s="231" t="s">
        <v>2173</v>
      </c>
      <c r="Q2" s="231" t="s">
        <v>2174</v>
      </c>
      <c r="R2" s="231" t="s">
        <v>2175</v>
      </c>
      <c r="S2" s="231" t="s">
        <v>2135</v>
      </c>
      <c r="T2" s="231" t="s">
        <v>2177</v>
      </c>
      <c r="U2" s="231" t="s">
        <v>2178</v>
      </c>
      <c r="V2" s="231" t="s">
        <v>2179</v>
      </c>
      <c r="W2" s="231" t="s">
        <v>2180</v>
      </c>
      <c r="X2" s="231" t="s">
        <v>2181</v>
      </c>
      <c r="Y2" s="231" t="s">
        <v>2182</v>
      </c>
      <c r="Z2" s="231" t="s">
        <v>2183</v>
      </c>
      <c r="AA2" s="231" t="s">
        <v>2184</v>
      </c>
      <c r="AB2" s="231" t="s">
        <v>2185</v>
      </c>
      <c r="AC2" s="231" t="s">
        <v>2150</v>
      </c>
      <c r="AD2" s="231" t="s">
        <v>2186</v>
      </c>
      <c r="AE2" s="238" t="s">
        <v>2158</v>
      </c>
      <c r="AF2" s="231" t="s">
        <v>2187</v>
      </c>
      <c r="AG2" s="231" t="s">
        <v>2161</v>
      </c>
      <c r="AH2" s="231" t="s">
        <v>27</v>
      </c>
      <c r="AI2" s="231" t="s">
        <v>2162</v>
      </c>
      <c r="AJ2" s="231" t="s">
        <v>2188</v>
      </c>
    </row>
    <row r="3" ht="15.0" hidden="1" customHeight="1">
      <c r="A3" s="239" t="s">
        <v>2172</v>
      </c>
      <c r="B3" s="239" t="s">
        <v>1052</v>
      </c>
      <c r="C3" s="239" t="s">
        <v>2189</v>
      </c>
      <c r="D3" s="239" t="s">
        <v>130</v>
      </c>
      <c r="E3" s="239" t="str">
        <f t="array" ref="E3">IFERROR(INDEX(REF_CODES!$B$8:$B$13,MATCH($D3,REF_CODES!$C$8:$C$13,0)),"")</f>
        <v>HB-INC</v>
      </c>
      <c r="F3" s="239" t="s">
        <v>2197</v>
      </c>
      <c r="G3" s="239" t="s">
        <v>2198</v>
      </c>
      <c r="H3" s="240" t="s">
        <v>157</v>
      </c>
      <c r="I3" s="239" t="s">
        <v>2199</v>
      </c>
      <c r="J3" s="239" t="s">
        <v>2200</v>
      </c>
      <c r="K3" s="239">
        <v>108.0</v>
      </c>
      <c r="L3" s="239" t="s">
        <v>2201</v>
      </c>
      <c r="M3" s="241">
        <v>285.0</v>
      </c>
      <c r="N3" s="241">
        <v>465.0</v>
      </c>
      <c r="O3" s="241">
        <v>525.0</v>
      </c>
      <c r="P3" s="241">
        <v>725.0</v>
      </c>
      <c r="Q3" s="241" t="s">
        <v>2204</v>
      </c>
      <c r="R3" s="241" t="s">
        <v>2204</v>
      </c>
      <c r="S3" s="239" t="s">
        <v>2204</v>
      </c>
      <c r="T3" s="239" t="s">
        <v>2206</v>
      </c>
      <c r="U3" s="242" t="s">
        <v>2208</v>
      </c>
      <c r="V3" s="239" t="s">
        <v>2210</v>
      </c>
      <c r="W3" s="242" t="s">
        <v>2211</v>
      </c>
      <c r="X3" s="239" t="s">
        <v>2212</v>
      </c>
      <c r="Y3" s="239" t="s">
        <v>2213</v>
      </c>
      <c r="Z3" s="239" t="s">
        <v>2214</v>
      </c>
      <c r="AA3" s="239" t="s">
        <v>2215</v>
      </c>
      <c r="AB3" s="244" t="s">
        <v>202</v>
      </c>
      <c r="AC3" s="244" t="s">
        <v>90</v>
      </c>
      <c r="AD3" s="215" t="s">
        <v>2217</v>
      </c>
      <c r="AE3" s="244" t="s">
        <v>477</v>
      </c>
      <c r="AF3" s="245" t="s">
        <v>2218</v>
      </c>
      <c r="AG3" s="240" t="s">
        <v>138</v>
      </c>
      <c r="AH3" s="240" t="s">
        <v>41</v>
      </c>
      <c r="AI3" s="240" t="s">
        <v>207</v>
      </c>
      <c r="AJ3" s="240" t="s">
        <v>2219</v>
      </c>
    </row>
    <row r="4" ht="15.0" hidden="1" customHeight="1">
      <c r="A4" s="239" t="s">
        <v>2172</v>
      </c>
      <c r="B4" s="239" t="s">
        <v>1052</v>
      </c>
      <c r="C4" s="239" t="s">
        <v>2220</v>
      </c>
      <c r="D4" s="239" t="s">
        <v>130</v>
      </c>
      <c r="E4" s="239" t="str">
        <f t="array" ref="E4">IFERROR(INDEX(REF_CODES!$B$8:$B$13,MATCH($D4,REF_CODES!$C$8:$C$13,0)),"")</f>
        <v>HB-INC</v>
      </c>
      <c r="F4" s="239" t="s">
        <v>2222</v>
      </c>
      <c r="G4" s="239" t="s">
        <v>2198</v>
      </c>
      <c r="H4" s="240" t="s">
        <v>165</v>
      </c>
      <c r="I4" s="247" t="s">
        <v>2223</v>
      </c>
      <c r="J4" s="239" t="s">
        <v>2224</v>
      </c>
      <c r="K4" s="239">
        <v>252.0</v>
      </c>
      <c r="L4" s="239" t="s">
        <v>2201</v>
      </c>
      <c r="M4" s="241">
        <v>367.0</v>
      </c>
      <c r="N4" s="241">
        <v>518.0</v>
      </c>
      <c r="O4" s="241">
        <v>647.0</v>
      </c>
      <c r="P4" s="241" t="s">
        <v>2204</v>
      </c>
      <c r="Q4" s="241" t="s">
        <v>2227</v>
      </c>
      <c r="R4" s="241">
        <v>1600.0</v>
      </c>
      <c r="S4" s="239" t="s">
        <v>2204</v>
      </c>
      <c r="T4" s="239" t="s">
        <v>2229</v>
      </c>
      <c r="U4" s="242" t="s">
        <v>2208</v>
      </c>
      <c r="V4" s="247" t="s">
        <v>2231</v>
      </c>
      <c r="W4" s="247" t="s">
        <v>2232</v>
      </c>
      <c r="X4" s="239" t="s">
        <v>2233</v>
      </c>
      <c r="Y4" s="239" t="s">
        <v>2234</v>
      </c>
      <c r="Z4" s="239" t="s">
        <v>2235</v>
      </c>
      <c r="AA4" s="239" t="s">
        <v>2236</v>
      </c>
      <c r="AB4" s="244" t="s">
        <v>202</v>
      </c>
      <c r="AC4" s="244" t="s">
        <v>90</v>
      </c>
      <c r="AD4" s="215" t="s">
        <v>2238</v>
      </c>
      <c r="AE4" s="244" t="s">
        <v>477</v>
      </c>
      <c r="AF4" s="245" t="s">
        <v>2218</v>
      </c>
      <c r="AG4" s="240" t="s">
        <v>149</v>
      </c>
      <c r="AH4" s="240" t="s">
        <v>55</v>
      </c>
      <c r="AI4" s="240" t="s">
        <v>207</v>
      </c>
      <c r="AJ4" s="240" t="s">
        <v>2240</v>
      </c>
    </row>
    <row r="5" ht="15.0" hidden="1" customHeight="1">
      <c r="A5" s="239" t="s">
        <v>2172</v>
      </c>
      <c r="B5" s="239" t="s">
        <v>1052</v>
      </c>
      <c r="C5" s="239" t="s">
        <v>2242</v>
      </c>
      <c r="D5" s="239" t="s">
        <v>130</v>
      </c>
      <c r="E5" s="239" t="str">
        <f t="array" ref="E5">IFERROR(INDEX(REF_CODES!$B$8:$B$13,MATCH($D5,REF_CODES!$C$8:$C$13,0)),"")</f>
        <v>HB-INC</v>
      </c>
      <c r="F5" s="239" t="s">
        <v>2248</v>
      </c>
      <c r="G5" s="239" t="s">
        <v>2198</v>
      </c>
      <c r="H5" s="240" t="s">
        <v>160</v>
      </c>
      <c r="I5" s="239" t="s">
        <v>2249</v>
      </c>
      <c r="J5" s="239" t="s">
        <v>2224</v>
      </c>
      <c r="K5" s="239">
        <v>145.0</v>
      </c>
      <c r="L5" s="239" t="s">
        <v>2252</v>
      </c>
      <c r="M5" s="241">
        <v>300.0</v>
      </c>
      <c r="N5" s="241">
        <v>400.0</v>
      </c>
      <c r="O5" s="241">
        <v>600.0</v>
      </c>
      <c r="P5" s="241">
        <v>900.0</v>
      </c>
      <c r="Q5" s="241" t="s">
        <v>2254</v>
      </c>
      <c r="R5" s="241">
        <v>1200.0</v>
      </c>
      <c r="S5" s="239" t="s">
        <v>2256</v>
      </c>
      <c r="T5" s="239" t="s">
        <v>2258</v>
      </c>
      <c r="U5" s="242" t="s">
        <v>2208</v>
      </c>
      <c r="V5" s="239" t="s">
        <v>2260</v>
      </c>
      <c r="W5" s="242" t="s">
        <v>2211</v>
      </c>
      <c r="X5" s="239" t="s">
        <v>2262</v>
      </c>
      <c r="Y5" s="242" t="s">
        <v>2211</v>
      </c>
      <c r="Z5" s="239" t="s">
        <v>2264</v>
      </c>
      <c r="AA5" s="239" t="s">
        <v>2265</v>
      </c>
      <c r="AB5" s="244" t="s">
        <v>202</v>
      </c>
      <c r="AC5" s="244" t="s">
        <v>90</v>
      </c>
      <c r="AD5" s="215" t="s">
        <v>2217</v>
      </c>
      <c r="AE5" s="244" t="s">
        <v>477</v>
      </c>
      <c r="AF5" s="245" t="s">
        <v>2218</v>
      </c>
      <c r="AG5" s="240" t="s">
        <v>138</v>
      </c>
      <c r="AH5" s="240" t="s">
        <v>41</v>
      </c>
      <c r="AI5" s="240" t="s">
        <v>2207</v>
      </c>
      <c r="AJ5" s="240" t="s">
        <v>2219</v>
      </c>
    </row>
    <row r="6" ht="15.0" hidden="1" customHeight="1">
      <c r="A6" s="239" t="s">
        <v>2172</v>
      </c>
      <c r="B6" s="239" t="s">
        <v>1052</v>
      </c>
      <c r="C6" s="239" t="s">
        <v>2271</v>
      </c>
      <c r="D6" s="239" t="s">
        <v>127</v>
      </c>
      <c r="E6" s="239" t="str">
        <f t="array" ref="E6">IFERROR(INDEX(REF_CODES!$B$8:$B$13,MATCH($D6,REF_CODES!$C$8:$C$13,0)),"")</f>
        <v>HB-HOT</v>
      </c>
      <c r="F6" s="239" t="s">
        <v>2278</v>
      </c>
      <c r="G6" s="239" t="s">
        <v>2198</v>
      </c>
      <c r="H6" s="240" t="s">
        <v>165</v>
      </c>
      <c r="I6" s="239" t="s">
        <v>2279</v>
      </c>
      <c r="J6" s="239" t="s">
        <v>2280</v>
      </c>
      <c r="K6" s="239">
        <v>130.0</v>
      </c>
      <c r="L6" s="239" t="s">
        <v>2252</v>
      </c>
      <c r="M6" s="241">
        <v>550.0</v>
      </c>
      <c r="N6" s="241" t="s">
        <v>2204</v>
      </c>
      <c r="O6" s="241">
        <v>700.0</v>
      </c>
      <c r="P6" s="241" t="s">
        <v>2204</v>
      </c>
      <c r="Q6" s="241" t="s">
        <v>2281</v>
      </c>
      <c r="R6" s="241">
        <v>1800.0</v>
      </c>
      <c r="S6" s="239" t="s">
        <v>2282</v>
      </c>
      <c r="T6" s="239" t="s">
        <v>2283</v>
      </c>
      <c r="U6" s="239" t="s">
        <v>2284</v>
      </c>
      <c r="V6" s="239" t="s">
        <v>2286</v>
      </c>
      <c r="W6" s="239" t="s">
        <v>2287</v>
      </c>
      <c r="X6" s="239" t="s">
        <v>2288</v>
      </c>
      <c r="Y6" s="239" t="s">
        <v>2289</v>
      </c>
      <c r="Z6" s="239" t="s">
        <v>2290</v>
      </c>
      <c r="AA6" s="239" t="s">
        <v>2291</v>
      </c>
      <c r="AB6" s="244" t="s">
        <v>202</v>
      </c>
      <c r="AC6" s="244" t="s">
        <v>90</v>
      </c>
      <c r="AD6" s="215" t="s">
        <v>2238</v>
      </c>
      <c r="AE6" s="244" t="s">
        <v>2293</v>
      </c>
      <c r="AF6" s="250" t="s">
        <v>2293</v>
      </c>
      <c r="AG6" s="240" t="s">
        <v>138</v>
      </c>
      <c r="AH6" s="240" t="s">
        <v>41</v>
      </c>
      <c r="AI6" s="240" t="s">
        <v>2207</v>
      </c>
      <c r="AJ6" s="240" t="s">
        <v>2294</v>
      </c>
    </row>
    <row r="7" ht="15.0" hidden="1" customHeight="1">
      <c r="A7" s="239" t="s">
        <v>2172</v>
      </c>
      <c r="B7" s="239" t="s">
        <v>1052</v>
      </c>
      <c r="C7" s="239" t="s">
        <v>2295</v>
      </c>
      <c r="D7" s="239" t="s">
        <v>130</v>
      </c>
      <c r="E7" s="239" t="str">
        <f t="array" ref="E7">IFERROR(INDEX(REF_CODES!$B$8:$B$13,MATCH($D7,REF_CODES!$C$8:$C$13,0)),"")</f>
        <v>HB-INC</v>
      </c>
      <c r="F7" s="239" t="s">
        <v>2296</v>
      </c>
      <c r="G7" s="239" t="s">
        <v>2198</v>
      </c>
      <c r="H7" s="240" t="s">
        <v>165</v>
      </c>
      <c r="I7" s="239" t="s">
        <v>2297</v>
      </c>
      <c r="J7" s="239" t="s">
        <v>2298</v>
      </c>
      <c r="K7" s="239">
        <v>111.0</v>
      </c>
      <c r="L7" s="239" t="s">
        <v>2252</v>
      </c>
      <c r="M7" s="241">
        <v>481.0</v>
      </c>
      <c r="N7" s="241">
        <v>750.0</v>
      </c>
      <c r="O7" s="241">
        <v>900.0</v>
      </c>
      <c r="P7" s="241">
        <v>1000.0</v>
      </c>
      <c r="Q7" s="241">
        <v>1.0</v>
      </c>
      <c r="R7" s="241">
        <v>1200.0</v>
      </c>
      <c r="S7" s="239" t="s">
        <v>2204</v>
      </c>
      <c r="T7" s="239" t="s">
        <v>2299</v>
      </c>
      <c r="U7" s="239" t="s">
        <v>2300</v>
      </c>
      <c r="V7" s="239" t="s">
        <v>2301</v>
      </c>
      <c r="W7" s="239" t="s">
        <v>2302</v>
      </c>
      <c r="X7" s="239" t="s">
        <v>2304</v>
      </c>
      <c r="Y7" s="239" t="s">
        <v>2305</v>
      </c>
      <c r="Z7" s="239" t="s">
        <v>2204</v>
      </c>
      <c r="AA7" s="239" t="s">
        <v>2291</v>
      </c>
      <c r="AB7" s="244" t="s">
        <v>202</v>
      </c>
      <c r="AC7" s="244" t="s">
        <v>90</v>
      </c>
      <c r="AD7" s="215" t="s">
        <v>2238</v>
      </c>
      <c r="AE7" s="244" t="s">
        <v>2293</v>
      </c>
      <c r="AF7" s="250" t="s">
        <v>2293</v>
      </c>
      <c r="AG7" s="240" t="s">
        <v>138</v>
      </c>
      <c r="AH7" s="240" t="s">
        <v>41</v>
      </c>
      <c r="AI7" s="240" t="s">
        <v>2207</v>
      </c>
      <c r="AJ7" s="240" t="s">
        <v>2310</v>
      </c>
    </row>
    <row r="8" ht="15.0" hidden="1" customHeight="1">
      <c r="A8" s="239" t="s">
        <v>2172</v>
      </c>
      <c r="B8" s="239" t="s">
        <v>1052</v>
      </c>
      <c r="C8" s="239" t="s">
        <v>2311</v>
      </c>
      <c r="D8" s="239" t="s">
        <v>130</v>
      </c>
      <c r="E8" s="239" t="str">
        <f t="array" ref="E8">IFERROR(INDEX(REF_CODES!$B$8:$B$13,MATCH($D8,REF_CODES!$C$8:$C$13,0)),"")</f>
        <v>HB-INC</v>
      </c>
      <c r="F8" s="239" t="s">
        <v>2317</v>
      </c>
      <c r="G8" s="239" t="s">
        <v>2198</v>
      </c>
      <c r="H8" s="240" t="s">
        <v>173</v>
      </c>
      <c r="I8" s="239" t="s">
        <v>2319</v>
      </c>
      <c r="J8" s="239" t="s">
        <v>2224</v>
      </c>
      <c r="K8" s="239">
        <v>53.0</v>
      </c>
      <c r="L8" s="239" t="s">
        <v>2252</v>
      </c>
      <c r="M8" s="241">
        <v>2200.0</v>
      </c>
      <c r="N8" s="241">
        <v>2800.0</v>
      </c>
      <c r="O8" s="241">
        <v>3500.0</v>
      </c>
      <c r="P8" s="241" t="s">
        <v>2204</v>
      </c>
      <c r="Q8" s="241" t="s">
        <v>2320</v>
      </c>
      <c r="R8" s="241">
        <v>1500.0</v>
      </c>
      <c r="S8" s="239" t="s">
        <v>2204</v>
      </c>
      <c r="T8" s="239" t="s">
        <v>2321</v>
      </c>
      <c r="U8" s="242" t="s">
        <v>2208</v>
      </c>
      <c r="V8" s="239" t="s">
        <v>2322</v>
      </c>
      <c r="W8" s="239" t="s">
        <v>2323</v>
      </c>
      <c r="X8" s="239" t="s">
        <v>2324</v>
      </c>
      <c r="Y8" s="239" t="s">
        <v>2325</v>
      </c>
      <c r="Z8" s="239" t="s">
        <v>2326</v>
      </c>
      <c r="AA8" s="239" t="s">
        <v>2327</v>
      </c>
      <c r="AB8" s="244" t="s">
        <v>202</v>
      </c>
      <c r="AC8" s="244" t="s">
        <v>90</v>
      </c>
      <c r="AD8" s="215" t="s">
        <v>2217</v>
      </c>
      <c r="AE8" s="244" t="s">
        <v>2328</v>
      </c>
      <c r="AF8" s="250" t="s">
        <v>2328</v>
      </c>
      <c r="AG8" s="240" t="s">
        <v>138</v>
      </c>
      <c r="AH8" s="240" t="s">
        <v>41</v>
      </c>
      <c r="AI8" s="240" t="s">
        <v>2207</v>
      </c>
      <c r="AJ8" s="240" t="s">
        <v>2329</v>
      </c>
    </row>
    <row r="9" ht="15.0" hidden="1" customHeight="1">
      <c r="A9" s="239" t="s">
        <v>2172</v>
      </c>
      <c r="B9" s="239" t="s">
        <v>1052</v>
      </c>
      <c r="C9" s="239" t="s">
        <v>2331</v>
      </c>
      <c r="D9" s="239" t="s">
        <v>130</v>
      </c>
      <c r="E9" s="239" t="str">
        <f t="array" ref="E9">IFERROR(INDEX(REF_CODES!$B$8:$B$13,MATCH($D9,REF_CODES!$C$8:$C$13,0)),"")</f>
        <v>HB-INC</v>
      </c>
      <c r="F9" s="239" t="s">
        <v>2341</v>
      </c>
      <c r="G9" s="239" t="s">
        <v>2198</v>
      </c>
      <c r="H9" s="240" t="s">
        <v>170</v>
      </c>
      <c r="I9" s="239" t="s">
        <v>2343</v>
      </c>
      <c r="J9" s="239" t="s">
        <v>2298</v>
      </c>
      <c r="K9" s="239">
        <v>40.0</v>
      </c>
      <c r="L9" s="239" t="s">
        <v>2252</v>
      </c>
      <c r="M9" s="241">
        <v>837.0</v>
      </c>
      <c r="N9" s="241">
        <v>1100.0</v>
      </c>
      <c r="O9" s="241">
        <v>1500.0</v>
      </c>
      <c r="P9" s="241">
        <v>2000.0</v>
      </c>
      <c r="Q9" s="241">
        <v>1.0</v>
      </c>
      <c r="R9" s="241">
        <v>4000.0</v>
      </c>
      <c r="S9" s="239" t="s">
        <v>2204</v>
      </c>
      <c r="T9" s="239" t="s">
        <v>2349</v>
      </c>
      <c r="U9" s="242" t="s">
        <v>2208</v>
      </c>
      <c r="V9" s="239" t="s">
        <v>2351</v>
      </c>
      <c r="W9" s="239" t="s">
        <v>2352</v>
      </c>
      <c r="X9" s="239" t="s">
        <v>2353</v>
      </c>
      <c r="Y9" s="239" t="s">
        <v>2355</v>
      </c>
      <c r="Z9" s="239" t="s">
        <v>2356</v>
      </c>
      <c r="AA9" s="239" t="s">
        <v>2291</v>
      </c>
      <c r="AB9" s="244" t="s">
        <v>202</v>
      </c>
      <c r="AC9" s="244" t="s">
        <v>90</v>
      </c>
      <c r="AD9" s="215" t="s">
        <v>2238</v>
      </c>
      <c r="AE9" s="244" t="s">
        <v>477</v>
      </c>
      <c r="AF9" s="245" t="s">
        <v>2218</v>
      </c>
      <c r="AG9" s="240" t="s">
        <v>138</v>
      </c>
      <c r="AH9" s="240" t="s">
        <v>41</v>
      </c>
      <c r="AI9" s="240" t="s">
        <v>2207</v>
      </c>
      <c r="AJ9" s="240" t="s">
        <v>2219</v>
      </c>
    </row>
    <row r="10" ht="15.0" hidden="1" customHeight="1">
      <c r="A10" s="239" t="s">
        <v>2172</v>
      </c>
      <c r="B10" s="239" t="s">
        <v>1052</v>
      </c>
      <c r="C10" s="239" t="s">
        <v>2357</v>
      </c>
      <c r="D10" s="239" t="s">
        <v>135</v>
      </c>
      <c r="E10" s="239" t="str">
        <f t="array" ref="E10">IFERROR(INDEX(REF_CODES!$B$8:$B$13,MATCH($D10,REF_CODES!$C$8:$C$13,0)),"")</f>
        <v>HB-RIA</v>
      </c>
      <c r="F10" s="239" t="s">
        <v>2362</v>
      </c>
      <c r="G10" s="239" t="s">
        <v>2198</v>
      </c>
      <c r="H10" s="240" t="s">
        <v>160</v>
      </c>
      <c r="I10" s="239" t="s">
        <v>2363</v>
      </c>
      <c r="J10" s="239" t="s">
        <v>2224</v>
      </c>
      <c r="K10" s="239">
        <v>20.0</v>
      </c>
      <c r="L10" s="239" t="s">
        <v>2252</v>
      </c>
      <c r="M10" s="241">
        <v>250.0</v>
      </c>
      <c r="N10" s="241">
        <v>400.0</v>
      </c>
      <c r="O10" s="241">
        <v>600.0</v>
      </c>
      <c r="P10" s="241" t="s">
        <v>2204</v>
      </c>
      <c r="Q10" s="241" t="s">
        <v>2204</v>
      </c>
      <c r="R10" s="241" t="s">
        <v>2204</v>
      </c>
      <c r="S10" s="239" t="s">
        <v>2204</v>
      </c>
      <c r="T10" s="239" t="s">
        <v>2369</v>
      </c>
      <c r="U10" s="242" t="s">
        <v>2208</v>
      </c>
      <c r="V10" s="239" t="s">
        <v>2370</v>
      </c>
      <c r="W10" s="242" t="s">
        <v>2211</v>
      </c>
      <c r="X10" s="239" t="s">
        <v>2372</v>
      </c>
      <c r="Y10" s="239" t="s">
        <v>2373</v>
      </c>
      <c r="Z10" s="239" t="s">
        <v>2204</v>
      </c>
      <c r="AA10" s="239" t="s">
        <v>2374</v>
      </c>
      <c r="AB10" s="244" t="s">
        <v>188</v>
      </c>
      <c r="AC10" s="244" t="s">
        <v>97</v>
      </c>
      <c r="AD10" s="215" t="s">
        <v>2217</v>
      </c>
      <c r="AE10" s="244" t="s">
        <v>2375</v>
      </c>
      <c r="AF10" s="250" t="s">
        <v>2375</v>
      </c>
      <c r="AG10" s="240" t="s">
        <v>138</v>
      </c>
      <c r="AH10" s="240" t="s">
        <v>41</v>
      </c>
      <c r="AI10" s="240" t="s">
        <v>2207</v>
      </c>
      <c r="AJ10" s="240" t="s">
        <v>2377</v>
      </c>
    </row>
    <row r="11" ht="15.0" hidden="1" customHeight="1">
      <c r="A11" s="239" t="s">
        <v>2172</v>
      </c>
      <c r="B11" s="239" t="s">
        <v>1052</v>
      </c>
      <c r="C11" s="239" t="s">
        <v>2378</v>
      </c>
      <c r="D11" s="239" t="s">
        <v>141</v>
      </c>
      <c r="E11" s="239" t="str">
        <f t="array" ref="E11">IFERROR(INDEX(REF_CODES!$B$8:$B$13,MATCH($D11,REF_CODES!$C$8:$C$13,0)),"")</f>
        <v>HB-NAT</v>
      </c>
      <c r="F11" s="239" t="s">
        <v>2387</v>
      </c>
      <c r="G11" s="239" t="s">
        <v>2198</v>
      </c>
      <c r="H11" s="240" t="s">
        <v>165</v>
      </c>
      <c r="I11" s="239" t="s">
        <v>2389</v>
      </c>
      <c r="J11" s="239" t="s">
        <v>2390</v>
      </c>
      <c r="K11" s="239">
        <v>37.0</v>
      </c>
      <c r="L11" s="239" t="s">
        <v>2252</v>
      </c>
      <c r="M11" s="241">
        <v>300.0</v>
      </c>
      <c r="N11" s="241">
        <v>450.0</v>
      </c>
      <c r="O11" s="241">
        <v>600.0</v>
      </c>
      <c r="P11" s="241" t="s">
        <v>2204</v>
      </c>
      <c r="Q11" s="241" t="s">
        <v>2204</v>
      </c>
      <c r="R11" s="241" t="s">
        <v>2204</v>
      </c>
      <c r="S11" s="239" t="s">
        <v>2204</v>
      </c>
      <c r="T11" s="239" t="s">
        <v>2393</v>
      </c>
      <c r="U11" s="242" t="s">
        <v>2208</v>
      </c>
      <c r="V11" s="239" t="s">
        <v>2394</v>
      </c>
      <c r="W11" s="239" t="s">
        <v>2395</v>
      </c>
      <c r="X11" s="239" t="s">
        <v>2396</v>
      </c>
      <c r="Y11" s="239" t="s">
        <v>2397</v>
      </c>
      <c r="Z11" s="239" t="s">
        <v>2204</v>
      </c>
      <c r="AA11" s="239" t="s">
        <v>2400</v>
      </c>
      <c r="AB11" s="244" t="s">
        <v>195</v>
      </c>
      <c r="AC11" s="244" t="s">
        <v>97</v>
      </c>
      <c r="AD11" s="215" t="s">
        <v>2217</v>
      </c>
      <c r="AE11" s="244" t="s">
        <v>469</v>
      </c>
      <c r="AF11" s="245" t="s">
        <v>2218</v>
      </c>
      <c r="AG11" s="240" t="s">
        <v>133</v>
      </c>
      <c r="AH11" s="240" t="s">
        <v>41</v>
      </c>
      <c r="AI11" s="240" t="s">
        <v>2207</v>
      </c>
      <c r="AJ11" s="240" t="s">
        <v>2402</v>
      </c>
    </row>
    <row r="12" ht="15.0" hidden="1" customHeight="1">
      <c r="A12" s="239" t="s">
        <v>2172</v>
      </c>
      <c r="B12" s="239" t="s">
        <v>1052</v>
      </c>
      <c r="C12" s="239" t="s">
        <v>2404</v>
      </c>
      <c r="D12" s="239" t="s">
        <v>130</v>
      </c>
      <c r="E12" s="239" t="str">
        <f t="array" ref="E12">IFERROR(INDEX(REF_CODES!$B$8:$B$13,MATCH($D12,REF_CODES!$C$8:$C$13,0)),"")</f>
        <v>HB-INC</v>
      </c>
      <c r="F12" s="239" t="s">
        <v>2414</v>
      </c>
      <c r="G12" s="239" t="s">
        <v>2198</v>
      </c>
      <c r="H12" s="240" t="s">
        <v>173</v>
      </c>
      <c r="I12" s="239" t="s">
        <v>2415</v>
      </c>
      <c r="J12" s="239" t="s">
        <v>2416</v>
      </c>
      <c r="K12" s="239">
        <v>63.0</v>
      </c>
      <c r="L12" s="239" t="s">
        <v>2252</v>
      </c>
      <c r="M12" s="241">
        <v>530.0</v>
      </c>
      <c r="N12" s="241">
        <v>800.0</v>
      </c>
      <c r="O12" s="241">
        <v>1200.0</v>
      </c>
      <c r="P12" s="241" t="s">
        <v>2204</v>
      </c>
      <c r="Q12" s="241">
        <v>1.0</v>
      </c>
      <c r="R12" s="241">
        <v>1350.0</v>
      </c>
      <c r="S12" s="239" t="s">
        <v>2204</v>
      </c>
      <c r="T12" s="239" t="s">
        <v>2418</v>
      </c>
      <c r="U12" s="242" t="s">
        <v>2208</v>
      </c>
      <c r="V12" s="239" t="s">
        <v>2419</v>
      </c>
      <c r="W12" s="239" t="s">
        <v>2420</v>
      </c>
      <c r="X12" s="239" t="s">
        <v>2421</v>
      </c>
      <c r="Y12" s="239" t="s">
        <v>2422</v>
      </c>
      <c r="Z12" s="239" t="s">
        <v>2423</v>
      </c>
      <c r="AA12" s="239" t="s">
        <v>2291</v>
      </c>
      <c r="AB12" s="244" t="s">
        <v>202</v>
      </c>
      <c r="AC12" s="244" t="s">
        <v>90</v>
      </c>
      <c r="AD12" s="215" t="s">
        <v>2238</v>
      </c>
      <c r="AE12" s="244" t="s">
        <v>477</v>
      </c>
      <c r="AF12" s="245" t="s">
        <v>2218</v>
      </c>
      <c r="AG12" s="240" t="s">
        <v>138</v>
      </c>
      <c r="AH12" s="240" t="s">
        <v>41</v>
      </c>
      <c r="AI12" s="240" t="s">
        <v>2207</v>
      </c>
      <c r="AJ12" s="240" t="s">
        <v>2432</v>
      </c>
    </row>
    <row r="13" ht="15.0" hidden="1" customHeight="1">
      <c r="A13" s="239" t="s">
        <v>2172</v>
      </c>
      <c r="B13" s="239" t="s">
        <v>1052</v>
      </c>
      <c r="C13" s="239" t="s">
        <v>2433</v>
      </c>
      <c r="D13" s="239" t="s">
        <v>130</v>
      </c>
      <c r="E13" s="239" t="str">
        <f t="array" ref="E13">IFERROR(INDEX(REF_CODES!$B$8:$B$13,MATCH($D13,REF_CODES!$C$8:$C$13,0)),"")</f>
        <v>HB-INC</v>
      </c>
      <c r="F13" s="239" t="s">
        <v>2441</v>
      </c>
      <c r="G13" s="239" t="s">
        <v>2198</v>
      </c>
      <c r="H13" s="240" t="s">
        <v>160</v>
      </c>
      <c r="I13" s="239" t="s">
        <v>2442</v>
      </c>
      <c r="J13" s="239" t="s">
        <v>2443</v>
      </c>
      <c r="K13" s="239">
        <v>36.0</v>
      </c>
      <c r="L13" s="239" t="s">
        <v>2252</v>
      </c>
      <c r="M13" s="241">
        <v>300.0</v>
      </c>
      <c r="N13" s="241" t="s">
        <v>2204</v>
      </c>
      <c r="O13" s="241" t="s">
        <v>2204</v>
      </c>
      <c r="P13" s="241" t="s">
        <v>2204</v>
      </c>
      <c r="Q13" s="241" t="s">
        <v>2204</v>
      </c>
      <c r="R13" s="241" t="s">
        <v>2204</v>
      </c>
      <c r="S13" s="239" t="s">
        <v>2204</v>
      </c>
      <c r="T13" s="239" t="s">
        <v>2446</v>
      </c>
      <c r="U13" s="242" t="s">
        <v>2208</v>
      </c>
      <c r="V13" s="239" t="s">
        <v>2449</v>
      </c>
      <c r="W13" s="239" t="s">
        <v>2451</v>
      </c>
      <c r="X13" s="239" t="s">
        <v>2452</v>
      </c>
      <c r="Y13" s="239" t="s">
        <v>2453</v>
      </c>
      <c r="Z13" s="239" t="s">
        <v>2204</v>
      </c>
      <c r="AA13" s="239" t="s">
        <v>2454</v>
      </c>
      <c r="AB13" s="244" t="s">
        <v>202</v>
      </c>
      <c r="AC13" s="244" t="s">
        <v>90</v>
      </c>
      <c r="AD13" s="215" t="s">
        <v>2217</v>
      </c>
      <c r="AE13" s="244" t="s">
        <v>477</v>
      </c>
      <c r="AF13" s="245" t="s">
        <v>2218</v>
      </c>
      <c r="AG13" s="240" t="s">
        <v>138</v>
      </c>
      <c r="AH13" s="240" t="s">
        <v>41</v>
      </c>
      <c r="AI13" s="240" t="s">
        <v>2207</v>
      </c>
      <c r="AJ13" s="240" t="s">
        <v>2461</v>
      </c>
    </row>
    <row r="14" ht="15.0" hidden="1" customHeight="1">
      <c r="A14" s="239" t="s">
        <v>2172</v>
      </c>
      <c r="B14" s="239" t="s">
        <v>1052</v>
      </c>
      <c r="C14" s="239" t="s">
        <v>2463</v>
      </c>
      <c r="D14" s="239" t="s">
        <v>130</v>
      </c>
      <c r="E14" s="239" t="str">
        <f t="array" ref="E14">IFERROR(INDEX(REF_CODES!$B$8:$B$13,MATCH($D14,REF_CODES!$C$8:$C$13,0)),"")</f>
        <v>HB-INC</v>
      </c>
      <c r="F14" s="239" t="s">
        <v>2471</v>
      </c>
      <c r="G14" s="239" t="s">
        <v>2198</v>
      </c>
      <c r="H14" s="240" t="s">
        <v>157</v>
      </c>
      <c r="I14" s="239" t="s">
        <v>2472</v>
      </c>
      <c r="J14" s="239" t="s">
        <v>2474</v>
      </c>
      <c r="K14" s="239">
        <v>10.0</v>
      </c>
      <c r="L14" s="239" t="s">
        <v>2252</v>
      </c>
      <c r="M14" s="241">
        <v>200.0</v>
      </c>
      <c r="N14" s="241" t="s">
        <v>2204</v>
      </c>
      <c r="O14" s="241" t="s">
        <v>2204</v>
      </c>
      <c r="P14" s="241" t="s">
        <v>2204</v>
      </c>
      <c r="Q14" s="241" t="s">
        <v>2204</v>
      </c>
      <c r="R14" s="241" t="s">
        <v>2204</v>
      </c>
      <c r="S14" s="239" t="s">
        <v>2204</v>
      </c>
      <c r="T14" s="239" t="s">
        <v>2484</v>
      </c>
      <c r="U14" s="239" t="s">
        <v>2485</v>
      </c>
      <c r="V14" s="239" t="s">
        <v>2486</v>
      </c>
      <c r="W14" s="242" t="s">
        <v>2211</v>
      </c>
      <c r="X14" s="239" t="s">
        <v>2488</v>
      </c>
      <c r="Y14" s="239" t="s">
        <v>2491</v>
      </c>
      <c r="Z14" s="239" t="s">
        <v>2204</v>
      </c>
      <c r="AA14" s="239" t="s">
        <v>2493</v>
      </c>
      <c r="AB14" s="244" t="s">
        <v>195</v>
      </c>
      <c r="AC14" s="244" t="s">
        <v>90</v>
      </c>
      <c r="AD14" s="215" t="s">
        <v>2217</v>
      </c>
      <c r="AE14" s="244" t="s">
        <v>463</v>
      </c>
      <c r="AF14" s="245" t="s">
        <v>2218</v>
      </c>
      <c r="AG14" s="240" t="s">
        <v>138</v>
      </c>
      <c r="AH14" s="240" t="s">
        <v>41</v>
      </c>
      <c r="AI14" s="240" t="s">
        <v>2207</v>
      </c>
      <c r="AJ14" s="240" t="s">
        <v>2499</v>
      </c>
    </row>
    <row r="15" ht="15.0" hidden="1" customHeight="1">
      <c r="A15" s="239" t="s">
        <v>2172</v>
      </c>
      <c r="B15" s="239" t="s">
        <v>1052</v>
      </c>
      <c r="C15" s="239" t="s">
        <v>2501</v>
      </c>
      <c r="D15" s="239" t="s">
        <v>130</v>
      </c>
      <c r="E15" s="239" t="str">
        <f t="array" ref="E15">IFERROR(INDEX(REF_CODES!$B$8:$B$13,MATCH($D15,REF_CODES!$C$8:$C$13,0)),"")</f>
        <v>HB-INC</v>
      </c>
      <c r="F15" s="239" t="s">
        <v>2507</v>
      </c>
      <c r="G15" s="239" t="s">
        <v>2198</v>
      </c>
      <c r="H15" s="240" t="s">
        <v>157</v>
      </c>
      <c r="I15" s="239" t="s">
        <v>2509</v>
      </c>
      <c r="J15" s="239" t="s">
        <v>2511</v>
      </c>
      <c r="K15" s="239">
        <v>9.0</v>
      </c>
      <c r="L15" s="239" t="s">
        <v>2252</v>
      </c>
      <c r="M15" s="241">
        <v>200.0</v>
      </c>
      <c r="N15" s="241">
        <v>300.0</v>
      </c>
      <c r="O15" s="241">
        <v>350.0</v>
      </c>
      <c r="P15" s="241" t="s">
        <v>2204</v>
      </c>
      <c r="Q15" s="241" t="s">
        <v>2204</v>
      </c>
      <c r="R15" s="241" t="s">
        <v>2204</v>
      </c>
      <c r="S15" s="239" t="s">
        <v>2204</v>
      </c>
      <c r="T15" s="262" t="s">
        <v>2521</v>
      </c>
      <c r="U15" s="242" t="s">
        <v>2208</v>
      </c>
      <c r="V15" s="239" t="s">
        <v>2524</v>
      </c>
      <c r="W15" s="239" t="s">
        <v>2525</v>
      </c>
      <c r="X15" s="239" t="s">
        <v>2526</v>
      </c>
      <c r="Y15" s="239" t="s">
        <v>2527</v>
      </c>
      <c r="Z15" s="239" t="s">
        <v>2204</v>
      </c>
      <c r="AA15" s="242" t="s">
        <v>2529</v>
      </c>
      <c r="AB15" s="244" t="s">
        <v>195</v>
      </c>
      <c r="AC15" s="244" t="s">
        <v>90</v>
      </c>
      <c r="AD15" s="215" t="s">
        <v>2238</v>
      </c>
      <c r="AE15" s="244" t="s">
        <v>463</v>
      </c>
      <c r="AF15" s="245" t="s">
        <v>2218</v>
      </c>
      <c r="AG15" s="240" t="s">
        <v>138</v>
      </c>
      <c r="AH15" s="240" t="s">
        <v>41</v>
      </c>
      <c r="AI15" s="240" t="s">
        <v>2207</v>
      </c>
      <c r="AJ15" s="240" t="s">
        <v>2532</v>
      </c>
    </row>
    <row r="16" ht="15.0" hidden="1" customHeight="1">
      <c r="A16" s="239" t="s">
        <v>2172</v>
      </c>
      <c r="B16" s="239" t="s">
        <v>1052</v>
      </c>
      <c r="C16" s="239" t="s">
        <v>2534</v>
      </c>
      <c r="D16" s="239" t="s">
        <v>141</v>
      </c>
      <c r="E16" s="239" t="str">
        <f t="array" ref="E16">IFERROR(INDEX(REF_CODES!$B$8:$B$13,MATCH($D16,REF_CODES!$C$8:$C$13,0)),"")</f>
        <v>HB-NAT</v>
      </c>
      <c r="F16" s="239" t="s">
        <v>2540</v>
      </c>
      <c r="G16" s="262" t="s">
        <v>2541</v>
      </c>
      <c r="H16" s="240" t="s">
        <v>160</v>
      </c>
      <c r="I16" s="239" t="s">
        <v>2542</v>
      </c>
      <c r="J16" s="239" t="s">
        <v>2543</v>
      </c>
      <c r="K16" s="239" t="s">
        <v>2288</v>
      </c>
      <c r="L16" s="239" t="s">
        <v>2252</v>
      </c>
      <c r="M16" s="241">
        <v>280.0</v>
      </c>
      <c r="N16" s="241">
        <v>450.0</v>
      </c>
      <c r="O16" s="241">
        <v>1200.0</v>
      </c>
      <c r="P16" s="241" t="s">
        <v>2204</v>
      </c>
      <c r="Q16" s="241" t="s">
        <v>2204</v>
      </c>
      <c r="R16" s="241" t="s">
        <v>2204</v>
      </c>
      <c r="S16" s="239" t="s">
        <v>2204</v>
      </c>
      <c r="T16" s="239" t="s">
        <v>2549</v>
      </c>
      <c r="U16" s="242" t="s">
        <v>2208</v>
      </c>
      <c r="V16" s="239" t="s">
        <v>2552</v>
      </c>
      <c r="W16" s="242" t="s">
        <v>2211</v>
      </c>
      <c r="X16" s="239" t="s">
        <v>2553</v>
      </c>
      <c r="Y16" s="239" t="s">
        <v>2554</v>
      </c>
      <c r="Z16" s="239" t="s">
        <v>2204</v>
      </c>
      <c r="AA16" s="239" t="s">
        <v>2556</v>
      </c>
      <c r="AB16" s="244" t="s">
        <v>188</v>
      </c>
      <c r="AC16" s="244" t="s">
        <v>97</v>
      </c>
      <c r="AD16" s="215" t="s">
        <v>2217</v>
      </c>
      <c r="AE16" s="244" t="s">
        <v>469</v>
      </c>
      <c r="AF16" s="245" t="s">
        <v>2218</v>
      </c>
      <c r="AG16" s="240" t="s">
        <v>133</v>
      </c>
      <c r="AH16" s="240" t="s">
        <v>41</v>
      </c>
      <c r="AI16" s="240" t="s">
        <v>2207</v>
      </c>
      <c r="AJ16" s="240" t="s">
        <v>2562</v>
      </c>
    </row>
    <row r="17" ht="15.0" customHeight="1">
      <c r="A17" s="239" t="s">
        <v>2172</v>
      </c>
      <c r="B17" s="239" t="s">
        <v>1052</v>
      </c>
      <c r="C17" s="239" t="s">
        <v>2563</v>
      </c>
      <c r="D17" s="239" t="s">
        <v>135</v>
      </c>
      <c r="E17" s="239" t="str">
        <f t="array" ref="E17">IFERROR(INDEX(REF_CODES!$B$8:$B$13,MATCH($D17,REF_CODES!$C$8:$C$13,0)),"")</f>
        <v>HB-RIA</v>
      </c>
      <c r="F17" s="239" t="s">
        <v>2569</v>
      </c>
      <c r="G17" s="262" t="s">
        <v>2571</v>
      </c>
      <c r="H17" s="240" t="s">
        <v>157</v>
      </c>
      <c r="I17" s="239" t="s">
        <v>2572</v>
      </c>
      <c r="J17" s="239" t="s">
        <v>2306</v>
      </c>
      <c r="K17" s="239" t="s">
        <v>2573</v>
      </c>
      <c r="L17" s="239" t="s">
        <v>2252</v>
      </c>
      <c r="M17" s="241">
        <v>145.0</v>
      </c>
      <c r="N17" s="241" t="s">
        <v>2204</v>
      </c>
      <c r="O17" s="241" t="s">
        <v>2204</v>
      </c>
      <c r="P17" s="241" t="s">
        <v>2204</v>
      </c>
      <c r="Q17" s="241" t="s">
        <v>2204</v>
      </c>
      <c r="R17" s="241" t="s">
        <v>2204</v>
      </c>
      <c r="S17" s="239" t="s">
        <v>2204</v>
      </c>
      <c r="T17" s="239" t="s">
        <v>2577</v>
      </c>
      <c r="U17" s="239" t="s">
        <v>2578</v>
      </c>
      <c r="V17" s="239" t="s">
        <v>2579</v>
      </c>
      <c r="W17" s="239" t="s">
        <v>2580</v>
      </c>
      <c r="X17" s="239" t="s">
        <v>2581</v>
      </c>
      <c r="Y17" s="239" t="s">
        <v>2583</v>
      </c>
      <c r="Z17" s="239" t="s">
        <v>2204</v>
      </c>
      <c r="AA17" s="239" t="s">
        <v>2584</v>
      </c>
      <c r="AB17" s="244" t="s">
        <v>188</v>
      </c>
      <c r="AC17" s="244" t="s">
        <v>97</v>
      </c>
      <c r="AD17" s="215" t="s">
        <v>2217</v>
      </c>
      <c r="AE17" s="244" t="s">
        <v>469</v>
      </c>
      <c r="AF17" s="245" t="s">
        <v>2218</v>
      </c>
      <c r="AG17" s="240" t="s">
        <v>138</v>
      </c>
      <c r="AH17" s="240" t="s">
        <v>41</v>
      </c>
      <c r="AI17" s="240" t="s">
        <v>2207</v>
      </c>
      <c r="AJ17" s="240" t="s">
        <v>2587</v>
      </c>
    </row>
    <row r="18" ht="15.0" hidden="1" customHeight="1">
      <c r="A18" s="239" t="s">
        <v>2172</v>
      </c>
      <c r="B18" s="239" t="s">
        <v>1052</v>
      </c>
      <c r="C18" s="239" t="s">
        <v>2588</v>
      </c>
      <c r="D18" s="239" t="s">
        <v>130</v>
      </c>
      <c r="E18" s="239" t="str">
        <f t="array" ref="E18">IFERROR(INDEX(REF_CODES!$B$8:$B$13,MATCH($D18,REF_CODES!$C$8:$C$13,0)),"")</f>
        <v>HB-INC</v>
      </c>
      <c r="F18" s="239" t="s">
        <v>2597</v>
      </c>
      <c r="G18" s="239" t="s">
        <v>2198</v>
      </c>
      <c r="H18" s="240" t="s">
        <v>170</v>
      </c>
      <c r="I18" s="239" t="s">
        <v>2600</v>
      </c>
      <c r="J18" s="239" t="s">
        <v>2224</v>
      </c>
      <c r="K18" s="239">
        <v>141.0</v>
      </c>
      <c r="L18" s="239" t="s">
        <v>2252</v>
      </c>
      <c r="M18" s="241">
        <v>700.0</v>
      </c>
      <c r="N18" s="241">
        <v>900.0</v>
      </c>
      <c r="O18" s="241">
        <v>1200.0</v>
      </c>
      <c r="P18" s="241" t="s">
        <v>2204</v>
      </c>
      <c r="Q18" s="241" t="s">
        <v>2204</v>
      </c>
      <c r="R18" s="241" t="s">
        <v>2204</v>
      </c>
      <c r="S18" s="239" t="s">
        <v>2204</v>
      </c>
      <c r="T18" s="239" t="s">
        <v>2605</v>
      </c>
      <c r="U18" s="242" t="s">
        <v>2208</v>
      </c>
      <c r="V18" s="239" t="s">
        <v>2607</v>
      </c>
      <c r="W18" s="239" t="s">
        <v>2608</v>
      </c>
      <c r="X18" s="239" t="s">
        <v>2609</v>
      </c>
      <c r="Y18" s="239" t="s">
        <v>2610</v>
      </c>
      <c r="Z18" s="239" t="s">
        <v>2611</v>
      </c>
      <c r="AA18" s="239" t="s">
        <v>2612</v>
      </c>
      <c r="AB18" s="244" t="s">
        <v>202</v>
      </c>
      <c r="AC18" s="244" t="s">
        <v>90</v>
      </c>
      <c r="AD18" s="215" t="s">
        <v>2238</v>
      </c>
      <c r="AE18" s="244" t="s">
        <v>2293</v>
      </c>
      <c r="AF18" s="250" t="s">
        <v>2293</v>
      </c>
      <c r="AG18" s="240" t="s">
        <v>138</v>
      </c>
      <c r="AH18" s="240" t="s">
        <v>41</v>
      </c>
      <c r="AI18" s="240" t="s">
        <v>2207</v>
      </c>
      <c r="AJ18" s="240" t="s">
        <v>2616</v>
      </c>
    </row>
    <row r="19" ht="15.0" hidden="1" customHeight="1">
      <c r="A19" s="239" t="s">
        <v>2172</v>
      </c>
      <c r="B19" s="239" t="s">
        <v>1052</v>
      </c>
      <c r="C19" s="239" t="s">
        <v>2617</v>
      </c>
      <c r="D19" s="239" t="s">
        <v>130</v>
      </c>
      <c r="E19" s="239" t="str">
        <f t="array" ref="E19">IFERROR(INDEX(REF_CODES!$B$8:$B$13,MATCH($D19,REF_CODES!$C$8:$C$13,0)),"")</f>
        <v>HB-INC</v>
      </c>
      <c r="F19" s="239" t="s">
        <v>2625</v>
      </c>
      <c r="G19" s="239" t="s">
        <v>2198</v>
      </c>
      <c r="H19" s="240" t="s">
        <v>165</v>
      </c>
      <c r="I19" s="239" t="s">
        <v>2626</v>
      </c>
      <c r="J19" s="239" t="s">
        <v>2627</v>
      </c>
      <c r="K19" s="239">
        <v>60.0</v>
      </c>
      <c r="L19" s="239" t="s">
        <v>2252</v>
      </c>
      <c r="M19" s="241">
        <v>407.0</v>
      </c>
      <c r="N19" s="241">
        <v>750.0</v>
      </c>
      <c r="O19" s="241">
        <v>1200.0</v>
      </c>
      <c r="P19" s="241" t="s">
        <v>2204</v>
      </c>
      <c r="Q19" s="241" t="s">
        <v>2204</v>
      </c>
      <c r="R19" s="241" t="s">
        <v>2204</v>
      </c>
      <c r="S19" s="239" t="s">
        <v>2204</v>
      </c>
      <c r="T19" s="239" t="s">
        <v>2633</v>
      </c>
      <c r="U19" s="242" t="s">
        <v>2208</v>
      </c>
      <c r="V19" s="239" t="s">
        <v>2635</v>
      </c>
      <c r="W19" s="239" t="s">
        <v>2636</v>
      </c>
      <c r="X19" s="239" t="s">
        <v>2638</v>
      </c>
      <c r="Y19" s="239" t="s">
        <v>2640</v>
      </c>
      <c r="Z19" s="239" t="s">
        <v>2641</v>
      </c>
      <c r="AA19" s="239" t="s">
        <v>2612</v>
      </c>
      <c r="AB19" s="244" t="s">
        <v>202</v>
      </c>
      <c r="AC19" s="244" t="s">
        <v>90</v>
      </c>
      <c r="AD19" s="215" t="s">
        <v>2238</v>
      </c>
      <c r="AE19" s="244" t="s">
        <v>2293</v>
      </c>
      <c r="AF19" s="250" t="s">
        <v>2293</v>
      </c>
      <c r="AG19" s="240" t="s">
        <v>138</v>
      </c>
      <c r="AH19" s="240" t="s">
        <v>41</v>
      </c>
      <c r="AI19" s="240" t="s">
        <v>2207</v>
      </c>
      <c r="AJ19" s="240" t="s">
        <v>2647</v>
      </c>
    </row>
    <row r="20" ht="15.0" customHeight="1">
      <c r="A20" s="239" t="s">
        <v>2172</v>
      </c>
      <c r="B20" s="239" t="s">
        <v>1052</v>
      </c>
      <c r="C20" s="239" t="s">
        <v>2649</v>
      </c>
      <c r="D20" s="239" t="s">
        <v>135</v>
      </c>
      <c r="E20" s="239" t="str">
        <f t="array" ref="E20">IFERROR(INDEX(REF_CODES!$B$8:$B$13,MATCH($D20,REF_CODES!$C$8:$C$13,0)),"")</f>
        <v>HB-RIA</v>
      </c>
      <c r="F20" s="239" t="s">
        <v>2659</v>
      </c>
      <c r="G20" s="239" t="s">
        <v>2198</v>
      </c>
      <c r="H20" s="240" t="s">
        <v>157</v>
      </c>
      <c r="I20" s="239" t="s">
        <v>2662</v>
      </c>
      <c r="J20" s="239" t="s">
        <v>2306</v>
      </c>
      <c r="K20" s="239">
        <v>10.0</v>
      </c>
      <c r="L20" s="239" t="s">
        <v>2252</v>
      </c>
      <c r="M20" s="241">
        <v>280.0</v>
      </c>
      <c r="N20" s="241">
        <v>400.0</v>
      </c>
      <c r="O20" s="241">
        <v>550.0</v>
      </c>
      <c r="P20" s="241" t="s">
        <v>2204</v>
      </c>
      <c r="Q20" s="241" t="s">
        <v>2204</v>
      </c>
      <c r="R20" s="241" t="s">
        <v>2204</v>
      </c>
      <c r="S20" s="239" t="s">
        <v>2204</v>
      </c>
      <c r="T20" s="239" t="s">
        <v>2666</v>
      </c>
      <c r="U20" s="242" t="s">
        <v>2208</v>
      </c>
      <c r="V20" s="239" t="s">
        <v>2288</v>
      </c>
      <c r="W20" s="239" t="s">
        <v>2668</v>
      </c>
      <c r="X20" s="239" t="s">
        <v>2669</v>
      </c>
      <c r="Y20" s="239" t="s">
        <v>2671</v>
      </c>
      <c r="Z20" s="239" t="s">
        <v>2204</v>
      </c>
      <c r="AA20" s="239" t="s">
        <v>2612</v>
      </c>
      <c r="AB20" s="244" t="s">
        <v>188</v>
      </c>
      <c r="AC20" s="244" t="s">
        <v>97</v>
      </c>
      <c r="AD20" s="215" t="s">
        <v>2217</v>
      </c>
      <c r="AE20" s="244" t="s">
        <v>477</v>
      </c>
      <c r="AF20" s="245" t="s">
        <v>2218</v>
      </c>
      <c r="AG20" s="240" t="s">
        <v>138</v>
      </c>
      <c r="AH20" s="240" t="s">
        <v>41</v>
      </c>
      <c r="AI20" s="240" t="s">
        <v>2207</v>
      </c>
      <c r="AJ20" s="240" t="s">
        <v>2682</v>
      </c>
    </row>
    <row r="21" ht="15.0" customHeight="1">
      <c r="A21" s="239" t="s">
        <v>2172</v>
      </c>
      <c r="B21" s="239" t="s">
        <v>1052</v>
      </c>
      <c r="C21" s="239" t="s">
        <v>2683</v>
      </c>
      <c r="D21" s="239" t="s">
        <v>135</v>
      </c>
      <c r="E21" s="239" t="str">
        <f t="array" ref="E21">IFERROR(INDEX(REF_CODES!$B$8:$B$13,MATCH($D21,REF_CODES!$C$8:$C$13,0)),"")</f>
        <v>HB-RIA</v>
      </c>
      <c r="F21" s="239" t="s">
        <v>2692</v>
      </c>
      <c r="G21" s="262" t="s">
        <v>2693</v>
      </c>
      <c r="H21" s="250" t="s">
        <v>157</v>
      </c>
      <c r="I21" s="239" t="s">
        <v>2695</v>
      </c>
      <c r="J21" s="239" t="s">
        <v>2306</v>
      </c>
      <c r="K21" s="239">
        <v>9.0</v>
      </c>
      <c r="L21" s="239" t="s">
        <v>2252</v>
      </c>
      <c r="M21" s="241">
        <v>160.0</v>
      </c>
      <c r="N21" s="241" t="s">
        <v>2204</v>
      </c>
      <c r="O21" s="241" t="s">
        <v>2204</v>
      </c>
      <c r="P21" s="241" t="s">
        <v>2204</v>
      </c>
      <c r="Q21" s="241" t="s">
        <v>2204</v>
      </c>
      <c r="R21" s="241" t="s">
        <v>2204</v>
      </c>
      <c r="S21" s="239" t="s">
        <v>2204</v>
      </c>
      <c r="T21" s="239" t="s">
        <v>2696</v>
      </c>
      <c r="U21" s="242" t="s">
        <v>2208</v>
      </c>
      <c r="V21" s="239" t="s">
        <v>2697</v>
      </c>
      <c r="W21" s="239" t="s">
        <v>2698</v>
      </c>
      <c r="X21" s="239" t="s">
        <v>2700</v>
      </c>
      <c r="Y21" s="239" t="s">
        <v>2701</v>
      </c>
      <c r="Z21" s="239" t="s">
        <v>2204</v>
      </c>
      <c r="AA21" s="239" t="s">
        <v>2612</v>
      </c>
      <c r="AB21" s="244" t="s">
        <v>188</v>
      </c>
      <c r="AC21" s="244" t="s">
        <v>97</v>
      </c>
      <c r="AD21" s="215" t="s">
        <v>2217</v>
      </c>
      <c r="AE21" s="244" t="s">
        <v>469</v>
      </c>
      <c r="AF21" s="245" t="s">
        <v>2218</v>
      </c>
      <c r="AG21" s="240" t="s">
        <v>138</v>
      </c>
      <c r="AH21" s="240" t="s">
        <v>41</v>
      </c>
      <c r="AI21" s="240" t="s">
        <v>2207</v>
      </c>
      <c r="AJ21" s="240" t="s">
        <v>2703</v>
      </c>
    </row>
    <row r="22" ht="15.0" hidden="1" customHeight="1">
      <c r="A22" s="239" t="s">
        <v>2172</v>
      </c>
      <c r="B22" s="239" t="s">
        <v>1052</v>
      </c>
      <c r="C22" s="239" t="s">
        <v>2704</v>
      </c>
      <c r="D22" s="239" t="s">
        <v>130</v>
      </c>
      <c r="E22" s="239" t="str">
        <f t="array" ref="E22">IFERROR(INDEX(REF_CODES!$B$8:$B$13,MATCH($D22,REF_CODES!$C$8:$C$13,0)),"")</f>
        <v>HB-INC</v>
      </c>
      <c r="F22" s="239" t="s">
        <v>2707</v>
      </c>
      <c r="G22" s="239" t="s">
        <v>2198</v>
      </c>
      <c r="H22" s="240" t="s">
        <v>160</v>
      </c>
      <c r="I22" s="239" t="s">
        <v>2708</v>
      </c>
      <c r="J22" s="239" t="s">
        <v>2224</v>
      </c>
      <c r="K22" s="239">
        <v>209.0</v>
      </c>
      <c r="L22" s="239" t="s">
        <v>2252</v>
      </c>
      <c r="M22" s="241">
        <v>451.0</v>
      </c>
      <c r="N22" s="241" t="s">
        <v>2204</v>
      </c>
      <c r="O22" s="241" t="s">
        <v>2204</v>
      </c>
      <c r="P22" s="241" t="s">
        <v>2204</v>
      </c>
      <c r="Q22" s="241" t="s">
        <v>2204</v>
      </c>
      <c r="R22" s="241" t="s">
        <v>2204</v>
      </c>
      <c r="S22" s="239" t="s">
        <v>2204</v>
      </c>
      <c r="T22" s="239" t="s">
        <v>2710</v>
      </c>
      <c r="U22" s="242" t="s">
        <v>2208</v>
      </c>
      <c r="V22" s="239" t="s">
        <v>2712</v>
      </c>
      <c r="W22" s="239" t="s">
        <v>2713</v>
      </c>
      <c r="X22" s="239" t="s">
        <v>2714</v>
      </c>
      <c r="Y22" s="239" t="s">
        <v>2716</v>
      </c>
      <c r="Z22" s="239" t="s">
        <v>2717</v>
      </c>
      <c r="AA22" s="239" t="s">
        <v>2612</v>
      </c>
      <c r="AB22" s="244" t="s">
        <v>202</v>
      </c>
      <c r="AC22" s="244" t="s">
        <v>90</v>
      </c>
      <c r="AD22" s="215" t="s">
        <v>2217</v>
      </c>
      <c r="AE22" s="244" t="s">
        <v>477</v>
      </c>
      <c r="AF22" s="250" t="s">
        <v>2293</v>
      </c>
      <c r="AG22" s="240" t="s">
        <v>149</v>
      </c>
      <c r="AH22" s="240" t="s">
        <v>55</v>
      </c>
      <c r="AI22" s="240" t="s">
        <v>2207</v>
      </c>
      <c r="AJ22" s="240" t="s">
        <v>2219</v>
      </c>
    </row>
    <row r="23" ht="15.0" hidden="1" customHeight="1">
      <c r="A23" s="239" t="s">
        <v>2172</v>
      </c>
      <c r="B23" s="239" t="s">
        <v>1052</v>
      </c>
      <c r="C23" s="239" t="s">
        <v>2718</v>
      </c>
      <c r="D23" s="239" t="s">
        <v>135</v>
      </c>
      <c r="E23" s="239" t="str">
        <f t="array" ref="E23">IFERROR(INDEX(REF_CODES!$B$8:$B$13,MATCH($D23,REF_CODES!$C$8:$C$13,0)),"")</f>
        <v>HB-RIA</v>
      </c>
      <c r="F23" s="239" t="s">
        <v>2721</v>
      </c>
      <c r="G23" s="239" t="s">
        <v>2722</v>
      </c>
      <c r="H23" s="240" t="s">
        <v>160</v>
      </c>
      <c r="I23" s="239" t="s">
        <v>2723</v>
      </c>
      <c r="J23" s="239" t="s">
        <v>2306</v>
      </c>
      <c r="K23" s="239">
        <v>41.0</v>
      </c>
      <c r="L23" s="239" t="s">
        <v>2252</v>
      </c>
      <c r="M23" s="241">
        <v>310.0</v>
      </c>
      <c r="N23" s="241" t="s">
        <v>2204</v>
      </c>
      <c r="O23" s="241" t="s">
        <v>2204</v>
      </c>
      <c r="P23" s="241" t="s">
        <v>2204</v>
      </c>
      <c r="Q23" s="241" t="s">
        <v>2204</v>
      </c>
      <c r="R23" s="241" t="s">
        <v>2204</v>
      </c>
      <c r="S23" s="239" t="s">
        <v>2204</v>
      </c>
      <c r="T23" s="239" t="s">
        <v>2726</v>
      </c>
      <c r="U23" s="242" t="s">
        <v>2208</v>
      </c>
      <c r="V23" s="239" t="s">
        <v>2288</v>
      </c>
      <c r="W23" s="239" t="s">
        <v>2727</v>
      </c>
      <c r="X23" s="239" t="s">
        <v>2728</v>
      </c>
      <c r="Y23" s="239" t="s">
        <v>2729</v>
      </c>
      <c r="Z23" s="239" t="s">
        <v>2730</v>
      </c>
      <c r="AA23" s="239" t="s">
        <v>2612</v>
      </c>
      <c r="AB23" s="244" t="s">
        <v>188</v>
      </c>
      <c r="AC23" s="244" t="s">
        <v>97</v>
      </c>
      <c r="AD23" s="215" t="s">
        <v>2217</v>
      </c>
      <c r="AE23" s="244" t="s">
        <v>2375</v>
      </c>
      <c r="AF23" s="250" t="s">
        <v>2375</v>
      </c>
      <c r="AG23" s="240" t="s">
        <v>138</v>
      </c>
      <c r="AH23" s="240" t="s">
        <v>41</v>
      </c>
      <c r="AI23" s="240" t="s">
        <v>2207</v>
      </c>
      <c r="AJ23" s="240" t="s">
        <v>2732</v>
      </c>
    </row>
    <row r="24" ht="15.0" hidden="1" customHeight="1">
      <c r="A24" s="239" t="s">
        <v>2172</v>
      </c>
      <c r="B24" s="239" t="s">
        <v>1052</v>
      </c>
      <c r="C24" s="239" t="s">
        <v>2733</v>
      </c>
      <c r="D24" s="239" t="s">
        <v>130</v>
      </c>
      <c r="E24" s="239" t="str">
        <f t="array" ref="E24">IFERROR(INDEX(REF_CODES!$B$8:$B$13,MATCH($D24,REF_CODES!$C$8:$C$13,0)),"")</f>
        <v>HB-INC</v>
      </c>
      <c r="F24" s="239" t="s">
        <v>2734</v>
      </c>
      <c r="G24" s="239" t="s">
        <v>2198</v>
      </c>
      <c r="H24" s="240" t="s">
        <v>157</v>
      </c>
      <c r="I24" s="239" t="s">
        <v>2735</v>
      </c>
      <c r="J24" s="239" t="s">
        <v>2627</v>
      </c>
      <c r="K24" s="239">
        <v>134.0</v>
      </c>
      <c r="L24" s="239" t="s">
        <v>2252</v>
      </c>
      <c r="M24" s="241">
        <v>295.0</v>
      </c>
      <c r="N24" s="241" t="s">
        <v>2204</v>
      </c>
      <c r="O24" s="241" t="s">
        <v>2204</v>
      </c>
      <c r="P24" s="241" t="s">
        <v>2204</v>
      </c>
      <c r="Q24" s="241" t="s">
        <v>2204</v>
      </c>
      <c r="R24" s="241" t="s">
        <v>2204</v>
      </c>
      <c r="S24" s="239" t="s">
        <v>2204</v>
      </c>
      <c r="T24" s="239" t="s">
        <v>2736</v>
      </c>
      <c r="U24" s="242" t="s">
        <v>2208</v>
      </c>
      <c r="V24" s="239" t="s">
        <v>2737</v>
      </c>
      <c r="W24" s="242" t="s">
        <v>2211</v>
      </c>
      <c r="X24" s="239" t="s">
        <v>2739</v>
      </c>
      <c r="Y24" s="242" t="s">
        <v>2211</v>
      </c>
      <c r="Z24" s="239" t="s">
        <v>2740</v>
      </c>
      <c r="AA24" s="239" t="s">
        <v>2741</v>
      </c>
      <c r="AB24" s="244" t="s">
        <v>202</v>
      </c>
      <c r="AC24" s="244" t="s">
        <v>90</v>
      </c>
      <c r="AD24" s="215" t="s">
        <v>2238</v>
      </c>
      <c r="AE24" s="244" t="s">
        <v>2293</v>
      </c>
      <c r="AF24" s="250" t="s">
        <v>2293</v>
      </c>
      <c r="AG24" s="240" t="s">
        <v>138</v>
      </c>
      <c r="AH24" s="240" t="s">
        <v>41</v>
      </c>
      <c r="AI24" s="240" t="s">
        <v>2207</v>
      </c>
      <c r="AJ24" s="240" t="s">
        <v>2219</v>
      </c>
    </row>
    <row r="25" ht="15.0" customHeight="1">
      <c r="A25" s="239" t="s">
        <v>2172</v>
      </c>
      <c r="B25" s="239" t="s">
        <v>1052</v>
      </c>
      <c r="C25" s="239" t="s">
        <v>2744</v>
      </c>
      <c r="D25" s="239" t="s">
        <v>135</v>
      </c>
      <c r="E25" s="239" t="str">
        <f t="array" ref="E25">IFERROR(INDEX(REF_CODES!$B$8:$B$13,MATCH($D25,REF_CODES!$C$8:$C$13,0)),"")</f>
        <v>HB-RIA</v>
      </c>
      <c r="F25" s="239" t="s">
        <v>2749</v>
      </c>
      <c r="G25" s="262" t="s">
        <v>2571</v>
      </c>
      <c r="H25" s="250" t="s">
        <v>157</v>
      </c>
      <c r="I25" s="239" t="s">
        <v>2750</v>
      </c>
      <c r="J25" s="239" t="s">
        <v>2306</v>
      </c>
      <c r="K25" s="239">
        <v>10.0</v>
      </c>
      <c r="L25" s="239" t="s">
        <v>2252</v>
      </c>
      <c r="M25" s="241">
        <v>200.0</v>
      </c>
      <c r="N25" s="241">
        <v>300.0</v>
      </c>
      <c r="O25" s="241">
        <v>420.0</v>
      </c>
      <c r="P25" s="241" t="s">
        <v>2204</v>
      </c>
      <c r="Q25" s="241" t="s">
        <v>2204</v>
      </c>
      <c r="R25" s="241" t="s">
        <v>2204</v>
      </c>
      <c r="S25" s="239" t="s">
        <v>2204</v>
      </c>
      <c r="T25" s="239" t="s">
        <v>2751</v>
      </c>
      <c r="U25" s="242" t="s">
        <v>2208</v>
      </c>
      <c r="V25" s="239" t="s">
        <v>2752</v>
      </c>
      <c r="W25" s="239" t="s">
        <v>2698</v>
      </c>
      <c r="X25" s="239" t="s">
        <v>2753</v>
      </c>
      <c r="Y25" s="239" t="s">
        <v>2754</v>
      </c>
      <c r="Z25" s="239" t="s">
        <v>2204</v>
      </c>
      <c r="AA25" s="239" t="s">
        <v>2612</v>
      </c>
      <c r="AB25" s="244" t="s">
        <v>188</v>
      </c>
      <c r="AC25" s="244" t="s">
        <v>97</v>
      </c>
      <c r="AD25" s="215" t="s">
        <v>2217</v>
      </c>
      <c r="AE25" s="244" t="s">
        <v>469</v>
      </c>
      <c r="AF25" s="245" t="s">
        <v>2218</v>
      </c>
      <c r="AG25" s="240" t="s">
        <v>138</v>
      </c>
      <c r="AH25" s="240" t="s">
        <v>41</v>
      </c>
      <c r="AI25" s="240" t="s">
        <v>2207</v>
      </c>
      <c r="AJ25" s="240" t="s">
        <v>2587</v>
      </c>
    </row>
    <row r="26" ht="15.0" customHeight="1">
      <c r="A26" s="239" t="s">
        <v>2172</v>
      </c>
      <c r="B26" s="239" t="s">
        <v>1052</v>
      </c>
      <c r="C26" s="239" t="s">
        <v>2759</v>
      </c>
      <c r="D26" s="239" t="s">
        <v>135</v>
      </c>
      <c r="E26" s="239" t="str">
        <f t="array" ref="E26">IFERROR(INDEX(REF_CODES!$B$8:$B$13,MATCH($D26,REF_CODES!$C$8:$C$13,0)),"")</f>
        <v>HB-RIA</v>
      </c>
      <c r="F26" s="239" t="s">
        <v>2762</v>
      </c>
      <c r="G26" s="262" t="s">
        <v>2571</v>
      </c>
      <c r="H26" s="240" t="s">
        <v>157</v>
      </c>
      <c r="I26" s="239" t="s">
        <v>2763</v>
      </c>
      <c r="J26" s="239" t="s">
        <v>2306</v>
      </c>
      <c r="K26" s="239" t="s">
        <v>2288</v>
      </c>
      <c r="L26" s="239" t="s">
        <v>2252</v>
      </c>
      <c r="M26" s="241">
        <v>180.0</v>
      </c>
      <c r="N26" s="241" t="s">
        <v>2204</v>
      </c>
      <c r="O26" s="241" t="s">
        <v>2204</v>
      </c>
      <c r="P26" s="241" t="s">
        <v>2204</v>
      </c>
      <c r="Q26" s="241" t="s">
        <v>2204</v>
      </c>
      <c r="R26" s="241" t="s">
        <v>2204</v>
      </c>
      <c r="S26" s="239" t="s">
        <v>2204</v>
      </c>
      <c r="T26" s="239" t="s">
        <v>2765</v>
      </c>
      <c r="U26" s="242" t="s">
        <v>2208</v>
      </c>
      <c r="V26" s="239" t="s">
        <v>2766</v>
      </c>
      <c r="W26" s="239" t="s">
        <v>2767</v>
      </c>
      <c r="X26" s="239" t="s">
        <v>2768</v>
      </c>
      <c r="Y26" s="239" t="s">
        <v>2769</v>
      </c>
      <c r="Z26" s="239" t="s">
        <v>2204</v>
      </c>
      <c r="AA26" s="239" t="s">
        <v>2612</v>
      </c>
      <c r="AB26" s="244" t="s">
        <v>188</v>
      </c>
      <c r="AC26" s="244" t="s">
        <v>97</v>
      </c>
      <c r="AD26" s="215" t="s">
        <v>2217</v>
      </c>
      <c r="AE26" s="244" t="s">
        <v>463</v>
      </c>
      <c r="AF26" s="245" t="s">
        <v>2218</v>
      </c>
      <c r="AG26" s="240" t="s">
        <v>138</v>
      </c>
      <c r="AH26" s="240" t="s">
        <v>41</v>
      </c>
      <c r="AI26" s="240" t="s">
        <v>2207</v>
      </c>
      <c r="AJ26" s="240" t="s">
        <v>2587</v>
      </c>
    </row>
    <row r="27" ht="15.0" customHeight="1">
      <c r="A27" s="239" t="s">
        <v>2172</v>
      </c>
      <c r="B27" s="239" t="s">
        <v>1052</v>
      </c>
      <c r="C27" s="239" t="s">
        <v>2770</v>
      </c>
      <c r="D27" s="239" t="s">
        <v>135</v>
      </c>
      <c r="E27" s="239" t="str">
        <f t="array" ref="E27">IFERROR(INDEX(REF_CODES!$B$8:$B$13,MATCH($D27,REF_CODES!$C$8:$C$13,0)),"")</f>
        <v>HB-RIA</v>
      </c>
      <c r="F27" s="239" t="s">
        <v>2771</v>
      </c>
      <c r="G27" s="262" t="s">
        <v>2571</v>
      </c>
      <c r="H27" s="240" t="s">
        <v>157</v>
      </c>
      <c r="I27" s="239" t="s">
        <v>2772</v>
      </c>
      <c r="J27" s="239" t="s">
        <v>2306</v>
      </c>
      <c r="K27" s="239">
        <v>7.0</v>
      </c>
      <c r="L27" s="239" t="s">
        <v>2252</v>
      </c>
      <c r="M27" s="241">
        <v>250.0</v>
      </c>
      <c r="N27" s="241" t="s">
        <v>2204</v>
      </c>
      <c r="O27" s="241" t="s">
        <v>2204</v>
      </c>
      <c r="P27" s="241" t="s">
        <v>2204</v>
      </c>
      <c r="Q27" s="241" t="s">
        <v>2204</v>
      </c>
      <c r="R27" s="241" t="s">
        <v>2204</v>
      </c>
      <c r="S27" s="239" t="s">
        <v>2204</v>
      </c>
      <c r="T27" s="239" t="s">
        <v>2775</v>
      </c>
      <c r="U27" s="242" t="s">
        <v>2208</v>
      </c>
      <c r="V27" s="239" t="s">
        <v>2288</v>
      </c>
      <c r="W27" s="239" t="s">
        <v>2778</v>
      </c>
      <c r="X27" s="239" t="s">
        <v>2779</v>
      </c>
      <c r="Y27" s="239" t="s">
        <v>2780</v>
      </c>
      <c r="Z27" s="239" t="s">
        <v>2204</v>
      </c>
      <c r="AA27" s="239" t="s">
        <v>2781</v>
      </c>
      <c r="AB27" s="244" t="s">
        <v>188</v>
      </c>
      <c r="AC27" s="244" t="s">
        <v>97</v>
      </c>
      <c r="AD27" s="215" t="s">
        <v>2217</v>
      </c>
      <c r="AE27" s="244" t="s">
        <v>469</v>
      </c>
      <c r="AF27" s="245" t="s">
        <v>2218</v>
      </c>
      <c r="AG27" s="240" t="s">
        <v>138</v>
      </c>
      <c r="AH27" s="240" t="s">
        <v>41</v>
      </c>
      <c r="AI27" s="240" t="s">
        <v>2207</v>
      </c>
      <c r="AJ27" s="240" t="s">
        <v>2787</v>
      </c>
    </row>
    <row r="28" ht="15.0" customHeight="1">
      <c r="A28" s="239" t="s">
        <v>2172</v>
      </c>
      <c r="B28" s="239" t="s">
        <v>1052</v>
      </c>
      <c r="C28" s="239" t="s">
        <v>2788</v>
      </c>
      <c r="D28" s="239" t="s">
        <v>135</v>
      </c>
      <c r="E28" s="239" t="str">
        <f t="array" ref="E28">IFERROR(INDEX(REF_CODES!$B$8:$B$13,MATCH($D28,REF_CODES!$C$8:$C$13,0)),"")</f>
        <v>HB-RIA</v>
      </c>
      <c r="F28" s="239" t="s">
        <v>2792</v>
      </c>
      <c r="G28" s="262" t="s">
        <v>2571</v>
      </c>
      <c r="H28" s="250" t="s">
        <v>157</v>
      </c>
      <c r="I28" s="239" t="s">
        <v>2793</v>
      </c>
      <c r="J28" s="239" t="s">
        <v>2306</v>
      </c>
      <c r="K28" s="239">
        <v>4.0</v>
      </c>
      <c r="L28" s="239" t="s">
        <v>2252</v>
      </c>
      <c r="M28" s="241">
        <v>200.0</v>
      </c>
      <c r="N28" s="241">
        <v>300.0</v>
      </c>
      <c r="O28" s="241">
        <v>450.0</v>
      </c>
      <c r="P28" s="241" t="s">
        <v>2204</v>
      </c>
      <c r="Q28" s="241" t="s">
        <v>2204</v>
      </c>
      <c r="R28" s="241" t="s">
        <v>2204</v>
      </c>
      <c r="S28" s="239" t="s">
        <v>2204</v>
      </c>
      <c r="T28" s="239" t="s">
        <v>2794</v>
      </c>
      <c r="U28" s="242" t="s">
        <v>2208</v>
      </c>
      <c r="V28" s="239" t="s">
        <v>2796</v>
      </c>
      <c r="W28" s="239" t="s">
        <v>2797</v>
      </c>
      <c r="X28" s="239" t="s">
        <v>2798</v>
      </c>
      <c r="Y28" s="239" t="s">
        <v>2799</v>
      </c>
      <c r="Z28" s="239" t="s">
        <v>2204</v>
      </c>
      <c r="AA28" s="239" t="s">
        <v>2800</v>
      </c>
      <c r="AB28" s="244" t="s">
        <v>188</v>
      </c>
      <c r="AC28" s="244" t="s">
        <v>97</v>
      </c>
      <c r="AD28" s="215" t="s">
        <v>2217</v>
      </c>
      <c r="AE28" s="244" t="s">
        <v>463</v>
      </c>
      <c r="AF28" s="245" t="s">
        <v>2218</v>
      </c>
      <c r="AG28" s="240" t="s">
        <v>138</v>
      </c>
      <c r="AH28" s="240" t="s">
        <v>41</v>
      </c>
      <c r="AI28" s="240" t="s">
        <v>2207</v>
      </c>
      <c r="AJ28" s="240" t="s">
        <v>2587</v>
      </c>
    </row>
    <row r="29" ht="15.0" customHeight="1">
      <c r="A29" s="239" t="s">
        <v>2172</v>
      </c>
      <c r="B29" s="239" t="s">
        <v>1052</v>
      </c>
      <c r="C29" s="239" t="s">
        <v>2803</v>
      </c>
      <c r="D29" s="239" t="s">
        <v>135</v>
      </c>
      <c r="E29" s="239" t="str">
        <f t="array" ref="E29">IFERROR(INDEX(REF_CODES!$B$8:$B$13,MATCH($D29,REF_CODES!$C$8:$C$13,0)),"")</f>
        <v>HB-RIA</v>
      </c>
      <c r="F29" s="239" t="s">
        <v>2805</v>
      </c>
      <c r="G29" s="262" t="s">
        <v>2571</v>
      </c>
      <c r="H29" s="250" t="s">
        <v>157</v>
      </c>
      <c r="I29" s="239" t="s">
        <v>2806</v>
      </c>
      <c r="J29" s="239" t="s">
        <v>2306</v>
      </c>
      <c r="K29" s="239">
        <v>8.0</v>
      </c>
      <c r="L29" s="239" t="s">
        <v>2252</v>
      </c>
      <c r="M29" s="241">
        <v>150.0</v>
      </c>
      <c r="N29" s="241">
        <v>220.0</v>
      </c>
      <c r="O29" s="241">
        <v>300.0</v>
      </c>
      <c r="P29" s="241" t="s">
        <v>2204</v>
      </c>
      <c r="Q29" s="241" t="s">
        <v>2204</v>
      </c>
      <c r="R29" s="241" t="s">
        <v>2204</v>
      </c>
      <c r="S29" s="239" t="s">
        <v>2204</v>
      </c>
      <c r="T29" s="239" t="s">
        <v>2811</v>
      </c>
      <c r="U29" s="242" t="s">
        <v>2208</v>
      </c>
      <c r="V29" s="239" t="s">
        <v>2814</v>
      </c>
      <c r="W29" s="239" t="s">
        <v>2816</v>
      </c>
      <c r="X29" s="239" t="s">
        <v>2817</v>
      </c>
      <c r="Y29" s="239" t="s">
        <v>2818</v>
      </c>
      <c r="Z29" s="239" t="s">
        <v>2204</v>
      </c>
      <c r="AA29" s="239" t="s">
        <v>2819</v>
      </c>
      <c r="AB29" s="244" t="s">
        <v>188</v>
      </c>
      <c r="AC29" s="244" t="s">
        <v>97</v>
      </c>
      <c r="AD29" s="215" t="s">
        <v>2217</v>
      </c>
      <c r="AE29" s="244" t="s">
        <v>477</v>
      </c>
      <c r="AF29" s="245" t="s">
        <v>2218</v>
      </c>
      <c r="AG29" s="240" t="s">
        <v>138</v>
      </c>
      <c r="AH29" s="240" t="s">
        <v>41</v>
      </c>
      <c r="AI29" s="240" t="s">
        <v>2207</v>
      </c>
      <c r="AJ29" s="240" t="s">
        <v>2820</v>
      </c>
    </row>
    <row r="30" ht="15.0" customHeight="1">
      <c r="A30" s="239" t="s">
        <v>2172</v>
      </c>
      <c r="B30" s="239" t="s">
        <v>1052</v>
      </c>
      <c r="C30" s="239" t="s">
        <v>2821</v>
      </c>
      <c r="D30" s="239" t="s">
        <v>135</v>
      </c>
      <c r="E30" s="239" t="str">
        <f t="array" ref="E30">IFERROR(INDEX(REF_CODES!$B$8:$B$13,MATCH($D30,REF_CODES!$C$8:$C$13,0)),"")</f>
        <v>HB-RIA</v>
      </c>
      <c r="F30" s="239" t="s">
        <v>2824</v>
      </c>
      <c r="G30" s="262" t="s">
        <v>2571</v>
      </c>
      <c r="H30" s="250" t="s">
        <v>157</v>
      </c>
      <c r="I30" s="239" t="s">
        <v>2825</v>
      </c>
      <c r="J30" s="239" t="s">
        <v>2306</v>
      </c>
      <c r="K30" s="239">
        <v>5.0</v>
      </c>
      <c r="L30" s="239" t="s">
        <v>2252</v>
      </c>
      <c r="M30" s="241">
        <v>180.0</v>
      </c>
      <c r="N30" s="241">
        <v>250.0</v>
      </c>
      <c r="O30" s="241">
        <v>350.0</v>
      </c>
      <c r="P30" s="241" t="s">
        <v>2204</v>
      </c>
      <c r="Q30" s="241" t="s">
        <v>2204</v>
      </c>
      <c r="R30" s="241" t="s">
        <v>2204</v>
      </c>
      <c r="S30" s="239" t="s">
        <v>2204</v>
      </c>
      <c r="T30" s="239" t="s">
        <v>2826</v>
      </c>
      <c r="U30" s="242" t="s">
        <v>2208</v>
      </c>
      <c r="V30" s="239" t="s">
        <v>2827</v>
      </c>
      <c r="W30" s="239" t="s">
        <v>2828</v>
      </c>
      <c r="X30" s="239" t="s">
        <v>2829</v>
      </c>
      <c r="Y30" s="239" t="s">
        <v>2830</v>
      </c>
      <c r="Z30" s="239" t="s">
        <v>2204</v>
      </c>
      <c r="AA30" s="239" t="s">
        <v>2612</v>
      </c>
      <c r="AB30" s="244" t="s">
        <v>188</v>
      </c>
      <c r="AC30" s="244" t="s">
        <v>97</v>
      </c>
      <c r="AD30" s="215" t="s">
        <v>2217</v>
      </c>
      <c r="AE30" s="244" t="s">
        <v>2375</v>
      </c>
      <c r="AF30" s="250" t="s">
        <v>2375</v>
      </c>
      <c r="AG30" s="240" t="s">
        <v>138</v>
      </c>
      <c r="AH30" s="240" t="s">
        <v>41</v>
      </c>
      <c r="AI30" s="240" t="s">
        <v>2207</v>
      </c>
      <c r="AJ30" s="240" t="s">
        <v>2587</v>
      </c>
    </row>
    <row r="31" ht="15.0" customHeight="1">
      <c r="A31" s="239" t="s">
        <v>2172</v>
      </c>
      <c r="B31" s="239" t="s">
        <v>1052</v>
      </c>
      <c r="C31" s="239" t="s">
        <v>2835</v>
      </c>
      <c r="D31" s="239" t="s">
        <v>135</v>
      </c>
      <c r="E31" s="239" t="str">
        <f t="array" ref="E31">IFERROR(INDEX(REF_CODES!$B$8:$B$13,MATCH($D31,REF_CODES!$C$8:$C$13,0)),"")</f>
        <v>HB-RIA</v>
      </c>
      <c r="F31" s="239" t="s">
        <v>2839</v>
      </c>
      <c r="G31" s="262" t="s">
        <v>2571</v>
      </c>
      <c r="H31" s="250" t="s">
        <v>157</v>
      </c>
      <c r="I31" s="239" t="s">
        <v>2840</v>
      </c>
      <c r="J31" s="239" t="s">
        <v>2306</v>
      </c>
      <c r="K31" s="239">
        <v>11.0</v>
      </c>
      <c r="L31" s="239" t="s">
        <v>2252</v>
      </c>
      <c r="M31" s="241">
        <v>220.0</v>
      </c>
      <c r="N31" s="241">
        <v>320.0</v>
      </c>
      <c r="O31" s="241">
        <v>450.0</v>
      </c>
      <c r="P31" s="241" t="s">
        <v>2204</v>
      </c>
      <c r="Q31" s="241" t="s">
        <v>2204</v>
      </c>
      <c r="R31" s="241" t="s">
        <v>2204</v>
      </c>
      <c r="S31" s="239" t="s">
        <v>2204</v>
      </c>
      <c r="T31" s="239" t="s">
        <v>2846</v>
      </c>
      <c r="U31" s="242" t="s">
        <v>2208</v>
      </c>
      <c r="V31" s="239" t="s">
        <v>2288</v>
      </c>
      <c r="W31" s="239" t="s">
        <v>2847</v>
      </c>
      <c r="X31" s="239" t="s">
        <v>2848</v>
      </c>
      <c r="Y31" s="239" t="s">
        <v>2849</v>
      </c>
      <c r="Z31" s="239" t="s">
        <v>2204</v>
      </c>
      <c r="AA31" s="239" t="s">
        <v>2612</v>
      </c>
      <c r="AB31" s="244" t="s">
        <v>188</v>
      </c>
      <c r="AC31" s="244" t="s">
        <v>97</v>
      </c>
      <c r="AD31" s="215" t="s">
        <v>2217</v>
      </c>
      <c r="AE31" s="244" t="s">
        <v>469</v>
      </c>
      <c r="AF31" s="245" t="s">
        <v>2218</v>
      </c>
      <c r="AG31" s="240" t="s">
        <v>138</v>
      </c>
      <c r="AH31" s="240" t="s">
        <v>41</v>
      </c>
      <c r="AI31" s="240" t="s">
        <v>2207</v>
      </c>
      <c r="AJ31" s="240" t="s">
        <v>2587</v>
      </c>
    </row>
    <row r="32" ht="15.0" customHeight="1">
      <c r="A32" s="239" t="s">
        <v>2172</v>
      </c>
      <c r="B32" s="239" t="s">
        <v>1052</v>
      </c>
      <c r="C32" s="239" t="s">
        <v>2851</v>
      </c>
      <c r="D32" s="239" t="s">
        <v>135</v>
      </c>
      <c r="E32" s="239" t="str">
        <f t="array" ref="E32">IFERROR(INDEX(REF_CODES!$B$8:$B$13,MATCH($D32,REF_CODES!$C$8:$C$13,0)),"")</f>
        <v>HB-RIA</v>
      </c>
      <c r="F32" s="239" t="s">
        <v>2855</v>
      </c>
      <c r="G32" s="262" t="s">
        <v>2571</v>
      </c>
      <c r="H32" s="240" t="s">
        <v>157</v>
      </c>
      <c r="I32" s="239" t="s">
        <v>2858</v>
      </c>
      <c r="J32" s="239" t="s">
        <v>2306</v>
      </c>
      <c r="K32" s="239">
        <v>5.0</v>
      </c>
      <c r="L32" s="239" t="s">
        <v>2252</v>
      </c>
      <c r="M32" s="241">
        <v>150.0</v>
      </c>
      <c r="N32" s="241">
        <v>200.0</v>
      </c>
      <c r="O32" s="241">
        <v>280.0</v>
      </c>
      <c r="P32" s="241" t="s">
        <v>2204</v>
      </c>
      <c r="Q32" s="241" t="s">
        <v>2204</v>
      </c>
      <c r="R32" s="241" t="s">
        <v>2204</v>
      </c>
      <c r="S32" s="239" t="s">
        <v>2861</v>
      </c>
      <c r="T32" s="239" t="s">
        <v>2862</v>
      </c>
      <c r="U32" s="242" t="s">
        <v>2208</v>
      </c>
      <c r="V32" s="239" t="s">
        <v>2863</v>
      </c>
      <c r="W32" s="242" t="s">
        <v>2211</v>
      </c>
      <c r="X32" s="239" t="s">
        <v>2864</v>
      </c>
      <c r="Y32" s="239" t="s">
        <v>2865</v>
      </c>
      <c r="Z32" s="239" t="s">
        <v>2204</v>
      </c>
      <c r="AA32" s="239" t="s">
        <v>2866</v>
      </c>
      <c r="AB32" s="244" t="s">
        <v>188</v>
      </c>
      <c r="AC32" s="244" t="s">
        <v>97</v>
      </c>
      <c r="AD32" s="215" t="s">
        <v>2867</v>
      </c>
      <c r="AE32" s="244" t="s">
        <v>463</v>
      </c>
      <c r="AF32" s="245" t="s">
        <v>2218</v>
      </c>
      <c r="AG32" s="240" t="s">
        <v>138</v>
      </c>
      <c r="AH32" s="240" t="s">
        <v>36</v>
      </c>
      <c r="AI32" s="240" t="s">
        <v>2207</v>
      </c>
      <c r="AJ32" s="240" t="s">
        <v>2703</v>
      </c>
    </row>
    <row r="33" ht="15.0" customHeight="1">
      <c r="A33" s="239" t="s">
        <v>2172</v>
      </c>
      <c r="B33" s="239" t="s">
        <v>1052</v>
      </c>
      <c r="C33" s="239" t="s">
        <v>2869</v>
      </c>
      <c r="D33" s="239" t="s">
        <v>135</v>
      </c>
      <c r="E33" s="239" t="str">
        <f t="array" ref="E33">IFERROR(INDEX(REF_CODES!$B$8:$B$13,MATCH($D33,REF_CODES!$C$8:$C$13,0)),"")</f>
        <v>HB-RIA</v>
      </c>
      <c r="F33" s="239" t="s">
        <v>2874</v>
      </c>
      <c r="G33" s="262" t="s">
        <v>2571</v>
      </c>
      <c r="H33" s="240" t="s">
        <v>157</v>
      </c>
      <c r="I33" s="239" t="s">
        <v>2875</v>
      </c>
      <c r="J33" s="239" t="s">
        <v>2306</v>
      </c>
      <c r="K33" s="239">
        <v>17.0</v>
      </c>
      <c r="L33" s="239" t="s">
        <v>2252</v>
      </c>
      <c r="M33" s="241">
        <v>120.0</v>
      </c>
      <c r="N33" s="241">
        <v>200.0</v>
      </c>
      <c r="O33" s="241">
        <v>280.0</v>
      </c>
      <c r="P33" s="241" t="s">
        <v>2204</v>
      </c>
      <c r="Q33" s="241" t="s">
        <v>2204</v>
      </c>
      <c r="R33" s="241" t="s">
        <v>2204</v>
      </c>
      <c r="S33" s="239" t="s">
        <v>2204</v>
      </c>
      <c r="T33" s="239" t="s">
        <v>2878</v>
      </c>
      <c r="U33" s="239" t="s">
        <v>2879</v>
      </c>
      <c r="V33" s="239" t="s">
        <v>2288</v>
      </c>
      <c r="W33" s="242" t="s">
        <v>2211</v>
      </c>
      <c r="X33" s="239" t="s">
        <v>2881</v>
      </c>
      <c r="Y33" s="239" t="s">
        <v>2882</v>
      </c>
      <c r="Z33" s="239" t="s">
        <v>2204</v>
      </c>
      <c r="AA33" s="242" t="s">
        <v>2883</v>
      </c>
      <c r="AB33" s="244" t="s">
        <v>188</v>
      </c>
      <c r="AC33" s="244" t="s">
        <v>97</v>
      </c>
      <c r="AD33" s="215" t="s">
        <v>2217</v>
      </c>
      <c r="AE33" s="244" t="s">
        <v>469</v>
      </c>
      <c r="AF33" s="245" t="s">
        <v>2218</v>
      </c>
      <c r="AG33" s="240" t="s">
        <v>138</v>
      </c>
      <c r="AH33" s="240" t="s">
        <v>41</v>
      </c>
      <c r="AI33" s="240" t="s">
        <v>2207</v>
      </c>
      <c r="AJ33" s="240" t="s">
        <v>2887</v>
      </c>
    </row>
    <row r="34" ht="15.0" customHeight="1">
      <c r="A34" s="239" t="s">
        <v>2172</v>
      </c>
      <c r="B34" s="239" t="s">
        <v>1052</v>
      </c>
      <c r="C34" s="239" t="s">
        <v>2890</v>
      </c>
      <c r="D34" s="239" t="s">
        <v>135</v>
      </c>
      <c r="E34" s="239" t="str">
        <f t="array" ref="E34">IFERROR(INDEX(REF_CODES!$B$8:$B$13,MATCH($D34,REF_CODES!$C$8:$C$13,0)),"")</f>
        <v>HB-RIA</v>
      </c>
      <c r="F34" s="239" t="s">
        <v>2894</v>
      </c>
      <c r="G34" s="262" t="s">
        <v>2571</v>
      </c>
      <c r="H34" s="240" t="s">
        <v>157</v>
      </c>
      <c r="I34" s="239" t="s">
        <v>2895</v>
      </c>
      <c r="J34" s="239" t="s">
        <v>2306</v>
      </c>
      <c r="K34" s="239" t="s">
        <v>2288</v>
      </c>
      <c r="L34" s="239" t="s">
        <v>2252</v>
      </c>
      <c r="M34" s="241">
        <v>250.0</v>
      </c>
      <c r="N34" s="241" t="s">
        <v>2204</v>
      </c>
      <c r="O34" s="241" t="s">
        <v>2204</v>
      </c>
      <c r="P34" s="241" t="s">
        <v>2204</v>
      </c>
      <c r="Q34" s="241">
        <v>5.0</v>
      </c>
      <c r="R34" s="241">
        <v>250.0</v>
      </c>
      <c r="S34" s="239" t="s">
        <v>2902</v>
      </c>
      <c r="T34" s="239" t="s">
        <v>2903</v>
      </c>
      <c r="U34" s="239" t="s">
        <v>2905</v>
      </c>
      <c r="V34" s="239" t="s">
        <v>2907</v>
      </c>
      <c r="W34" s="242" t="s">
        <v>2211</v>
      </c>
      <c r="X34" s="239" t="s">
        <v>2909</v>
      </c>
      <c r="Y34" s="239" t="s">
        <v>2910</v>
      </c>
      <c r="Z34" s="239" t="s">
        <v>2204</v>
      </c>
      <c r="AA34" s="239" t="s">
        <v>2911</v>
      </c>
      <c r="AB34" s="244" t="s">
        <v>188</v>
      </c>
      <c r="AC34" s="244" t="s">
        <v>97</v>
      </c>
      <c r="AD34" s="215" t="s">
        <v>2217</v>
      </c>
      <c r="AE34" s="244" t="s">
        <v>469</v>
      </c>
      <c r="AF34" s="245" t="s">
        <v>2218</v>
      </c>
      <c r="AG34" s="240" t="s">
        <v>138</v>
      </c>
      <c r="AH34" s="240" t="s">
        <v>41</v>
      </c>
      <c r="AI34" s="240" t="s">
        <v>2207</v>
      </c>
      <c r="AJ34" s="240" t="s">
        <v>2913</v>
      </c>
    </row>
    <row r="35" ht="15.0" customHeight="1">
      <c r="A35" s="239" t="s">
        <v>2172</v>
      </c>
      <c r="B35" s="239" t="s">
        <v>1052</v>
      </c>
      <c r="C35" s="239" t="s">
        <v>2914</v>
      </c>
      <c r="D35" s="239" t="s">
        <v>135</v>
      </c>
      <c r="E35" s="239" t="str">
        <f t="array" ref="E35">IFERROR(INDEX(REF_CODES!$B$8:$B$13,MATCH($D35,REF_CODES!$C$8:$C$13,0)),"")</f>
        <v>HB-RIA</v>
      </c>
      <c r="F35" s="239" t="s">
        <v>2917</v>
      </c>
      <c r="G35" s="262" t="s">
        <v>2919</v>
      </c>
      <c r="H35" s="240" t="s">
        <v>157</v>
      </c>
      <c r="I35" s="239" t="s">
        <v>2921</v>
      </c>
      <c r="J35" s="239" t="s">
        <v>2306</v>
      </c>
      <c r="K35" s="239">
        <v>12.0</v>
      </c>
      <c r="L35" s="239" t="s">
        <v>2252</v>
      </c>
      <c r="M35" s="241">
        <v>210.0</v>
      </c>
      <c r="N35" s="241">
        <v>310.0</v>
      </c>
      <c r="O35" s="241">
        <v>350.0</v>
      </c>
      <c r="P35" s="241" t="s">
        <v>2204</v>
      </c>
      <c r="Q35" s="241" t="s">
        <v>2204</v>
      </c>
      <c r="R35" s="241" t="s">
        <v>2204</v>
      </c>
      <c r="S35" s="239" t="s">
        <v>2204</v>
      </c>
      <c r="T35" s="239" t="s">
        <v>2924</v>
      </c>
      <c r="U35" s="239" t="s">
        <v>2925</v>
      </c>
      <c r="V35" s="239" t="s">
        <v>2926</v>
      </c>
      <c r="W35" s="242" t="s">
        <v>2211</v>
      </c>
      <c r="X35" s="239" t="s">
        <v>2927</v>
      </c>
      <c r="Y35" s="239" t="s">
        <v>2928</v>
      </c>
      <c r="Z35" s="239" t="s">
        <v>2204</v>
      </c>
      <c r="AA35" s="239" t="s">
        <v>2930</v>
      </c>
      <c r="AB35" s="244" t="s">
        <v>188</v>
      </c>
      <c r="AC35" s="244" t="s">
        <v>97</v>
      </c>
      <c r="AD35" s="215" t="s">
        <v>2217</v>
      </c>
      <c r="AE35" s="244" t="s">
        <v>469</v>
      </c>
      <c r="AF35" s="245" t="s">
        <v>2218</v>
      </c>
      <c r="AG35" s="240" t="s">
        <v>138</v>
      </c>
      <c r="AH35" s="240" t="s">
        <v>41</v>
      </c>
      <c r="AI35" s="240" t="s">
        <v>2207</v>
      </c>
      <c r="AJ35" s="240" t="s">
        <v>2933</v>
      </c>
    </row>
    <row r="36" ht="15.0" customHeight="1">
      <c r="A36" s="239" t="s">
        <v>2172</v>
      </c>
      <c r="B36" s="239" t="s">
        <v>1052</v>
      </c>
      <c r="C36" s="239" t="s">
        <v>2936</v>
      </c>
      <c r="D36" s="239" t="s">
        <v>135</v>
      </c>
      <c r="E36" s="239" t="str">
        <f t="array" ref="E36">IFERROR(INDEX(REF_CODES!$B$8:$B$13,MATCH($D36,REF_CODES!$C$8:$C$13,0)),"")</f>
        <v>HB-RIA</v>
      </c>
      <c r="F36" s="239" t="s">
        <v>2943</v>
      </c>
      <c r="G36" s="262" t="s">
        <v>2571</v>
      </c>
      <c r="H36" s="250" t="s">
        <v>157</v>
      </c>
      <c r="I36" s="239" t="s">
        <v>2945</v>
      </c>
      <c r="J36" s="239" t="s">
        <v>2946</v>
      </c>
      <c r="K36" s="239">
        <v>5.0</v>
      </c>
      <c r="L36" s="239" t="s">
        <v>2252</v>
      </c>
      <c r="M36" s="241">
        <v>200.0</v>
      </c>
      <c r="N36" s="241">
        <v>280.0</v>
      </c>
      <c r="O36" s="241">
        <v>400.0</v>
      </c>
      <c r="P36" s="241" t="s">
        <v>2204</v>
      </c>
      <c r="Q36" s="241" t="s">
        <v>2204</v>
      </c>
      <c r="R36" s="241" t="s">
        <v>2204</v>
      </c>
      <c r="S36" s="239" t="s">
        <v>2204</v>
      </c>
      <c r="T36" s="239" t="s">
        <v>2950</v>
      </c>
      <c r="U36" s="242" t="s">
        <v>2208</v>
      </c>
      <c r="V36" s="239" t="s">
        <v>2951</v>
      </c>
      <c r="W36" s="239" t="s">
        <v>2952</v>
      </c>
      <c r="X36" s="239" t="s">
        <v>2953</v>
      </c>
      <c r="Y36" s="239" t="s">
        <v>2954</v>
      </c>
      <c r="Z36" s="239" t="s">
        <v>2204</v>
      </c>
      <c r="AA36" s="239" t="s">
        <v>2955</v>
      </c>
      <c r="AB36" s="244" t="s">
        <v>188</v>
      </c>
      <c r="AC36" s="244" t="s">
        <v>97</v>
      </c>
      <c r="AD36" s="215" t="s">
        <v>2217</v>
      </c>
      <c r="AE36" s="244" t="s">
        <v>469</v>
      </c>
      <c r="AF36" s="245" t="s">
        <v>2218</v>
      </c>
      <c r="AG36" s="240" t="s">
        <v>138</v>
      </c>
      <c r="AH36" s="240" t="s">
        <v>41</v>
      </c>
      <c r="AI36" s="240" t="s">
        <v>2207</v>
      </c>
      <c r="AJ36" s="240" t="s">
        <v>2933</v>
      </c>
    </row>
    <row r="37" ht="15.0" customHeight="1">
      <c r="A37" s="239" t="s">
        <v>2172</v>
      </c>
      <c r="B37" s="239" t="s">
        <v>1052</v>
      </c>
      <c r="C37" s="239" t="s">
        <v>2961</v>
      </c>
      <c r="D37" s="239" t="s">
        <v>135</v>
      </c>
      <c r="E37" s="239" t="str">
        <f t="array" ref="E37">IFERROR(INDEX(REF_CODES!$B$8:$B$13,MATCH($D37,REF_CODES!$C$8:$C$13,0)),"")</f>
        <v>HB-RIA</v>
      </c>
      <c r="F37" s="239" t="s">
        <v>2969</v>
      </c>
      <c r="G37" s="262" t="s">
        <v>2571</v>
      </c>
      <c r="H37" s="240" t="s">
        <v>157</v>
      </c>
      <c r="I37" s="239" t="s">
        <v>2971</v>
      </c>
      <c r="J37" s="239" t="s">
        <v>2511</v>
      </c>
      <c r="K37" s="239">
        <v>6.0</v>
      </c>
      <c r="L37" s="239" t="s">
        <v>2252</v>
      </c>
      <c r="M37" s="241">
        <v>160.0</v>
      </c>
      <c r="N37" s="241" t="s">
        <v>2204</v>
      </c>
      <c r="O37" s="241">
        <v>292.0</v>
      </c>
      <c r="P37" s="241" t="s">
        <v>2204</v>
      </c>
      <c r="Q37" s="241">
        <v>2.0</v>
      </c>
      <c r="R37" s="241">
        <v>640.0</v>
      </c>
      <c r="S37" s="239" t="s">
        <v>2973</v>
      </c>
      <c r="T37" s="239" t="s">
        <v>2974</v>
      </c>
      <c r="U37" s="242" t="s">
        <v>2208</v>
      </c>
      <c r="V37" s="239" t="s">
        <v>2977</v>
      </c>
      <c r="W37" s="242" t="s">
        <v>2211</v>
      </c>
      <c r="X37" s="239" t="s">
        <v>2979</v>
      </c>
      <c r="Y37" s="239" t="s">
        <v>2980</v>
      </c>
      <c r="Z37" s="239" t="s">
        <v>2204</v>
      </c>
      <c r="AA37" s="239" t="s">
        <v>2982</v>
      </c>
      <c r="AB37" s="244" t="s">
        <v>188</v>
      </c>
      <c r="AC37" s="244" t="s">
        <v>97</v>
      </c>
      <c r="AD37" s="215" t="s">
        <v>2238</v>
      </c>
      <c r="AE37" s="244" t="s">
        <v>469</v>
      </c>
      <c r="AF37" s="245" t="s">
        <v>2218</v>
      </c>
      <c r="AG37" s="240" t="s">
        <v>138</v>
      </c>
      <c r="AH37" s="240" t="s">
        <v>41</v>
      </c>
      <c r="AI37" s="240" t="s">
        <v>2207</v>
      </c>
      <c r="AJ37" s="240" t="s">
        <v>2983</v>
      </c>
    </row>
    <row r="38" ht="15.0" customHeight="1">
      <c r="A38" s="239" t="s">
        <v>2172</v>
      </c>
      <c r="B38" s="239" t="s">
        <v>1052</v>
      </c>
      <c r="C38" s="239" t="s">
        <v>2984</v>
      </c>
      <c r="D38" s="239" t="s">
        <v>135</v>
      </c>
      <c r="E38" s="239" t="str">
        <f t="array" ref="E38">IFERROR(INDEX(REF_CODES!$B$8:$B$13,MATCH($D38,REF_CODES!$C$8:$C$13,0)),"")</f>
        <v>HB-RIA</v>
      </c>
      <c r="F38" s="239" t="s">
        <v>2986</v>
      </c>
      <c r="G38" s="262" t="s">
        <v>2571</v>
      </c>
      <c r="H38" s="250" t="s">
        <v>157</v>
      </c>
      <c r="I38" s="239" t="s">
        <v>2990</v>
      </c>
      <c r="J38" s="239" t="s">
        <v>2306</v>
      </c>
      <c r="K38" s="239">
        <v>5.0</v>
      </c>
      <c r="L38" s="239" t="s">
        <v>2252</v>
      </c>
      <c r="M38" s="241">
        <v>180.0</v>
      </c>
      <c r="N38" s="241">
        <v>250.0</v>
      </c>
      <c r="O38" s="241">
        <v>350.0</v>
      </c>
      <c r="P38" s="241" t="s">
        <v>2204</v>
      </c>
      <c r="Q38" s="241" t="s">
        <v>2204</v>
      </c>
      <c r="R38" s="241" t="s">
        <v>2204</v>
      </c>
      <c r="S38" s="239" t="s">
        <v>2204</v>
      </c>
      <c r="T38" s="239" t="s">
        <v>2998</v>
      </c>
      <c r="U38" s="242" t="s">
        <v>2208</v>
      </c>
      <c r="V38" s="239" t="s">
        <v>3000</v>
      </c>
      <c r="W38" s="242" t="s">
        <v>2211</v>
      </c>
      <c r="X38" s="239" t="s">
        <v>3003</v>
      </c>
      <c r="Y38" s="239" t="s">
        <v>3004</v>
      </c>
      <c r="Z38" s="239" t="s">
        <v>2204</v>
      </c>
      <c r="AA38" s="239" t="s">
        <v>3005</v>
      </c>
      <c r="AB38" s="244" t="s">
        <v>188</v>
      </c>
      <c r="AC38" s="244" t="s">
        <v>97</v>
      </c>
      <c r="AD38" s="215" t="s">
        <v>2217</v>
      </c>
      <c r="AE38" s="244" t="s">
        <v>2375</v>
      </c>
      <c r="AF38" s="250" t="s">
        <v>2375</v>
      </c>
      <c r="AG38" s="240" t="s">
        <v>138</v>
      </c>
      <c r="AH38" s="240" t="s">
        <v>41</v>
      </c>
      <c r="AI38" s="240" t="s">
        <v>2207</v>
      </c>
      <c r="AJ38" s="240" t="s">
        <v>2933</v>
      </c>
    </row>
    <row r="39" ht="15.0" customHeight="1">
      <c r="A39" s="239" t="s">
        <v>2172</v>
      </c>
      <c r="B39" s="239" t="s">
        <v>1052</v>
      </c>
      <c r="C39" s="239" t="s">
        <v>3006</v>
      </c>
      <c r="D39" s="239" t="s">
        <v>135</v>
      </c>
      <c r="E39" s="239" t="str">
        <f t="array" ref="E39">IFERROR(INDEX(REF_CODES!$B$8:$B$13,MATCH($D39,REF_CODES!$C$8:$C$13,0)),"")</f>
        <v>HB-RIA</v>
      </c>
      <c r="F39" s="239" t="s">
        <v>3010</v>
      </c>
      <c r="G39" s="262" t="s">
        <v>2571</v>
      </c>
      <c r="H39" s="250" t="s">
        <v>157</v>
      </c>
      <c r="I39" s="239" t="s">
        <v>3011</v>
      </c>
      <c r="J39" s="239" t="s">
        <v>2306</v>
      </c>
      <c r="K39" s="239">
        <v>15.0</v>
      </c>
      <c r="L39" s="239" t="s">
        <v>2252</v>
      </c>
      <c r="M39" s="241">
        <v>150.0</v>
      </c>
      <c r="N39" s="241">
        <v>220.0</v>
      </c>
      <c r="O39" s="241">
        <v>300.0</v>
      </c>
      <c r="P39" s="241" t="s">
        <v>2204</v>
      </c>
      <c r="Q39" s="241" t="s">
        <v>2204</v>
      </c>
      <c r="R39" s="241" t="s">
        <v>2204</v>
      </c>
      <c r="S39" s="239" t="s">
        <v>2204</v>
      </c>
      <c r="T39" s="239" t="s">
        <v>3016</v>
      </c>
      <c r="U39" s="242" t="s">
        <v>2208</v>
      </c>
      <c r="V39" s="239" t="s">
        <v>3018</v>
      </c>
      <c r="W39" s="242" t="s">
        <v>2211</v>
      </c>
      <c r="X39" s="239" t="s">
        <v>3019</v>
      </c>
      <c r="Y39" s="239" t="s">
        <v>3020</v>
      </c>
      <c r="Z39" s="239" t="s">
        <v>2204</v>
      </c>
      <c r="AA39" s="239" t="s">
        <v>3021</v>
      </c>
      <c r="AB39" s="244" t="s">
        <v>188</v>
      </c>
      <c r="AC39" s="244" t="s">
        <v>97</v>
      </c>
      <c r="AD39" s="215" t="s">
        <v>2217</v>
      </c>
      <c r="AE39" s="244" t="s">
        <v>469</v>
      </c>
      <c r="AF39" s="245" t="s">
        <v>2218</v>
      </c>
      <c r="AG39" s="240" t="s">
        <v>138</v>
      </c>
      <c r="AH39" s="240" t="s">
        <v>41</v>
      </c>
      <c r="AI39" s="240" t="s">
        <v>2207</v>
      </c>
      <c r="AJ39" s="240" t="s">
        <v>2983</v>
      </c>
    </row>
    <row r="40" ht="15.0" customHeight="1">
      <c r="A40" s="239" t="s">
        <v>2172</v>
      </c>
      <c r="B40" s="239" t="s">
        <v>1052</v>
      </c>
      <c r="C40" s="239" t="s">
        <v>3024</v>
      </c>
      <c r="D40" s="239" t="s">
        <v>135</v>
      </c>
      <c r="E40" s="239" t="str">
        <f t="array" ref="E40">IFERROR(INDEX(REF_CODES!$B$8:$B$13,MATCH($D40,REF_CODES!$C$8:$C$13,0)),"")</f>
        <v>HB-RIA</v>
      </c>
      <c r="F40" s="239" t="s">
        <v>3031</v>
      </c>
      <c r="G40" s="262" t="s">
        <v>2571</v>
      </c>
      <c r="H40" s="240" t="s">
        <v>157</v>
      </c>
      <c r="I40" s="239" t="s">
        <v>3032</v>
      </c>
      <c r="J40" s="239" t="s">
        <v>2306</v>
      </c>
      <c r="K40" s="239">
        <v>10.0</v>
      </c>
      <c r="L40" s="239" t="s">
        <v>2252</v>
      </c>
      <c r="M40" s="241">
        <v>85.0</v>
      </c>
      <c r="N40" s="241" t="s">
        <v>2204</v>
      </c>
      <c r="O40" s="241" t="s">
        <v>2204</v>
      </c>
      <c r="P40" s="241" t="s">
        <v>2204</v>
      </c>
      <c r="Q40" s="241" t="s">
        <v>2204</v>
      </c>
      <c r="R40" s="241" t="s">
        <v>2204</v>
      </c>
      <c r="S40" s="239" t="s">
        <v>2204</v>
      </c>
      <c r="T40" s="239" t="s">
        <v>3042</v>
      </c>
      <c r="U40" s="239" t="s">
        <v>3043</v>
      </c>
      <c r="V40" s="239" t="s">
        <v>3044</v>
      </c>
      <c r="W40" s="242" t="s">
        <v>2211</v>
      </c>
      <c r="X40" s="239" t="s">
        <v>3046</v>
      </c>
      <c r="Y40" s="239" t="s">
        <v>3047</v>
      </c>
      <c r="Z40" s="239" t="s">
        <v>2204</v>
      </c>
      <c r="AA40" s="239" t="s">
        <v>3048</v>
      </c>
      <c r="AB40" s="244" t="s">
        <v>188</v>
      </c>
      <c r="AC40" s="244" t="s">
        <v>97</v>
      </c>
      <c r="AD40" s="215" t="s">
        <v>2217</v>
      </c>
      <c r="AE40" s="244" t="s">
        <v>463</v>
      </c>
      <c r="AF40" s="245" t="s">
        <v>2218</v>
      </c>
      <c r="AG40" s="240" t="s">
        <v>138</v>
      </c>
      <c r="AH40" s="240" t="s">
        <v>41</v>
      </c>
      <c r="AI40" s="240" t="s">
        <v>2207</v>
      </c>
      <c r="AJ40" s="240" t="s">
        <v>3049</v>
      </c>
    </row>
    <row r="41" ht="15.0" customHeight="1">
      <c r="A41" s="239" t="s">
        <v>2172</v>
      </c>
      <c r="B41" s="239" t="s">
        <v>1052</v>
      </c>
      <c r="C41" s="239" t="s">
        <v>3050</v>
      </c>
      <c r="D41" s="239" t="s">
        <v>135</v>
      </c>
      <c r="E41" s="239" t="str">
        <f t="array" ref="E41">IFERROR(INDEX(REF_CODES!$B$8:$B$13,MATCH($D41,REF_CODES!$C$8:$C$13,0)),"")</f>
        <v>HB-RIA</v>
      </c>
      <c r="F41" s="239" t="s">
        <v>3055</v>
      </c>
      <c r="G41" s="262" t="s">
        <v>2571</v>
      </c>
      <c r="H41" s="250" t="s">
        <v>157</v>
      </c>
      <c r="I41" s="239" t="s">
        <v>3056</v>
      </c>
      <c r="J41" s="239" t="s">
        <v>2306</v>
      </c>
      <c r="K41" s="239">
        <v>7.0</v>
      </c>
      <c r="L41" s="239" t="s">
        <v>2252</v>
      </c>
      <c r="M41" s="241">
        <v>200.0</v>
      </c>
      <c r="N41" s="241">
        <v>280.0</v>
      </c>
      <c r="O41" s="241">
        <v>400.0</v>
      </c>
      <c r="P41" s="241" t="s">
        <v>2204</v>
      </c>
      <c r="Q41" s="241" t="s">
        <v>2204</v>
      </c>
      <c r="R41" s="241" t="s">
        <v>2204</v>
      </c>
      <c r="S41" s="239" t="s">
        <v>2204</v>
      </c>
      <c r="T41" s="239" t="s">
        <v>3063</v>
      </c>
      <c r="U41" s="242" t="s">
        <v>2208</v>
      </c>
      <c r="V41" s="239" t="s">
        <v>3066</v>
      </c>
      <c r="W41" s="242" t="s">
        <v>2211</v>
      </c>
      <c r="X41" s="239" t="s">
        <v>3069</v>
      </c>
      <c r="Y41" s="239" t="s">
        <v>3070</v>
      </c>
      <c r="Z41" s="239" t="s">
        <v>2204</v>
      </c>
      <c r="AA41" s="239" t="s">
        <v>3071</v>
      </c>
      <c r="AB41" s="244" t="s">
        <v>188</v>
      </c>
      <c r="AC41" s="244" t="s">
        <v>97</v>
      </c>
      <c r="AD41" s="215" t="s">
        <v>2217</v>
      </c>
      <c r="AE41" s="244" t="s">
        <v>469</v>
      </c>
      <c r="AF41" s="245" t="s">
        <v>2218</v>
      </c>
      <c r="AG41" s="240" t="s">
        <v>138</v>
      </c>
      <c r="AH41" s="240" t="s">
        <v>41</v>
      </c>
      <c r="AI41" s="240" t="s">
        <v>2207</v>
      </c>
      <c r="AJ41" s="240" t="s">
        <v>2703</v>
      </c>
    </row>
    <row r="42" ht="15.0" customHeight="1">
      <c r="A42" s="239" t="s">
        <v>2172</v>
      </c>
      <c r="B42" s="239" t="s">
        <v>1052</v>
      </c>
      <c r="C42" s="239" t="s">
        <v>3075</v>
      </c>
      <c r="D42" s="239" t="s">
        <v>135</v>
      </c>
      <c r="E42" s="239" t="str">
        <f t="array" ref="E42">IFERROR(INDEX(REF_CODES!$B$8:$B$13,MATCH($D42,REF_CODES!$C$8:$C$13,0)),"")</f>
        <v>HB-RIA</v>
      </c>
      <c r="F42" s="239" t="s">
        <v>3086</v>
      </c>
      <c r="G42" s="262" t="s">
        <v>2571</v>
      </c>
      <c r="H42" s="240" t="s">
        <v>157</v>
      </c>
      <c r="I42" s="239" t="s">
        <v>3087</v>
      </c>
      <c r="J42" s="239" t="s">
        <v>2306</v>
      </c>
      <c r="K42" s="239">
        <v>12.0</v>
      </c>
      <c r="L42" s="239" t="s">
        <v>2252</v>
      </c>
      <c r="M42" s="241">
        <v>150.0</v>
      </c>
      <c r="N42" s="241" t="s">
        <v>2204</v>
      </c>
      <c r="O42" s="241" t="s">
        <v>2204</v>
      </c>
      <c r="P42" s="241" t="s">
        <v>2204</v>
      </c>
      <c r="Q42" s="241" t="s">
        <v>2204</v>
      </c>
      <c r="R42" s="241" t="s">
        <v>2204</v>
      </c>
      <c r="S42" s="239" t="s">
        <v>2204</v>
      </c>
      <c r="T42" s="262" t="s">
        <v>3092</v>
      </c>
      <c r="U42" s="242" t="s">
        <v>2208</v>
      </c>
      <c r="V42" s="239" t="s">
        <v>2288</v>
      </c>
      <c r="W42" s="239" t="s">
        <v>3093</v>
      </c>
      <c r="X42" s="239" t="s">
        <v>3094</v>
      </c>
      <c r="Y42" s="239" t="s">
        <v>3095</v>
      </c>
      <c r="Z42" s="239" t="s">
        <v>3097</v>
      </c>
      <c r="AA42" s="242" t="s">
        <v>3099</v>
      </c>
      <c r="AB42" s="244" t="s">
        <v>188</v>
      </c>
      <c r="AC42" s="244" t="s">
        <v>97</v>
      </c>
      <c r="AD42" s="215" t="s">
        <v>2217</v>
      </c>
      <c r="AE42" s="244" t="s">
        <v>469</v>
      </c>
      <c r="AF42" s="245" t="s">
        <v>2218</v>
      </c>
      <c r="AG42" s="240" t="s">
        <v>138</v>
      </c>
      <c r="AH42" s="240" t="s">
        <v>41</v>
      </c>
      <c r="AI42" s="240" t="s">
        <v>2207</v>
      </c>
      <c r="AJ42" s="240" t="s">
        <v>2933</v>
      </c>
    </row>
    <row r="43" ht="15.0" customHeight="1">
      <c r="A43" s="239" t="s">
        <v>2172</v>
      </c>
      <c r="B43" s="239" t="s">
        <v>1052</v>
      </c>
      <c r="C43" s="239" t="s">
        <v>3106</v>
      </c>
      <c r="D43" s="239" t="s">
        <v>135</v>
      </c>
      <c r="E43" s="239" t="str">
        <f t="array" ref="E43">IFERROR(INDEX(REF_CODES!$B$8:$B$13,MATCH($D43,REF_CODES!$C$8:$C$13,0)),"")</f>
        <v>HB-RIA</v>
      </c>
      <c r="F43" s="239" t="s">
        <v>3114</v>
      </c>
      <c r="G43" s="262" t="s">
        <v>2571</v>
      </c>
      <c r="H43" s="240" t="s">
        <v>157</v>
      </c>
      <c r="I43" s="239" t="s">
        <v>3116</v>
      </c>
      <c r="J43" s="239" t="s">
        <v>2306</v>
      </c>
      <c r="K43" s="239">
        <v>8.0</v>
      </c>
      <c r="L43" s="239" t="s">
        <v>2252</v>
      </c>
      <c r="M43" s="241">
        <v>90.0</v>
      </c>
      <c r="N43" s="241" t="s">
        <v>2204</v>
      </c>
      <c r="O43" s="241" t="s">
        <v>2204</v>
      </c>
      <c r="P43" s="241" t="s">
        <v>2204</v>
      </c>
      <c r="Q43" s="241" t="s">
        <v>2204</v>
      </c>
      <c r="R43" s="241" t="s">
        <v>2204</v>
      </c>
      <c r="S43" s="239" t="s">
        <v>2204</v>
      </c>
      <c r="T43" s="239" t="s">
        <v>3118</v>
      </c>
      <c r="U43" s="239" t="s">
        <v>3119</v>
      </c>
      <c r="V43" s="239" t="s">
        <v>3121</v>
      </c>
      <c r="W43" s="242" t="s">
        <v>2211</v>
      </c>
      <c r="X43" s="239" t="s">
        <v>3123</v>
      </c>
      <c r="Y43" s="239" t="s">
        <v>3124</v>
      </c>
      <c r="Z43" s="239" t="s">
        <v>2204</v>
      </c>
      <c r="AA43" s="239" t="s">
        <v>3125</v>
      </c>
      <c r="AB43" s="244" t="s">
        <v>188</v>
      </c>
      <c r="AC43" s="244" t="s">
        <v>97</v>
      </c>
      <c r="AD43" s="215" t="s">
        <v>2217</v>
      </c>
      <c r="AE43" s="244" t="s">
        <v>463</v>
      </c>
      <c r="AF43" s="245" t="s">
        <v>2218</v>
      </c>
      <c r="AG43" s="240" t="s">
        <v>138</v>
      </c>
      <c r="AH43" s="240" t="s">
        <v>41</v>
      </c>
      <c r="AI43" s="240" t="s">
        <v>2207</v>
      </c>
      <c r="AJ43" s="240" t="s">
        <v>53</v>
      </c>
    </row>
    <row r="44" ht="15.0" customHeight="1">
      <c r="A44" s="239" t="s">
        <v>2172</v>
      </c>
      <c r="B44" s="239" t="s">
        <v>1052</v>
      </c>
      <c r="C44" s="239" t="s">
        <v>3132</v>
      </c>
      <c r="D44" s="239" t="s">
        <v>135</v>
      </c>
      <c r="E44" s="239" t="str">
        <f t="array" ref="E44">IFERROR(INDEX(REF_CODES!$B$8:$B$13,MATCH($D44,REF_CODES!$C$8:$C$13,0)),"")</f>
        <v>HB-RIA</v>
      </c>
      <c r="F44" s="239" t="s">
        <v>3136</v>
      </c>
      <c r="G44" s="262" t="s">
        <v>2571</v>
      </c>
      <c r="H44" s="240" t="s">
        <v>157</v>
      </c>
      <c r="I44" s="239" t="s">
        <v>3137</v>
      </c>
      <c r="J44" s="239" t="s">
        <v>2511</v>
      </c>
      <c r="K44" s="239">
        <v>22.0</v>
      </c>
      <c r="L44" s="239" t="s">
        <v>2252</v>
      </c>
      <c r="M44" s="241">
        <v>116.0</v>
      </c>
      <c r="N44" s="241" t="s">
        <v>2204</v>
      </c>
      <c r="O44" s="241" t="s">
        <v>2204</v>
      </c>
      <c r="P44" s="241" t="s">
        <v>2204</v>
      </c>
      <c r="Q44" s="241" t="s">
        <v>2204</v>
      </c>
      <c r="R44" s="241" t="s">
        <v>2204</v>
      </c>
      <c r="S44" s="239" t="s">
        <v>2204</v>
      </c>
      <c r="T44" s="239" t="s">
        <v>3144</v>
      </c>
      <c r="U44" s="242" t="s">
        <v>2208</v>
      </c>
      <c r="V44" s="239" t="s">
        <v>2288</v>
      </c>
      <c r="W44" s="242" t="s">
        <v>2211</v>
      </c>
      <c r="X44" s="239" t="s">
        <v>3147</v>
      </c>
      <c r="Y44" s="239" t="s">
        <v>3148</v>
      </c>
      <c r="Z44" s="239" t="s">
        <v>2204</v>
      </c>
      <c r="AA44" s="242" t="s">
        <v>3149</v>
      </c>
      <c r="AB44" s="244" t="s">
        <v>188</v>
      </c>
      <c r="AC44" s="244" t="s">
        <v>97</v>
      </c>
      <c r="AD44" s="215" t="s">
        <v>2238</v>
      </c>
      <c r="AE44" s="244" t="s">
        <v>469</v>
      </c>
      <c r="AF44" s="245" t="s">
        <v>2218</v>
      </c>
      <c r="AG44" s="240" t="s">
        <v>138</v>
      </c>
      <c r="AH44" s="240" t="s">
        <v>41</v>
      </c>
      <c r="AI44" s="240" t="s">
        <v>2207</v>
      </c>
      <c r="AJ44" s="240" t="s">
        <v>3152</v>
      </c>
    </row>
    <row r="45" ht="15.0" customHeight="1">
      <c r="A45" s="239" t="s">
        <v>2172</v>
      </c>
      <c r="B45" s="239" t="s">
        <v>1052</v>
      </c>
      <c r="C45" s="239" t="s">
        <v>3153</v>
      </c>
      <c r="D45" s="239" t="s">
        <v>135</v>
      </c>
      <c r="E45" s="239" t="str">
        <f t="array" ref="E45">IFERROR(INDEX(REF_CODES!$B$8:$B$13,MATCH($D45,REF_CODES!$C$8:$C$13,0)),"")</f>
        <v>HB-RIA</v>
      </c>
      <c r="F45" s="239" t="s">
        <v>3159</v>
      </c>
      <c r="G45" s="262" t="s">
        <v>2919</v>
      </c>
      <c r="H45" s="250" t="s">
        <v>157</v>
      </c>
      <c r="I45" s="239" t="s">
        <v>3160</v>
      </c>
      <c r="J45" s="239" t="s">
        <v>2306</v>
      </c>
      <c r="K45" s="239">
        <v>5.0</v>
      </c>
      <c r="L45" s="239" t="s">
        <v>2252</v>
      </c>
      <c r="M45" s="241">
        <v>180.0</v>
      </c>
      <c r="N45" s="241">
        <v>250.0</v>
      </c>
      <c r="O45" s="241">
        <v>350.0</v>
      </c>
      <c r="P45" s="241" t="s">
        <v>2204</v>
      </c>
      <c r="Q45" s="241" t="s">
        <v>2204</v>
      </c>
      <c r="R45" s="241" t="s">
        <v>2204</v>
      </c>
      <c r="S45" s="239" t="s">
        <v>2204</v>
      </c>
      <c r="T45" s="239" t="s">
        <v>3167</v>
      </c>
      <c r="U45" s="242" t="s">
        <v>2208</v>
      </c>
      <c r="V45" s="239" t="s">
        <v>2288</v>
      </c>
      <c r="W45" s="242" t="s">
        <v>2211</v>
      </c>
      <c r="X45" s="239" t="s">
        <v>3170</v>
      </c>
      <c r="Y45" s="239" t="s">
        <v>3171</v>
      </c>
      <c r="Z45" s="239" t="s">
        <v>2204</v>
      </c>
      <c r="AA45" s="242" t="s">
        <v>3173</v>
      </c>
      <c r="AB45" s="244" t="s">
        <v>188</v>
      </c>
      <c r="AC45" s="244" t="s">
        <v>97</v>
      </c>
      <c r="AD45" s="215" t="s">
        <v>2217</v>
      </c>
      <c r="AE45" s="244" t="s">
        <v>469</v>
      </c>
      <c r="AF45" s="245" t="s">
        <v>2218</v>
      </c>
      <c r="AG45" s="240" t="s">
        <v>138</v>
      </c>
      <c r="AH45" s="240" t="s">
        <v>41</v>
      </c>
      <c r="AI45" s="240" t="s">
        <v>2207</v>
      </c>
      <c r="AJ45" s="240" t="s">
        <v>2983</v>
      </c>
    </row>
    <row r="46" ht="15.0" customHeight="1">
      <c r="A46" s="239" t="s">
        <v>2172</v>
      </c>
      <c r="B46" s="239" t="s">
        <v>1052</v>
      </c>
      <c r="C46" s="239" t="s">
        <v>3176</v>
      </c>
      <c r="D46" s="239" t="s">
        <v>135</v>
      </c>
      <c r="E46" s="239" t="str">
        <f t="array" ref="E46">IFERROR(INDEX(REF_CODES!$B$8:$B$13,MATCH($D46,REF_CODES!$C$8:$C$13,0)),"")</f>
        <v>HB-RIA</v>
      </c>
      <c r="F46" s="239" t="s">
        <v>3181</v>
      </c>
      <c r="G46" s="262" t="s">
        <v>2919</v>
      </c>
      <c r="H46" s="240" t="s">
        <v>157</v>
      </c>
      <c r="I46" s="239" t="s">
        <v>3184</v>
      </c>
      <c r="J46" s="239" t="s">
        <v>2306</v>
      </c>
      <c r="K46" s="239">
        <v>11.0</v>
      </c>
      <c r="L46" s="239" t="s">
        <v>2252</v>
      </c>
      <c r="M46" s="241">
        <v>176.0</v>
      </c>
      <c r="N46" s="241" t="s">
        <v>2204</v>
      </c>
      <c r="O46" s="241" t="s">
        <v>2204</v>
      </c>
      <c r="P46" s="241" t="s">
        <v>2204</v>
      </c>
      <c r="Q46" s="241" t="s">
        <v>2204</v>
      </c>
      <c r="R46" s="241" t="s">
        <v>2204</v>
      </c>
      <c r="S46" s="239" t="s">
        <v>2204</v>
      </c>
      <c r="T46" s="239" t="s">
        <v>3187</v>
      </c>
      <c r="U46" s="242" t="s">
        <v>2208</v>
      </c>
      <c r="V46" s="239" t="s">
        <v>3188</v>
      </c>
      <c r="W46" s="242" t="s">
        <v>2211</v>
      </c>
      <c r="X46" s="239" t="s">
        <v>2288</v>
      </c>
      <c r="Y46" s="239" t="s">
        <v>3190</v>
      </c>
      <c r="Z46" s="239" t="s">
        <v>2204</v>
      </c>
      <c r="AA46" s="239" t="s">
        <v>3191</v>
      </c>
      <c r="AB46" s="244" t="s">
        <v>188</v>
      </c>
      <c r="AC46" s="244" t="s">
        <v>97</v>
      </c>
      <c r="AD46" s="215" t="s">
        <v>2217</v>
      </c>
      <c r="AE46" s="244" t="s">
        <v>469</v>
      </c>
      <c r="AF46" s="245" t="s">
        <v>2218</v>
      </c>
      <c r="AG46" s="240" t="s">
        <v>138</v>
      </c>
      <c r="AH46" s="240" t="s">
        <v>41</v>
      </c>
      <c r="AI46" s="240" t="s">
        <v>2207</v>
      </c>
      <c r="AJ46" s="240" t="s">
        <v>2703</v>
      </c>
    </row>
    <row r="47" ht="15.0" customHeight="1">
      <c r="A47" s="239" t="s">
        <v>2172</v>
      </c>
      <c r="B47" s="239" t="s">
        <v>1052</v>
      </c>
      <c r="C47" s="239" t="s">
        <v>3194</v>
      </c>
      <c r="D47" s="239" t="s">
        <v>135</v>
      </c>
      <c r="E47" s="239" t="str">
        <f t="array" ref="E47">IFERROR(INDEX(REF_CODES!$B$8:$B$13,MATCH($D47,REF_CODES!$C$8:$C$13,0)),"")</f>
        <v>HB-RIA</v>
      </c>
      <c r="F47" s="239" t="s">
        <v>3196</v>
      </c>
      <c r="G47" s="262" t="s">
        <v>2571</v>
      </c>
      <c r="H47" s="240" t="s">
        <v>157</v>
      </c>
      <c r="I47" s="239" t="s">
        <v>3200</v>
      </c>
      <c r="J47" s="239" t="s">
        <v>2306</v>
      </c>
      <c r="K47" s="239">
        <v>7.0</v>
      </c>
      <c r="L47" s="239" t="s">
        <v>2252</v>
      </c>
      <c r="M47" s="241">
        <v>144.0</v>
      </c>
      <c r="N47" s="241" t="s">
        <v>2204</v>
      </c>
      <c r="O47" s="241" t="s">
        <v>2204</v>
      </c>
      <c r="P47" s="241" t="s">
        <v>2204</v>
      </c>
      <c r="Q47" s="241" t="s">
        <v>2204</v>
      </c>
      <c r="R47" s="241" t="s">
        <v>2204</v>
      </c>
      <c r="S47" s="239" t="s">
        <v>2204</v>
      </c>
      <c r="T47" s="262" t="s">
        <v>3204</v>
      </c>
      <c r="U47" s="242" t="s">
        <v>2208</v>
      </c>
      <c r="V47" s="239" t="s">
        <v>2288</v>
      </c>
      <c r="W47" s="239" t="s">
        <v>3206</v>
      </c>
      <c r="X47" s="239" t="s">
        <v>3207</v>
      </c>
      <c r="Y47" s="239" t="s">
        <v>3208</v>
      </c>
      <c r="Z47" s="239" t="s">
        <v>2204</v>
      </c>
      <c r="AA47" s="242" t="s">
        <v>3211</v>
      </c>
      <c r="AB47" s="244" t="s">
        <v>188</v>
      </c>
      <c r="AC47" s="244" t="s">
        <v>97</v>
      </c>
      <c r="AD47" s="215" t="s">
        <v>2217</v>
      </c>
      <c r="AE47" s="244" t="s">
        <v>469</v>
      </c>
      <c r="AF47" s="245" t="s">
        <v>2218</v>
      </c>
      <c r="AG47" s="240" t="s">
        <v>138</v>
      </c>
      <c r="AH47" s="240" t="s">
        <v>41</v>
      </c>
      <c r="AI47" s="240" t="s">
        <v>2207</v>
      </c>
      <c r="AJ47" s="240" t="s">
        <v>2933</v>
      </c>
    </row>
    <row r="48" ht="15.0" customHeight="1">
      <c r="A48" s="239" t="s">
        <v>2172</v>
      </c>
      <c r="B48" s="239" t="s">
        <v>1052</v>
      </c>
      <c r="C48" s="239" t="s">
        <v>3215</v>
      </c>
      <c r="D48" s="239" t="s">
        <v>135</v>
      </c>
      <c r="E48" s="239" t="str">
        <f t="array" ref="E48">IFERROR(INDEX(REF_CODES!$B$8:$B$13,MATCH($D48,REF_CODES!$C$8:$C$13,0)),"")</f>
        <v>HB-RIA</v>
      </c>
      <c r="F48" s="239" t="s">
        <v>3218</v>
      </c>
      <c r="G48" s="262" t="s">
        <v>2571</v>
      </c>
      <c r="H48" s="250" t="s">
        <v>157</v>
      </c>
      <c r="I48" s="239" t="s">
        <v>3221</v>
      </c>
      <c r="J48" s="239" t="s">
        <v>2306</v>
      </c>
      <c r="K48" s="239">
        <v>6.0</v>
      </c>
      <c r="L48" s="239" t="s">
        <v>2252</v>
      </c>
      <c r="M48" s="241">
        <v>170.0</v>
      </c>
      <c r="N48" s="241">
        <v>240.0</v>
      </c>
      <c r="O48" s="241">
        <v>320.0</v>
      </c>
      <c r="P48" s="241" t="s">
        <v>2204</v>
      </c>
      <c r="Q48" s="241" t="s">
        <v>2204</v>
      </c>
      <c r="R48" s="241" t="s">
        <v>2204</v>
      </c>
      <c r="S48" s="239" t="s">
        <v>2204</v>
      </c>
      <c r="T48" s="262" t="s">
        <v>3225</v>
      </c>
      <c r="U48" s="242" t="s">
        <v>2208</v>
      </c>
      <c r="V48" s="239" t="s">
        <v>2288</v>
      </c>
      <c r="W48" s="239" t="s">
        <v>3226</v>
      </c>
      <c r="X48" s="239" t="s">
        <v>3227</v>
      </c>
      <c r="Y48" s="239" t="s">
        <v>3228</v>
      </c>
      <c r="Z48" s="239" t="s">
        <v>2204</v>
      </c>
      <c r="AA48" s="242" t="s">
        <v>3229</v>
      </c>
      <c r="AB48" s="244" t="s">
        <v>188</v>
      </c>
      <c r="AC48" s="244" t="s">
        <v>97</v>
      </c>
      <c r="AD48" s="215" t="s">
        <v>2217</v>
      </c>
      <c r="AE48" s="244" t="s">
        <v>469</v>
      </c>
      <c r="AF48" s="245" t="s">
        <v>2218</v>
      </c>
      <c r="AG48" s="240" t="s">
        <v>138</v>
      </c>
      <c r="AH48" s="240" t="s">
        <v>41</v>
      </c>
      <c r="AI48" s="240" t="s">
        <v>2207</v>
      </c>
      <c r="AJ48" s="240" t="s">
        <v>2703</v>
      </c>
    </row>
    <row r="49" ht="15.0" customHeight="1">
      <c r="A49" s="239" t="s">
        <v>2172</v>
      </c>
      <c r="B49" s="239" t="s">
        <v>1052</v>
      </c>
      <c r="C49" s="239" t="s">
        <v>3230</v>
      </c>
      <c r="D49" s="239" t="s">
        <v>135</v>
      </c>
      <c r="E49" s="239" t="str">
        <f t="array" ref="E49">IFERROR(INDEX(REF_CODES!$B$8:$B$13,MATCH($D49,REF_CODES!$C$8:$C$13,0)),"")</f>
        <v>HB-RIA</v>
      </c>
      <c r="F49" s="239" t="s">
        <v>3233</v>
      </c>
      <c r="G49" s="262" t="s">
        <v>2571</v>
      </c>
      <c r="H49" s="250" t="s">
        <v>157</v>
      </c>
      <c r="I49" s="239" t="s">
        <v>3234</v>
      </c>
      <c r="J49" s="239" t="s">
        <v>2306</v>
      </c>
      <c r="K49" s="239">
        <v>10.0</v>
      </c>
      <c r="L49" s="239" t="s">
        <v>2252</v>
      </c>
      <c r="M49" s="241">
        <v>200.0</v>
      </c>
      <c r="N49" s="241">
        <v>280.0</v>
      </c>
      <c r="O49" s="241">
        <v>380.0</v>
      </c>
      <c r="P49" s="241" t="s">
        <v>2204</v>
      </c>
      <c r="Q49" s="241" t="s">
        <v>2204</v>
      </c>
      <c r="R49" s="241" t="s">
        <v>2204</v>
      </c>
      <c r="S49" s="239" t="s">
        <v>2204</v>
      </c>
      <c r="T49" s="239" t="s">
        <v>3240</v>
      </c>
      <c r="U49" s="242" t="s">
        <v>2208</v>
      </c>
      <c r="V49" s="239" t="s">
        <v>3243</v>
      </c>
      <c r="W49" s="242" t="s">
        <v>2211</v>
      </c>
      <c r="X49" s="239" t="s">
        <v>3244</v>
      </c>
      <c r="Y49" s="239" t="s">
        <v>3245</v>
      </c>
      <c r="Z49" s="239" t="s">
        <v>2204</v>
      </c>
      <c r="AA49" s="239" t="s">
        <v>3247</v>
      </c>
      <c r="AB49" s="244" t="s">
        <v>188</v>
      </c>
      <c r="AC49" s="244" t="s">
        <v>97</v>
      </c>
      <c r="AD49" s="215" t="s">
        <v>2217</v>
      </c>
      <c r="AE49" s="244" t="s">
        <v>469</v>
      </c>
      <c r="AF49" s="245" t="s">
        <v>2218</v>
      </c>
      <c r="AG49" s="240" t="s">
        <v>138</v>
      </c>
      <c r="AH49" s="240" t="s">
        <v>41</v>
      </c>
      <c r="AI49" s="240" t="s">
        <v>2207</v>
      </c>
      <c r="AJ49" s="240" t="s">
        <v>2983</v>
      </c>
    </row>
    <row r="50" ht="15.0" customHeight="1">
      <c r="A50" s="239" t="s">
        <v>2172</v>
      </c>
      <c r="B50" s="239" t="s">
        <v>1052</v>
      </c>
      <c r="C50" s="239" t="s">
        <v>3248</v>
      </c>
      <c r="D50" s="239" t="s">
        <v>135</v>
      </c>
      <c r="E50" s="239" t="str">
        <f t="array" ref="E50">IFERROR(INDEX(REF_CODES!$B$8:$B$13,MATCH($D50,REF_CODES!$C$8:$C$13,0)),"")</f>
        <v>HB-RIA</v>
      </c>
      <c r="F50" s="239" t="s">
        <v>3251</v>
      </c>
      <c r="G50" s="262" t="s">
        <v>2571</v>
      </c>
      <c r="H50" s="240" t="s">
        <v>157</v>
      </c>
      <c r="I50" s="239" t="s">
        <v>3255</v>
      </c>
      <c r="J50" s="239" t="s">
        <v>2306</v>
      </c>
      <c r="K50" s="239" t="s">
        <v>2573</v>
      </c>
      <c r="L50" s="239" t="s">
        <v>2252</v>
      </c>
      <c r="M50" s="241">
        <v>144.0</v>
      </c>
      <c r="N50" s="241" t="s">
        <v>2204</v>
      </c>
      <c r="O50" s="241" t="s">
        <v>2204</v>
      </c>
      <c r="P50" s="241" t="s">
        <v>2204</v>
      </c>
      <c r="Q50" s="241" t="s">
        <v>2204</v>
      </c>
      <c r="R50" s="241" t="s">
        <v>2204</v>
      </c>
      <c r="S50" s="239" t="s">
        <v>2204</v>
      </c>
      <c r="T50" s="239" t="s">
        <v>3259</v>
      </c>
      <c r="U50" s="239" t="s">
        <v>3260</v>
      </c>
      <c r="V50" s="239" t="s">
        <v>3261</v>
      </c>
      <c r="W50" s="242" t="s">
        <v>2211</v>
      </c>
      <c r="X50" s="239" t="s">
        <v>3263</v>
      </c>
      <c r="Y50" s="239" t="s">
        <v>3265</v>
      </c>
      <c r="Z50" s="239" t="s">
        <v>2204</v>
      </c>
      <c r="AA50" s="239" t="s">
        <v>3267</v>
      </c>
      <c r="AB50" s="244" t="s">
        <v>188</v>
      </c>
      <c r="AC50" s="244" t="s">
        <v>97</v>
      </c>
      <c r="AD50" s="215" t="s">
        <v>2217</v>
      </c>
      <c r="AE50" s="244" t="s">
        <v>469</v>
      </c>
      <c r="AF50" s="245" t="s">
        <v>2218</v>
      </c>
      <c r="AG50" s="240" t="s">
        <v>138</v>
      </c>
      <c r="AH50" s="240" t="s">
        <v>41</v>
      </c>
      <c r="AI50" s="240" t="s">
        <v>2207</v>
      </c>
      <c r="AJ50" s="240" t="s">
        <v>2933</v>
      </c>
    </row>
    <row r="51" ht="15.0" hidden="1" customHeight="1">
      <c r="A51" s="239" t="s">
        <v>2172</v>
      </c>
      <c r="B51" s="239" t="s">
        <v>1052</v>
      </c>
      <c r="C51" s="239" t="s">
        <v>3274</v>
      </c>
      <c r="D51" s="239" t="s">
        <v>130</v>
      </c>
      <c r="E51" s="239" t="str">
        <f t="array" ref="E51">IFERROR(INDEX(REF_CODES!$B$8:$B$13,MATCH($D51,REF_CODES!$C$8:$C$13,0)),"")</f>
        <v>HB-INC</v>
      </c>
      <c r="F51" s="239" t="s">
        <v>3282</v>
      </c>
      <c r="G51" s="262" t="s">
        <v>2919</v>
      </c>
      <c r="H51" s="250" t="s">
        <v>160</v>
      </c>
      <c r="I51" s="239" t="s">
        <v>3283</v>
      </c>
      <c r="J51" s="239" t="s">
        <v>2306</v>
      </c>
      <c r="K51" s="239">
        <v>14.0</v>
      </c>
      <c r="L51" s="239" t="s">
        <v>2252</v>
      </c>
      <c r="M51" s="241">
        <v>350.0</v>
      </c>
      <c r="N51" s="241">
        <v>500.0</v>
      </c>
      <c r="O51" s="241">
        <v>700.0</v>
      </c>
      <c r="P51" s="241" t="s">
        <v>2204</v>
      </c>
      <c r="Q51" s="241" t="s">
        <v>2204</v>
      </c>
      <c r="R51" s="241" t="s">
        <v>2204</v>
      </c>
      <c r="S51" s="239" t="s">
        <v>2204</v>
      </c>
      <c r="T51" s="239" t="s">
        <v>3286</v>
      </c>
      <c r="U51" s="239" t="s">
        <v>3287</v>
      </c>
      <c r="V51" s="239" t="s">
        <v>3288</v>
      </c>
      <c r="W51" s="239" t="s">
        <v>3289</v>
      </c>
      <c r="X51" s="239" t="s">
        <v>3290</v>
      </c>
      <c r="Y51" s="242" t="s">
        <v>2211</v>
      </c>
      <c r="Z51" s="239" t="s">
        <v>2204</v>
      </c>
      <c r="AA51" s="239" t="s">
        <v>3293</v>
      </c>
      <c r="AB51" s="244" t="s">
        <v>195</v>
      </c>
      <c r="AC51" s="244" t="s">
        <v>90</v>
      </c>
      <c r="AD51" s="215" t="s">
        <v>2217</v>
      </c>
      <c r="AE51" s="244" t="s">
        <v>469</v>
      </c>
      <c r="AF51" s="245" t="s">
        <v>2218</v>
      </c>
      <c r="AG51" s="240" t="s">
        <v>138</v>
      </c>
      <c r="AH51" s="240" t="s">
        <v>41</v>
      </c>
      <c r="AI51" s="240" t="s">
        <v>2207</v>
      </c>
      <c r="AJ51" s="240" t="s">
        <v>2219</v>
      </c>
    </row>
    <row r="52" ht="15.0" customHeight="1">
      <c r="A52" s="239" t="s">
        <v>2172</v>
      </c>
      <c r="B52" s="239" t="s">
        <v>1052</v>
      </c>
      <c r="C52" s="239" t="s">
        <v>3297</v>
      </c>
      <c r="D52" s="239" t="s">
        <v>135</v>
      </c>
      <c r="E52" s="239" t="str">
        <f t="array" ref="E52">IFERROR(INDEX(REF_CODES!$B$8:$B$13,MATCH($D52,REF_CODES!$C$8:$C$13,0)),"")</f>
        <v>HB-RIA</v>
      </c>
      <c r="F52" s="239" t="s">
        <v>3300</v>
      </c>
      <c r="G52" s="262" t="s">
        <v>2571</v>
      </c>
      <c r="H52" s="250" t="s">
        <v>157</v>
      </c>
      <c r="I52" s="239" t="s">
        <v>3301</v>
      </c>
      <c r="J52" s="239" t="s">
        <v>2306</v>
      </c>
      <c r="K52" s="239">
        <v>11.0</v>
      </c>
      <c r="L52" s="239" t="s">
        <v>2252</v>
      </c>
      <c r="M52" s="241">
        <v>160.0</v>
      </c>
      <c r="N52" s="241">
        <v>230.0</v>
      </c>
      <c r="O52" s="241">
        <v>300.0</v>
      </c>
      <c r="P52" s="241" t="s">
        <v>2204</v>
      </c>
      <c r="Q52" s="241" t="s">
        <v>2204</v>
      </c>
      <c r="R52" s="241" t="s">
        <v>2204</v>
      </c>
      <c r="S52" s="239" t="s">
        <v>2204</v>
      </c>
      <c r="T52" s="239" t="s">
        <v>3306</v>
      </c>
      <c r="U52" s="242" t="s">
        <v>2208</v>
      </c>
      <c r="V52" s="239" t="s">
        <v>2288</v>
      </c>
      <c r="W52" s="242" t="s">
        <v>2211</v>
      </c>
      <c r="X52" s="239" t="s">
        <v>3307</v>
      </c>
      <c r="Y52" s="239" t="s">
        <v>3308</v>
      </c>
      <c r="Z52" s="239" t="s">
        <v>2204</v>
      </c>
      <c r="AA52" s="242" t="s">
        <v>3309</v>
      </c>
      <c r="AB52" s="244" t="s">
        <v>188</v>
      </c>
      <c r="AC52" s="244" t="s">
        <v>97</v>
      </c>
      <c r="AD52" s="215" t="s">
        <v>2217</v>
      </c>
      <c r="AE52" s="244" t="s">
        <v>469</v>
      </c>
      <c r="AF52" s="245" t="s">
        <v>2218</v>
      </c>
      <c r="AG52" s="240" t="s">
        <v>138</v>
      </c>
      <c r="AH52" s="240" t="s">
        <v>41</v>
      </c>
      <c r="AI52" s="240" t="s">
        <v>2207</v>
      </c>
      <c r="AJ52" s="240" t="s">
        <v>2703</v>
      </c>
    </row>
    <row r="53" ht="15.0" hidden="1" customHeight="1">
      <c r="A53" s="239" t="s">
        <v>2172</v>
      </c>
      <c r="B53" s="239" t="s">
        <v>1052</v>
      </c>
      <c r="C53" s="239" t="s">
        <v>3313</v>
      </c>
      <c r="D53" s="239" t="s">
        <v>130</v>
      </c>
      <c r="E53" s="239" t="str">
        <f t="array" ref="E53">IFERROR(INDEX(REF_CODES!$B$8:$B$13,MATCH($D53,REF_CODES!$C$8:$C$13,0)),"")</f>
        <v>HB-INC</v>
      </c>
      <c r="F53" s="239" t="s">
        <v>3321</v>
      </c>
      <c r="G53" s="239" t="s">
        <v>2198</v>
      </c>
      <c r="H53" s="250" t="s">
        <v>160</v>
      </c>
      <c r="I53" s="239" t="s">
        <v>3324</v>
      </c>
      <c r="J53" s="239" t="s">
        <v>2511</v>
      </c>
      <c r="K53" s="239">
        <v>27.0</v>
      </c>
      <c r="L53" s="239" t="s">
        <v>2252</v>
      </c>
      <c r="M53" s="241">
        <v>320.0</v>
      </c>
      <c r="N53" s="241">
        <v>450.0</v>
      </c>
      <c r="O53" s="241">
        <v>600.0</v>
      </c>
      <c r="P53" s="241" t="s">
        <v>2204</v>
      </c>
      <c r="Q53" s="241" t="s">
        <v>2204</v>
      </c>
      <c r="R53" s="241" t="s">
        <v>2204</v>
      </c>
      <c r="S53" s="239" t="s">
        <v>2204</v>
      </c>
      <c r="T53" s="239" t="s">
        <v>3327</v>
      </c>
      <c r="U53" s="242" t="s">
        <v>2208</v>
      </c>
      <c r="V53" s="239" t="s">
        <v>2288</v>
      </c>
      <c r="W53" s="242" t="s">
        <v>2211</v>
      </c>
      <c r="X53" s="239" t="s">
        <v>3329</v>
      </c>
      <c r="Y53" s="242" t="s">
        <v>2211</v>
      </c>
      <c r="Z53" s="239" t="s">
        <v>2204</v>
      </c>
      <c r="AA53" s="242" t="s">
        <v>3330</v>
      </c>
      <c r="AB53" s="244" t="s">
        <v>195</v>
      </c>
      <c r="AC53" s="244" t="s">
        <v>90</v>
      </c>
      <c r="AD53" s="215" t="s">
        <v>2238</v>
      </c>
      <c r="AE53" s="244" t="s">
        <v>469</v>
      </c>
      <c r="AF53" s="250" t="s">
        <v>3331</v>
      </c>
      <c r="AG53" s="240" t="s">
        <v>138</v>
      </c>
      <c r="AH53" s="240" t="s">
        <v>41</v>
      </c>
      <c r="AI53" s="240" t="s">
        <v>2207</v>
      </c>
      <c r="AJ53" s="240" t="s">
        <v>2219</v>
      </c>
    </row>
    <row r="54" ht="15.0" customHeight="1">
      <c r="A54" s="239" t="s">
        <v>2172</v>
      </c>
      <c r="B54" s="239" t="s">
        <v>1052</v>
      </c>
      <c r="C54" s="239" t="s">
        <v>3335</v>
      </c>
      <c r="D54" s="239" t="s">
        <v>135</v>
      </c>
      <c r="E54" s="239" t="str">
        <f t="array" ref="E54">IFERROR(INDEX(REF_CODES!$B$8:$B$13,MATCH($D54,REF_CODES!$C$8:$C$13,0)),"")</f>
        <v>HB-RIA</v>
      </c>
      <c r="F54" s="239" t="s">
        <v>3343</v>
      </c>
      <c r="G54" s="262" t="s">
        <v>2571</v>
      </c>
      <c r="H54" s="250" t="s">
        <v>157</v>
      </c>
      <c r="I54" s="239" t="s">
        <v>3346</v>
      </c>
      <c r="J54" s="239" t="s">
        <v>2306</v>
      </c>
      <c r="K54" s="239">
        <v>10.0</v>
      </c>
      <c r="L54" s="239" t="s">
        <v>2252</v>
      </c>
      <c r="M54" s="241">
        <v>190.0</v>
      </c>
      <c r="N54" s="241">
        <v>270.0</v>
      </c>
      <c r="O54" s="241">
        <v>380.0</v>
      </c>
      <c r="P54" s="241" t="s">
        <v>2204</v>
      </c>
      <c r="Q54" s="241" t="s">
        <v>2204</v>
      </c>
      <c r="R54" s="241" t="s">
        <v>2204</v>
      </c>
      <c r="S54" s="239" t="s">
        <v>2204</v>
      </c>
      <c r="T54" s="239" t="s">
        <v>3348</v>
      </c>
      <c r="U54" s="242" t="s">
        <v>2208</v>
      </c>
      <c r="V54" s="239" t="s">
        <v>3350</v>
      </c>
      <c r="W54" s="242" t="s">
        <v>2211</v>
      </c>
      <c r="X54" s="239" t="s">
        <v>3352</v>
      </c>
      <c r="Y54" s="239" t="s">
        <v>3353</v>
      </c>
      <c r="Z54" s="239" t="s">
        <v>2204</v>
      </c>
      <c r="AA54" s="239" t="s">
        <v>3354</v>
      </c>
      <c r="AB54" s="244" t="s">
        <v>188</v>
      </c>
      <c r="AC54" s="244" t="s">
        <v>97</v>
      </c>
      <c r="AD54" s="215" t="s">
        <v>2217</v>
      </c>
      <c r="AE54" s="244" t="s">
        <v>469</v>
      </c>
      <c r="AF54" s="245" t="s">
        <v>2218</v>
      </c>
      <c r="AG54" s="240" t="s">
        <v>138</v>
      </c>
      <c r="AH54" s="240" t="s">
        <v>41</v>
      </c>
      <c r="AI54" s="240" t="s">
        <v>2207</v>
      </c>
      <c r="AJ54" s="240" t="s">
        <v>2703</v>
      </c>
    </row>
    <row r="55" ht="15.0" customHeight="1">
      <c r="A55" s="239" t="s">
        <v>2172</v>
      </c>
      <c r="B55" s="239" t="s">
        <v>1052</v>
      </c>
      <c r="C55" s="239" t="s">
        <v>3356</v>
      </c>
      <c r="D55" s="239" t="s">
        <v>135</v>
      </c>
      <c r="E55" s="239" t="str">
        <f t="array" ref="E55">IFERROR(INDEX(REF_CODES!$B$8:$B$13,MATCH($D55,REF_CODES!$C$8:$C$13,0)),"")</f>
        <v>HB-RIA</v>
      </c>
      <c r="F55" s="239" t="s">
        <v>3360</v>
      </c>
      <c r="G55" s="262" t="s">
        <v>2571</v>
      </c>
      <c r="H55" s="240" t="s">
        <v>157</v>
      </c>
      <c r="I55" s="239" t="s">
        <v>3361</v>
      </c>
      <c r="J55" s="239" t="s">
        <v>2306</v>
      </c>
      <c r="K55" s="239">
        <v>8.0</v>
      </c>
      <c r="L55" s="239" t="s">
        <v>2252</v>
      </c>
      <c r="M55" s="241">
        <v>110.0</v>
      </c>
      <c r="N55" s="241" t="s">
        <v>2204</v>
      </c>
      <c r="O55" s="241" t="s">
        <v>2204</v>
      </c>
      <c r="P55" s="241" t="s">
        <v>2204</v>
      </c>
      <c r="Q55" s="241" t="s">
        <v>2204</v>
      </c>
      <c r="R55" s="241" t="s">
        <v>2204</v>
      </c>
      <c r="S55" s="239" t="s">
        <v>2204</v>
      </c>
      <c r="T55" s="239" t="s">
        <v>3366</v>
      </c>
      <c r="U55" s="239" t="s">
        <v>3367</v>
      </c>
      <c r="V55" s="239" t="s">
        <v>3368</v>
      </c>
      <c r="W55" s="239" t="s">
        <v>3369</v>
      </c>
      <c r="X55" s="239" t="s">
        <v>3370</v>
      </c>
      <c r="Y55" s="239" t="s">
        <v>3371</v>
      </c>
      <c r="Z55" s="239" t="s">
        <v>2204</v>
      </c>
      <c r="AA55" s="239" t="s">
        <v>3372</v>
      </c>
      <c r="AB55" s="244" t="s">
        <v>188</v>
      </c>
      <c r="AC55" s="244" t="s">
        <v>97</v>
      </c>
      <c r="AD55" s="215" t="s">
        <v>2217</v>
      </c>
      <c r="AE55" s="244" t="s">
        <v>469</v>
      </c>
      <c r="AF55" s="245" t="s">
        <v>2218</v>
      </c>
      <c r="AG55" s="240" t="s">
        <v>138</v>
      </c>
      <c r="AH55" s="240" t="s">
        <v>41</v>
      </c>
      <c r="AI55" s="240" t="s">
        <v>2207</v>
      </c>
      <c r="AJ55" s="240" t="s">
        <v>2933</v>
      </c>
    </row>
    <row r="56" ht="15.0" customHeight="1">
      <c r="A56" s="239" t="s">
        <v>2172</v>
      </c>
      <c r="B56" s="239" t="s">
        <v>1052</v>
      </c>
      <c r="C56" s="239" t="s">
        <v>3373</v>
      </c>
      <c r="D56" s="239" t="s">
        <v>135</v>
      </c>
      <c r="E56" s="239" t="str">
        <f t="array" ref="E56">IFERROR(INDEX(REF_CODES!$B$8:$B$13,MATCH($D56,REF_CODES!$C$8:$C$13,0)),"")</f>
        <v>HB-RIA</v>
      </c>
      <c r="F56" s="239" t="s">
        <v>3380</v>
      </c>
      <c r="G56" s="262" t="s">
        <v>2571</v>
      </c>
      <c r="H56" s="240" t="s">
        <v>157</v>
      </c>
      <c r="I56" s="239" t="s">
        <v>3383</v>
      </c>
      <c r="J56" s="239" t="s">
        <v>2306</v>
      </c>
      <c r="K56" s="239" t="s">
        <v>3384</v>
      </c>
      <c r="L56" s="239" t="s">
        <v>2252</v>
      </c>
      <c r="M56" s="241">
        <v>150.0</v>
      </c>
      <c r="N56" s="241" t="s">
        <v>2204</v>
      </c>
      <c r="O56" s="241" t="s">
        <v>2204</v>
      </c>
      <c r="P56" s="241" t="s">
        <v>2204</v>
      </c>
      <c r="Q56" s="241" t="s">
        <v>2204</v>
      </c>
      <c r="R56" s="241" t="s">
        <v>2204</v>
      </c>
      <c r="S56" s="239" t="s">
        <v>2204</v>
      </c>
      <c r="T56" s="262" t="s">
        <v>3385</v>
      </c>
      <c r="U56" s="242" t="s">
        <v>2208</v>
      </c>
      <c r="V56" s="239" t="s">
        <v>2288</v>
      </c>
      <c r="W56" s="239" t="s">
        <v>3386</v>
      </c>
      <c r="X56" s="239" t="s">
        <v>3387</v>
      </c>
      <c r="Y56" s="239" t="s">
        <v>3388</v>
      </c>
      <c r="Z56" s="239" t="s">
        <v>2204</v>
      </c>
      <c r="AA56" s="242" t="s">
        <v>3389</v>
      </c>
      <c r="AB56" s="244" t="s">
        <v>188</v>
      </c>
      <c r="AC56" s="244" t="s">
        <v>97</v>
      </c>
      <c r="AD56" s="215" t="s">
        <v>2217</v>
      </c>
      <c r="AE56" s="244" t="s">
        <v>469</v>
      </c>
      <c r="AF56" s="245" t="s">
        <v>2218</v>
      </c>
      <c r="AG56" s="240" t="s">
        <v>138</v>
      </c>
      <c r="AH56" s="240" t="s">
        <v>41</v>
      </c>
      <c r="AI56" s="240" t="s">
        <v>2207</v>
      </c>
      <c r="AJ56" s="240" t="s">
        <v>2933</v>
      </c>
    </row>
    <row r="57" ht="15.0" customHeight="1">
      <c r="A57" s="239" t="s">
        <v>2172</v>
      </c>
      <c r="B57" s="239" t="s">
        <v>1052</v>
      </c>
      <c r="C57" s="239" t="s">
        <v>3395</v>
      </c>
      <c r="D57" s="239" t="s">
        <v>135</v>
      </c>
      <c r="E57" s="239" t="str">
        <f t="array" ref="E57">IFERROR(INDEX(REF_CODES!$B$8:$B$13,MATCH($D57,REF_CODES!$C$8:$C$13,0)),"")</f>
        <v>HB-RIA</v>
      </c>
      <c r="F57" s="239" t="s">
        <v>3398</v>
      </c>
      <c r="G57" s="262" t="s">
        <v>2571</v>
      </c>
      <c r="H57" s="240" t="s">
        <v>157</v>
      </c>
      <c r="I57" s="239" t="s">
        <v>3401</v>
      </c>
      <c r="J57" s="239" t="s">
        <v>3403</v>
      </c>
      <c r="K57" s="239">
        <v>6.0</v>
      </c>
      <c r="L57" s="239" t="s">
        <v>2252</v>
      </c>
      <c r="M57" s="241">
        <v>150.0</v>
      </c>
      <c r="N57" s="241" t="s">
        <v>2204</v>
      </c>
      <c r="O57" s="241" t="s">
        <v>2204</v>
      </c>
      <c r="P57" s="241" t="s">
        <v>2204</v>
      </c>
      <c r="Q57" s="241" t="s">
        <v>2204</v>
      </c>
      <c r="R57" s="241" t="s">
        <v>2204</v>
      </c>
      <c r="S57" s="239" t="s">
        <v>2204</v>
      </c>
      <c r="T57" s="262" t="s">
        <v>3405</v>
      </c>
      <c r="U57" s="242" t="s">
        <v>2208</v>
      </c>
      <c r="V57" s="239" t="s">
        <v>3406</v>
      </c>
      <c r="W57" s="242" t="s">
        <v>2211</v>
      </c>
      <c r="X57" s="239" t="s">
        <v>3408</v>
      </c>
      <c r="Y57" s="242" t="s">
        <v>2211</v>
      </c>
      <c r="Z57" s="239" t="s">
        <v>2204</v>
      </c>
      <c r="AA57" s="242" t="s">
        <v>3409</v>
      </c>
      <c r="AB57" s="244" t="s">
        <v>188</v>
      </c>
      <c r="AC57" s="244" t="s">
        <v>97</v>
      </c>
      <c r="AD57" s="215" t="s">
        <v>2217</v>
      </c>
      <c r="AE57" s="244" t="s">
        <v>469</v>
      </c>
      <c r="AF57" s="245" t="s">
        <v>2218</v>
      </c>
      <c r="AG57" s="240" t="s">
        <v>138</v>
      </c>
      <c r="AH57" s="240" t="s">
        <v>41</v>
      </c>
      <c r="AI57" s="240" t="s">
        <v>2207</v>
      </c>
      <c r="AJ57" s="240" t="s">
        <v>2587</v>
      </c>
    </row>
    <row r="58" ht="15.0" customHeight="1">
      <c r="A58" s="239" t="s">
        <v>2172</v>
      </c>
      <c r="B58" s="239" t="s">
        <v>1052</v>
      </c>
      <c r="C58" s="239" t="s">
        <v>3411</v>
      </c>
      <c r="D58" s="239" t="s">
        <v>135</v>
      </c>
      <c r="E58" s="239" t="str">
        <f t="array" ref="E58">IFERROR(INDEX(REF_CODES!$B$8:$B$13,MATCH($D58,REF_CODES!$C$8:$C$13,0)),"")</f>
        <v>HB-RIA</v>
      </c>
      <c r="F58" s="239" t="s">
        <v>3415</v>
      </c>
      <c r="G58" s="262" t="s">
        <v>2571</v>
      </c>
      <c r="H58" s="240" t="s">
        <v>157</v>
      </c>
      <c r="I58" s="239" t="s">
        <v>3418</v>
      </c>
      <c r="J58" s="239" t="s">
        <v>2306</v>
      </c>
      <c r="K58" s="239">
        <v>4.0</v>
      </c>
      <c r="L58" s="239" t="s">
        <v>2252</v>
      </c>
      <c r="M58" s="241">
        <v>100.0</v>
      </c>
      <c r="N58" s="241" t="s">
        <v>2204</v>
      </c>
      <c r="O58" s="241" t="s">
        <v>2204</v>
      </c>
      <c r="P58" s="241" t="s">
        <v>2204</v>
      </c>
      <c r="Q58" s="241" t="s">
        <v>2204</v>
      </c>
      <c r="R58" s="241" t="s">
        <v>2204</v>
      </c>
      <c r="S58" s="239" t="s">
        <v>2204</v>
      </c>
      <c r="T58" s="262" t="s">
        <v>3423</v>
      </c>
      <c r="U58" s="239" t="s">
        <v>3424</v>
      </c>
      <c r="V58" s="239" t="s">
        <v>3426</v>
      </c>
      <c r="W58" s="239" t="s">
        <v>3428</v>
      </c>
      <c r="X58" s="239" t="s">
        <v>3429</v>
      </c>
      <c r="Y58" s="239" t="s">
        <v>2204</v>
      </c>
      <c r="Z58" s="239" t="s">
        <v>2204</v>
      </c>
      <c r="AA58" s="242" t="s">
        <v>3430</v>
      </c>
      <c r="AB58" s="244" t="s">
        <v>188</v>
      </c>
      <c r="AC58" s="244" t="s">
        <v>97</v>
      </c>
      <c r="AD58" s="215" t="s">
        <v>2217</v>
      </c>
      <c r="AE58" s="244" t="s">
        <v>463</v>
      </c>
      <c r="AF58" s="245" t="s">
        <v>2218</v>
      </c>
      <c r="AG58" s="240" t="s">
        <v>138</v>
      </c>
      <c r="AH58" s="240" t="s">
        <v>41</v>
      </c>
      <c r="AI58" s="240" t="s">
        <v>2207</v>
      </c>
      <c r="AJ58" s="240" t="s">
        <v>2587</v>
      </c>
    </row>
    <row r="59" ht="15.0" hidden="1" customHeight="1">
      <c r="A59" s="239" t="s">
        <v>2172</v>
      </c>
      <c r="B59" s="239" t="s">
        <v>1052</v>
      </c>
      <c r="C59" s="239" t="s">
        <v>3432</v>
      </c>
      <c r="D59" s="239" t="s">
        <v>127</v>
      </c>
      <c r="E59" s="239" t="str">
        <f t="array" ref="E59">IFERROR(INDEX(REF_CODES!$B$8:$B$13,MATCH($D59,REF_CODES!$C$8:$C$13,0)),"")</f>
        <v>HB-HOT</v>
      </c>
      <c r="F59" s="239" t="s">
        <v>3437</v>
      </c>
      <c r="G59" s="262" t="s">
        <v>2919</v>
      </c>
      <c r="H59" s="250" t="s">
        <v>157</v>
      </c>
      <c r="I59" s="239" t="s">
        <v>3439</v>
      </c>
      <c r="J59" s="239" t="s">
        <v>3440</v>
      </c>
      <c r="K59" s="239">
        <v>23.0</v>
      </c>
      <c r="L59" s="239" t="s">
        <v>2252</v>
      </c>
      <c r="M59" s="241">
        <v>280.0</v>
      </c>
      <c r="N59" s="241">
        <v>400.0</v>
      </c>
      <c r="O59" s="241">
        <v>550.0</v>
      </c>
      <c r="P59" s="241" t="s">
        <v>2204</v>
      </c>
      <c r="Q59" s="241" t="s">
        <v>2204</v>
      </c>
      <c r="R59" s="241" t="s">
        <v>2204</v>
      </c>
      <c r="S59" s="239" t="s">
        <v>2204</v>
      </c>
      <c r="T59" s="239" t="s">
        <v>3442</v>
      </c>
      <c r="U59" s="239" t="s">
        <v>3443</v>
      </c>
      <c r="V59" s="239" t="s">
        <v>3444</v>
      </c>
      <c r="W59" s="242" t="s">
        <v>2211</v>
      </c>
      <c r="X59" s="239" t="s">
        <v>3445</v>
      </c>
      <c r="Y59" s="242" t="s">
        <v>2211</v>
      </c>
      <c r="Z59" s="239" t="s">
        <v>2204</v>
      </c>
      <c r="AA59" s="239" t="s">
        <v>3446</v>
      </c>
      <c r="AB59" s="244" t="s">
        <v>195</v>
      </c>
      <c r="AC59" s="244" t="s">
        <v>90</v>
      </c>
      <c r="AD59" s="215" t="s">
        <v>2238</v>
      </c>
      <c r="AE59" s="244" t="s">
        <v>477</v>
      </c>
      <c r="AF59" s="245" t="s">
        <v>2218</v>
      </c>
      <c r="AG59" s="240" t="s">
        <v>138</v>
      </c>
      <c r="AH59" s="240" t="s">
        <v>41</v>
      </c>
      <c r="AI59" s="240" t="s">
        <v>2207</v>
      </c>
      <c r="AJ59" s="240" t="s">
        <v>3448</v>
      </c>
    </row>
    <row r="60" ht="15.0" hidden="1" customHeight="1">
      <c r="A60" s="239" t="s">
        <v>2172</v>
      </c>
      <c r="B60" s="239" t="s">
        <v>1052</v>
      </c>
      <c r="C60" s="239" t="s">
        <v>3450</v>
      </c>
      <c r="D60" s="239" t="s">
        <v>127</v>
      </c>
      <c r="E60" s="239" t="str">
        <f t="array" ref="E60">IFERROR(INDEX(REF_CODES!$B$8:$B$13,MATCH($D60,REF_CODES!$C$8:$C$13,0)),"")</f>
        <v>HB-HOT</v>
      </c>
      <c r="F60" s="239" t="s">
        <v>3456</v>
      </c>
      <c r="G60" s="262" t="s">
        <v>2919</v>
      </c>
      <c r="H60" s="250" t="s">
        <v>157</v>
      </c>
      <c r="I60" s="239" t="s">
        <v>3458</v>
      </c>
      <c r="J60" s="239" t="s">
        <v>2511</v>
      </c>
      <c r="K60" s="239">
        <v>10.0</v>
      </c>
      <c r="L60" s="239" t="s">
        <v>2252</v>
      </c>
      <c r="M60" s="241">
        <v>200.0</v>
      </c>
      <c r="N60" s="241">
        <v>300.0</v>
      </c>
      <c r="O60" s="241">
        <v>450.0</v>
      </c>
      <c r="P60" s="241" t="s">
        <v>2204</v>
      </c>
      <c r="Q60" s="241" t="s">
        <v>2204</v>
      </c>
      <c r="R60" s="241" t="s">
        <v>2204</v>
      </c>
      <c r="S60" s="239" t="s">
        <v>2204</v>
      </c>
      <c r="T60" s="239" t="s">
        <v>3460</v>
      </c>
      <c r="U60" s="239" t="s">
        <v>3461</v>
      </c>
      <c r="V60" s="239" t="s">
        <v>2288</v>
      </c>
      <c r="W60" s="242" t="s">
        <v>2211</v>
      </c>
      <c r="X60" s="239" t="s">
        <v>3462</v>
      </c>
      <c r="Y60" s="242" t="s">
        <v>2211</v>
      </c>
      <c r="Z60" s="239" t="s">
        <v>2204</v>
      </c>
      <c r="AA60" s="242" t="s">
        <v>3463</v>
      </c>
      <c r="AB60" s="244" t="s">
        <v>195</v>
      </c>
      <c r="AC60" s="244" t="s">
        <v>90</v>
      </c>
      <c r="AD60" s="215" t="s">
        <v>2238</v>
      </c>
      <c r="AE60" s="244" t="s">
        <v>477</v>
      </c>
      <c r="AF60" s="245" t="s">
        <v>2218</v>
      </c>
      <c r="AG60" s="240" t="s">
        <v>138</v>
      </c>
      <c r="AH60" s="240" t="s">
        <v>41</v>
      </c>
      <c r="AI60" s="240" t="s">
        <v>2207</v>
      </c>
      <c r="AJ60" s="240" t="s">
        <v>3466</v>
      </c>
    </row>
    <row r="61" ht="15.0" customHeight="1">
      <c r="A61" s="239" t="s">
        <v>2172</v>
      </c>
      <c r="B61" s="239" t="s">
        <v>1052</v>
      </c>
      <c r="C61" s="239" t="s">
        <v>3467</v>
      </c>
      <c r="D61" s="239" t="s">
        <v>135</v>
      </c>
      <c r="E61" s="239" t="str">
        <f t="array" ref="E61">IFERROR(INDEX(REF_CODES!$B$8:$B$13,MATCH($D61,REF_CODES!$C$8:$C$13,0)),"")</f>
        <v>HB-RIA</v>
      </c>
      <c r="F61" s="239" t="s">
        <v>3470</v>
      </c>
      <c r="G61" s="262" t="s">
        <v>2571</v>
      </c>
      <c r="H61" s="240" t="s">
        <v>157</v>
      </c>
      <c r="I61" s="239" t="s">
        <v>3471</v>
      </c>
      <c r="J61" s="239" t="s">
        <v>2306</v>
      </c>
      <c r="K61" s="239">
        <v>11.0</v>
      </c>
      <c r="L61" s="239" t="s">
        <v>2252</v>
      </c>
      <c r="M61" s="241">
        <v>121.0</v>
      </c>
      <c r="N61" s="241" t="s">
        <v>2204</v>
      </c>
      <c r="O61" s="241" t="s">
        <v>2204</v>
      </c>
      <c r="P61" s="241" t="s">
        <v>2204</v>
      </c>
      <c r="Q61" s="241" t="s">
        <v>2204</v>
      </c>
      <c r="R61" s="241" t="s">
        <v>2204</v>
      </c>
      <c r="S61" s="239" t="s">
        <v>2204</v>
      </c>
      <c r="T61" s="239" t="s">
        <v>3475</v>
      </c>
      <c r="U61" s="242" t="s">
        <v>2208</v>
      </c>
      <c r="V61" s="239" t="s">
        <v>3476</v>
      </c>
      <c r="W61" s="239" t="s">
        <v>3477</v>
      </c>
      <c r="X61" s="239" t="s">
        <v>3478</v>
      </c>
      <c r="Y61" s="242" t="s">
        <v>2211</v>
      </c>
      <c r="Z61" s="239" t="s">
        <v>2204</v>
      </c>
      <c r="AA61" s="239" t="s">
        <v>3479</v>
      </c>
      <c r="AB61" s="244" t="s">
        <v>188</v>
      </c>
      <c r="AC61" s="244" t="s">
        <v>97</v>
      </c>
      <c r="AD61" s="215" t="s">
        <v>2217</v>
      </c>
      <c r="AE61" s="244" t="s">
        <v>469</v>
      </c>
      <c r="AF61" s="245" t="s">
        <v>2218</v>
      </c>
      <c r="AG61" s="240" t="s">
        <v>138</v>
      </c>
      <c r="AH61" s="240" t="s">
        <v>41</v>
      </c>
      <c r="AI61" s="240" t="s">
        <v>2207</v>
      </c>
      <c r="AJ61" s="240" t="s">
        <v>2587</v>
      </c>
    </row>
    <row r="62" ht="15.0" customHeight="1">
      <c r="A62" s="239" t="s">
        <v>2172</v>
      </c>
      <c r="B62" s="239" t="s">
        <v>1052</v>
      </c>
      <c r="C62" s="239" t="s">
        <v>3483</v>
      </c>
      <c r="D62" s="239" t="s">
        <v>135</v>
      </c>
      <c r="E62" s="239" t="str">
        <f t="array" ref="E62">IFERROR(INDEX(REF_CODES!$B$8:$B$13,MATCH($D62,REF_CODES!$C$8:$C$13,0)),"")</f>
        <v>HB-RIA</v>
      </c>
      <c r="F62" s="239" t="s">
        <v>3485</v>
      </c>
      <c r="G62" s="262" t="s">
        <v>2919</v>
      </c>
      <c r="H62" s="240" t="s">
        <v>157</v>
      </c>
      <c r="I62" s="239" t="s">
        <v>3486</v>
      </c>
      <c r="J62" s="239" t="s">
        <v>2306</v>
      </c>
      <c r="K62" s="239">
        <v>6.0</v>
      </c>
      <c r="L62" s="239" t="s">
        <v>2252</v>
      </c>
      <c r="M62" s="241">
        <v>250.0</v>
      </c>
      <c r="N62" s="241" t="s">
        <v>2204</v>
      </c>
      <c r="O62" s="241" t="s">
        <v>2204</v>
      </c>
      <c r="P62" s="241" t="s">
        <v>2204</v>
      </c>
      <c r="Q62" s="241" t="s">
        <v>2204</v>
      </c>
      <c r="R62" s="241" t="s">
        <v>2204</v>
      </c>
      <c r="S62" s="239" t="s">
        <v>2204</v>
      </c>
      <c r="T62" s="239" t="s">
        <v>3492</v>
      </c>
      <c r="U62" s="239" t="s">
        <v>3493</v>
      </c>
      <c r="V62" s="239" t="s">
        <v>3494</v>
      </c>
      <c r="W62" s="242" t="s">
        <v>2211</v>
      </c>
      <c r="X62" s="239" t="s">
        <v>3495</v>
      </c>
      <c r="Y62" s="242" t="s">
        <v>2211</v>
      </c>
      <c r="Z62" s="239" t="s">
        <v>2204</v>
      </c>
      <c r="AA62" s="239" t="s">
        <v>3497</v>
      </c>
      <c r="AB62" s="244" t="s">
        <v>188</v>
      </c>
      <c r="AC62" s="244" t="s">
        <v>97</v>
      </c>
      <c r="AD62" s="215" t="s">
        <v>2217</v>
      </c>
      <c r="AE62" s="244" t="s">
        <v>469</v>
      </c>
      <c r="AF62" s="245" t="s">
        <v>2218</v>
      </c>
      <c r="AG62" s="240" t="s">
        <v>138</v>
      </c>
      <c r="AH62" s="240" t="s">
        <v>41</v>
      </c>
      <c r="AI62" s="240" t="s">
        <v>2207</v>
      </c>
      <c r="AJ62" s="240" t="s">
        <v>2587</v>
      </c>
    </row>
    <row r="63" ht="15.0" hidden="1" customHeight="1">
      <c r="A63" s="239" t="s">
        <v>2172</v>
      </c>
      <c r="B63" s="239" t="s">
        <v>1052</v>
      </c>
      <c r="C63" s="239" t="s">
        <v>3498</v>
      </c>
      <c r="D63" s="239" t="s">
        <v>130</v>
      </c>
      <c r="E63" s="239" t="str">
        <f t="array" ref="E63">IFERROR(INDEX(REF_CODES!$B$8:$B$13,MATCH($D63,REF_CODES!$C$8:$C$13,0)),"")</f>
        <v>HB-INC</v>
      </c>
      <c r="F63" s="239" t="s">
        <v>2844</v>
      </c>
      <c r="G63" s="239" t="s">
        <v>2198</v>
      </c>
      <c r="H63" s="250" t="s">
        <v>157</v>
      </c>
      <c r="I63" s="239" t="s">
        <v>3503</v>
      </c>
      <c r="J63" s="239" t="s">
        <v>2306</v>
      </c>
      <c r="K63" s="239">
        <v>26.0</v>
      </c>
      <c r="L63" s="239" t="s">
        <v>2252</v>
      </c>
      <c r="M63" s="241">
        <v>196.0</v>
      </c>
      <c r="N63" s="241">
        <v>320.0</v>
      </c>
      <c r="O63" s="241">
        <v>480.0</v>
      </c>
      <c r="P63" s="241" t="s">
        <v>2204</v>
      </c>
      <c r="Q63" s="241" t="s">
        <v>2204</v>
      </c>
      <c r="R63" s="241" t="s">
        <v>2204</v>
      </c>
      <c r="S63" s="239" t="s">
        <v>2204</v>
      </c>
      <c r="T63" s="239" t="s">
        <v>3508</v>
      </c>
      <c r="U63" s="242" t="s">
        <v>2208</v>
      </c>
      <c r="V63" s="239" t="s">
        <v>2288</v>
      </c>
      <c r="W63" s="242" t="s">
        <v>2211</v>
      </c>
      <c r="X63" s="239" t="s">
        <v>3509</v>
      </c>
      <c r="Y63" s="242" t="s">
        <v>2211</v>
      </c>
      <c r="Z63" s="239" t="s">
        <v>2204</v>
      </c>
      <c r="AA63" s="242" t="s">
        <v>3511</v>
      </c>
      <c r="AB63" s="244" t="s">
        <v>188</v>
      </c>
      <c r="AC63" s="244" t="s">
        <v>90</v>
      </c>
      <c r="AD63" s="215" t="s">
        <v>2217</v>
      </c>
      <c r="AE63" s="244" t="s">
        <v>477</v>
      </c>
      <c r="AF63" s="245" t="s">
        <v>2218</v>
      </c>
      <c r="AG63" s="240" t="s">
        <v>138</v>
      </c>
      <c r="AH63" s="240" t="s">
        <v>41</v>
      </c>
      <c r="AI63" s="240" t="s">
        <v>2207</v>
      </c>
      <c r="AJ63" s="240" t="s">
        <v>3514</v>
      </c>
    </row>
    <row r="64" ht="15.0" hidden="1" customHeight="1">
      <c r="A64" s="239" t="s">
        <v>2172</v>
      </c>
      <c r="B64" s="239" t="s">
        <v>1052</v>
      </c>
      <c r="C64" s="239" t="s">
        <v>3515</v>
      </c>
      <c r="D64" s="239" t="s">
        <v>141</v>
      </c>
      <c r="E64" s="239" t="str">
        <f t="array" ref="E64">IFERROR(INDEX(REF_CODES!$B$8:$B$13,MATCH($D64,REF_CODES!$C$8:$C$13,0)),"")</f>
        <v>HB-NAT</v>
      </c>
      <c r="F64" s="239" t="s">
        <v>3517</v>
      </c>
      <c r="G64" s="262" t="s">
        <v>2919</v>
      </c>
      <c r="H64" s="240" t="s">
        <v>157</v>
      </c>
      <c r="I64" s="239" t="s">
        <v>3521</v>
      </c>
      <c r="J64" s="239" t="s">
        <v>3523</v>
      </c>
      <c r="K64" s="239">
        <v>5.0</v>
      </c>
      <c r="L64" s="239" t="s">
        <v>2252</v>
      </c>
      <c r="M64" s="241">
        <v>235.0</v>
      </c>
      <c r="N64" s="241" t="s">
        <v>2204</v>
      </c>
      <c r="O64" s="241" t="s">
        <v>2204</v>
      </c>
      <c r="P64" s="241" t="s">
        <v>2204</v>
      </c>
      <c r="Q64" s="241" t="s">
        <v>2204</v>
      </c>
      <c r="R64" s="241" t="s">
        <v>2204</v>
      </c>
      <c r="S64" s="239" t="s">
        <v>2204</v>
      </c>
      <c r="T64" s="262" t="s">
        <v>3527</v>
      </c>
      <c r="U64" s="242" t="s">
        <v>2208</v>
      </c>
      <c r="V64" s="239" t="s">
        <v>2288</v>
      </c>
      <c r="W64" s="239" t="s">
        <v>3206</v>
      </c>
      <c r="X64" s="239" t="s">
        <v>3529</v>
      </c>
      <c r="Y64" s="242" t="s">
        <v>2211</v>
      </c>
      <c r="Z64" s="239" t="s">
        <v>2204</v>
      </c>
      <c r="AA64" s="242" t="s">
        <v>3530</v>
      </c>
      <c r="AB64" s="244" t="s">
        <v>195</v>
      </c>
      <c r="AC64" s="244" t="s">
        <v>97</v>
      </c>
      <c r="AD64" s="215" t="s">
        <v>2217</v>
      </c>
      <c r="AE64" s="244" t="s">
        <v>469</v>
      </c>
      <c r="AF64" s="245" t="s">
        <v>2218</v>
      </c>
      <c r="AG64" s="240" t="s">
        <v>133</v>
      </c>
      <c r="AH64" s="240" t="s">
        <v>41</v>
      </c>
      <c r="AI64" s="240" t="s">
        <v>2207</v>
      </c>
      <c r="AJ64" s="240" t="s">
        <v>3534</v>
      </c>
    </row>
    <row r="65" ht="15.0" customHeight="1">
      <c r="A65" s="239" t="s">
        <v>2172</v>
      </c>
      <c r="B65" s="239" t="s">
        <v>1052</v>
      </c>
      <c r="C65" s="239" t="s">
        <v>3535</v>
      </c>
      <c r="D65" s="239" t="s">
        <v>135</v>
      </c>
      <c r="E65" s="239" t="str">
        <f t="array" ref="E65">IFERROR(INDEX(REF_CODES!$B$8:$B$13,MATCH($D65,REF_CODES!$C$8:$C$13,0)),"")</f>
        <v>HB-RIA</v>
      </c>
      <c r="F65" s="239" t="s">
        <v>3539</v>
      </c>
      <c r="G65" s="262" t="s">
        <v>2571</v>
      </c>
      <c r="H65" s="240" t="s">
        <v>157</v>
      </c>
      <c r="I65" s="239" t="s">
        <v>3541</v>
      </c>
      <c r="J65" s="239" t="s">
        <v>2519</v>
      </c>
      <c r="K65" s="239">
        <v>7.0</v>
      </c>
      <c r="L65" s="239" t="s">
        <v>2252</v>
      </c>
      <c r="M65" s="241">
        <v>200.0</v>
      </c>
      <c r="N65" s="241" t="s">
        <v>2204</v>
      </c>
      <c r="O65" s="241" t="s">
        <v>2204</v>
      </c>
      <c r="P65" s="241" t="s">
        <v>2204</v>
      </c>
      <c r="Q65" s="241" t="s">
        <v>2204</v>
      </c>
      <c r="R65" s="241" t="s">
        <v>2204</v>
      </c>
      <c r="S65" s="239" t="s">
        <v>2204</v>
      </c>
      <c r="T65" s="262" t="s">
        <v>3543</v>
      </c>
      <c r="U65" s="242" t="s">
        <v>2208</v>
      </c>
      <c r="V65" s="239" t="s">
        <v>2288</v>
      </c>
      <c r="W65" s="239" t="s">
        <v>3544</v>
      </c>
      <c r="X65" s="239" t="s">
        <v>3545</v>
      </c>
      <c r="Y65" s="242" t="s">
        <v>2211</v>
      </c>
      <c r="Z65" s="239" t="s">
        <v>2204</v>
      </c>
      <c r="AA65" s="242" t="s">
        <v>3546</v>
      </c>
      <c r="AB65" s="244" t="s">
        <v>188</v>
      </c>
      <c r="AC65" s="244" t="s">
        <v>97</v>
      </c>
      <c r="AD65" s="215" t="s">
        <v>2867</v>
      </c>
      <c r="AE65" s="244" t="s">
        <v>469</v>
      </c>
      <c r="AF65" s="245" t="s">
        <v>2218</v>
      </c>
      <c r="AG65" s="240" t="s">
        <v>138</v>
      </c>
      <c r="AH65" s="240" t="s">
        <v>36</v>
      </c>
      <c r="AI65" s="240" t="s">
        <v>2207</v>
      </c>
      <c r="AJ65" s="240" t="s">
        <v>3547</v>
      </c>
    </row>
    <row r="66" ht="15.0" customHeight="1">
      <c r="A66" s="239" t="s">
        <v>2172</v>
      </c>
      <c r="B66" s="239" t="s">
        <v>1052</v>
      </c>
      <c r="C66" s="239" t="s">
        <v>3548</v>
      </c>
      <c r="D66" s="239" t="s">
        <v>135</v>
      </c>
      <c r="E66" s="239" t="str">
        <f t="array" ref="E66">IFERROR(INDEX(REF_CODES!$B$8:$B$13,MATCH($D66,REF_CODES!$C$8:$C$13,0)),"")</f>
        <v>HB-RIA</v>
      </c>
      <c r="F66" s="239" t="s">
        <v>3554</v>
      </c>
      <c r="G66" s="262" t="s">
        <v>2571</v>
      </c>
      <c r="H66" s="240" t="s">
        <v>157</v>
      </c>
      <c r="I66" s="239" t="s">
        <v>3555</v>
      </c>
      <c r="J66" s="239" t="s">
        <v>2306</v>
      </c>
      <c r="K66" s="239">
        <v>6.0</v>
      </c>
      <c r="L66" s="239" t="s">
        <v>2252</v>
      </c>
      <c r="M66" s="241">
        <v>115.0</v>
      </c>
      <c r="N66" s="241" t="s">
        <v>2204</v>
      </c>
      <c r="O66" s="241" t="s">
        <v>2204</v>
      </c>
      <c r="P66" s="241" t="s">
        <v>2204</v>
      </c>
      <c r="Q66" s="241" t="s">
        <v>2204</v>
      </c>
      <c r="R66" s="241" t="s">
        <v>2204</v>
      </c>
      <c r="S66" s="239" t="s">
        <v>2204</v>
      </c>
      <c r="T66" s="262" t="s">
        <v>3557</v>
      </c>
      <c r="U66" s="242" t="s">
        <v>2208</v>
      </c>
      <c r="V66" s="239" t="s">
        <v>2288</v>
      </c>
      <c r="W66" s="239" t="s">
        <v>3559</v>
      </c>
      <c r="X66" s="239" t="s">
        <v>3560</v>
      </c>
      <c r="Y66" s="242" t="s">
        <v>2211</v>
      </c>
      <c r="Z66" s="239" t="s">
        <v>2204</v>
      </c>
      <c r="AA66" s="242" t="s">
        <v>3561</v>
      </c>
      <c r="AB66" s="244" t="s">
        <v>188</v>
      </c>
      <c r="AC66" s="244" t="s">
        <v>97</v>
      </c>
      <c r="AD66" s="215" t="s">
        <v>2217</v>
      </c>
      <c r="AE66" s="244" t="s">
        <v>469</v>
      </c>
      <c r="AF66" s="245" t="s">
        <v>2218</v>
      </c>
      <c r="AG66" s="240" t="s">
        <v>138</v>
      </c>
      <c r="AH66" s="240" t="s">
        <v>41</v>
      </c>
      <c r="AI66" s="240" t="s">
        <v>2207</v>
      </c>
      <c r="AJ66" s="240" t="s">
        <v>3563</v>
      </c>
    </row>
    <row r="67" ht="15.0" customHeight="1">
      <c r="A67" s="239" t="s">
        <v>2172</v>
      </c>
      <c r="B67" s="239" t="s">
        <v>1052</v>
      </c>
      <c r="C67" s="239" t="s">
        <v>3564</v>
      </c>
      <c r="D67" s="239" t="s">
        <v>135</v>
      </c>
      <c r="E67" s="239" t="str">
        <f t="array" ref="E67">IFERROR(INDEX(REF_CODES!$B$8:$B$13,MATCH($D67,REF_CODES!$C$8:$C$13,0)),"")</f>
        <v>HB-RIA</v>
      </c>
      <c r="F67" s="239" t="s">
        <v>3568</v>
      </c>
      <c r="G67" s="262" t="s">
        <v>2571</v>
      </c>
      <c r="H67" s="240" t="s">
        <v>157</v>
      </c>
      <c r="I67" s="239" t="s">
        <v>3569</v>
      </c>
      <c r="J67" s="239" t="s">
        <v>2306</v>
      </c>
      <c r="K67" s="239">
        <v>12.0</v>
      </c>
      <c r="L67" s="239" t="s">
        <v>2252</v>
      </c>
      <c r="M67" s="241">
        <v>233.0</v>
      </c>
      <c r="N67" s="241" t="s">
        <v>2204</v>
      </c>
      <c r="O67" s="241" t="s">
        <v>2204</v>
      </c>
      <c r="P67" s="241" t="s">
        <v>2204</v>
      </c>
      <c r="Q67" s="241" t="s">
        <v>2204</v>
      </c>
      <c r="R67" s="241" t="s">
        <v>2204</v>
      </c>
      <c r="S67" s="239" t="s">
        <v>2204</v>
      </c>
      <c r="T67" s="239" t="s">
        <v>3570</v>
      </c>
      <c r="U67" s="242" t="s">
        <v>2208</v>
      </c>
      <c r="V67" s="239" t="s">
        <v>2288</v>
      </c>
      <c r="W67" s="242" t="s">
        <v>2211</v>
      </c>
      <c r="X67" s="239" t="s">
        <v>3572</v>
      </c>
      <c r="Y67" s="242" t="s">
        <v>2211</v>
      </c>
      <c r="Z67" s="239" t="s">
        <v>2204</v>
      </c>
      <c r="AA67" s="242" t="s">
        <v>3575</v>
      </c>
      <c r="AB67" s="244" t="s">
        <v>188</v>
      </c>
      <c r="AC67" s="244" t="s">
        <v>97</v>
      </c>
      <c r="AD67" s="215" t="s">
        <v>2217</v>
      </c>
      <c r="AE67" s="244" t="s">
        <v>469</v>
      </c>
      <c r="AF67" s="245" t="s">
        <v>2218</v>
      </c>
      <c r="AG67" s="240" t="s">
        <v>138</v>
      </c>
      <c r="AH67" s="240" t="s">
        <v>41</v>
      </c>
      <c r="AI67" s="240" t="s">
        <v>2207</v>
      </c>
      <c r="AJ67" s="240" t="s">
        <v>2983</v>
      </c>
    </row>
    <row r="68" ht="15.0" customHeight="1">
      <c r="A68" s="239" t="s">
        <v>2172</v>
      </c>
      <c r="B68" s="239" t="s">
        <v>1052</v>
      </c>
      <c r="C68" s="239" t="s">
        <v>3577</v>
      </c>
      <c r="D68" s="239" t="s">
        <v>135</v>
      </c>
      <c r="E68" s="239" t="str">
        <f t="array" ref="E68">IFERROR(INDEX(REF_CODES!$B$8:$B$13,MATCH($D68,REF_CODES!$C$8:$C$13,0)),"")</f>
        <v>HB-RIA</v>
      </c>
      <c r="F68" s="239" t="s">
        <v>3580</v>
      </c>
      <c r="G68" s="262" t="s">
        <v>2571</v>
      </c>
      <c r="H68" s="240" t="s">
        <v>157</v>
      </c>
      <c r="I68" s="239" t="s">
        <v>3582</v>
      </c>
      <c r="J68" s="239" t="s">
        <v>2306</v>
      </c>
      <c r="K68" s="239">
        <v>14.0</v>
      </c>
      <c r="L68" s="239" t="s">
        <v>2252</v>
      </c>
      <c r="M68" s="241">
        <v>80.0</v>
      </c>
      <c r="N68" s="241" t="s">
        <v>2204</v>
      </c>
      <c r="O68" s="241" t="s">
        <v>2204</v>
      </c>
      <c r="P68" s="241" t="s">
        <v>2204</v>
      </c>
      <c r="Q68" s="241" t="s">
        <v>2204</v>
      </c>
      <c r="R68" s="241" t="s">
        <v>2204</v>
      </c>
      <c r="S68" s="239" t="s">
        <v>2204</v>
      </c>
      <c r="T68" s="239" t="s">
        <v>3587</v>
      </c>
      <c r="U68" s="239" t="s">
        <v>3588</v>
      </c>
      <c r="V68" s="239" t="s">
        <v>3589</v>
      </c>
      <c r="W68" s="242" t="s">
        <v>2211</v>
      </c>
      <c r="X68" s="239" t="s">
        <v>3590</v>
      </c>
      <c r="Y68" s="242" t="s">
        <v>2211</v>
      </c>
      <c r="Z68" s="239" t="s">
        <v>2204</v>
      </c>
      <c r="AA68" s="239" t="s">
        <v>3592</v>
      </c>
      <c r="AB68" s="244" t="s">
        <v>188</v>
      </c>
      <c r="AC68" s="244" t="s">
        <v>97</v>
      </c>
      <c r="AD68" s="215" t="s">
        <v>2217</v>
      </c>
      <c r="AE68" s="244" t="s">
        <v>463</v>
      </c>
      <c r="AF68" s="245" t="s">
        <v>2218</v>
      </c>
      <c r="AG68" s="240" t="s">
        <v>138</v>
      </c>
      <c r="AH68" s="240" t="s">
        <v>41</v>
      </c>
      <c r="AI68" s="240" t="s">
        <v>2207</v>
      </c>
      <c r="AJ68" s="240" t="s">
        <v>3593</v>
      </c>
    </row>
    <row r="69" ht="15.0" customHeight="1">
      <c r="A69" s="239" t="s">
        <v>2172</v>
      </c>
      <c r="B69" s="239" t="s">
        <v>1052</v>
      </c>
      <c r="C69" s="239" t="s">
        <v>3594</v>
      </c>
      <c r="D69" s="239" t="s">
        <v>135</v>
      </c>
      <c r="E69" s="239" t="str">
        <f t="array" ref="E69">IFERROR(INDEX(REF_CODES!$B$8:$B$13,MATCH($D69,REF_CODES!$C$8:$C$13,0)),"")</f>
        <v>HB-RIA</v>
      </c>
      <c r="F69" s="239" t="s">
        <v>3598</v>
      </c>
      <c r="G69" s="262" t="s">
        <v>2571</v>
      </c>
      <c r="H69" s="240" t="s">
        <v>157</v>
      </c>
      <c r="I69" s="239" t="s">
        <v>3601</v>
      </c>
      <c r="J69" s="239" t="s">
        <v>2306</v>
      </c>
      <c r="K69" s="239">
        <v>7.0</v>
      </c>
      <c r="L69" s="239" t="s">
        <v>2252</v>
      </c>
      <c r="M69" s="241">
        <v>100.0</v>
      </c>
      <c r="N69" s="241" t="s">
        <v>2204</v>
      </c>
      <c r="O69" s="241" t="s">
        <v>2204</v>
      </c>
      <c r="P69" s="241" t="s">
        <v>2204</v>
      </c>
      <c r="Q69" s="241" t="s">
        <v>2204</v>
      </c>
      <c r="R69" s="241" t="s">
        <v>2204</v>
      </c>
      <c r="S69" s="239" t="s">
        <v>2204</v>
      </c>
      <c r="T69" s="262" t="s">
        <v>3604</v>
      </c>
      <c r="U69" s="242" t="s">
        <v>2208</v>
      </c>
      <c r="V69" s="239" t="s">
        <v>2288</v>
      </c>
      <c r="W69" s="239" t="s">
        <v>3206</v>
      </c>
      <c r="X69" s="239" t="s">
        <v>3605</v>
      </c>
      <c r="Y69" s="242" t="s">
        <v>2211</v>
      </c>
      <c r="Z69" s="239" t="s">
        <v>2204</v>
      </c>
      <c r="AA69" s="242" t="s">
        <v>3606</v>
      </c>
      <c r="AB69" s="244" t="s">
        <v>188</v>
      </c>
      <c r="AC69" s="244" t="s">
        <v>97</v>
      </c>
      <c r="AD69" s="215" t="s">
        <v>2217</v>
      </c>
      <c r="AE69" s="244" t="s">
        <v>469</v>
      </c>
      <c r="AF69" s="245" t="s">
        <v>2218</v>
      </c>
      <c r="AG69" s="240" t="s">
        <v>138</v>
      </c>
      <c r="AH69" s="240" t="s">
        <v>41</v>
      </c>
      <c r="AI69" s="240" t="s">
        <v>2207</v>
      </c>
      <c r="AJ69" s="240" t="s">
        <v>38</v>
      </c>
    </row>
    <row r="70" ht="15.0" customHeight="1">
      <c r="A70" s="239" t="s">
        <v>2172</v>
      </c>
      <c r="B70" s="239" t="s">
        <v>1052</v>
      </c>
      <c r="C70" s="239" t="s">
        <v>3608</v>
      </c>
      <c r="D70" s="239" t="s">
        <v>135</v>
      </c>
      <c r="E70" s="239" t="str">
        <f t="array" ref="E70">IFERROR(INDEX(REF_CODES!$B$8:$B$13,MATCH($D70,REF_CODES!$C$8:$C$13,0)),"")</f>
        <v>HB-RIA</v>
      </c>
      <c r="F70" s="239" t="s">
        <v>3615</v>
      </c>
      <c r="G70" s="262" t="s">
        <v>2571</v>
      </c>
      <c r="H70" s="240" t="s">
        <v>157</v>
      </c>
      <c r="I70" s="239" t="s">
        <v>3617</v>
      </c>
      <c r="J70" s="239" t="s">
        <v>2306</v>
      </c>
      <c r="K70" s="239">
        <v>5.0</v>
      </c>
      <c r="L70" s="239" t="s">
        <v>2252</v>
      </c>
      <c r="M70" s="241">
        <v>250.0</v>
      </c>
      <c r="N70" s="241" t="s">
        <v>2204</v>
      </c>
      <c r="O70" s="241" t="s">
        <v>2204</v>
      </c>
      <c r="P70" s="241" t="s">
        <v>2204</v>
      </c>
      <c r="Q70" s="241" t="s">
        <v>2204</v>
      </c>
      <c r="R70" s="241" t="s">
        <v>2204</v>
      </c>
      <c r="S70" s="239" t="s">
        <v>2204</v>
      </c>
      <c r="T70" s="262" t="s">
        <v>3621</v>
      </c>
      <c r="U70" s="242" t="s">
        <v>2208</v>
      </c>
      <c r="V70" s="239" t="s">
        <v>3622</v>
      </c>
      <c r="W70" s="239" t="s">
        <v>3623</v>
      </c>
      <c r="X70" s="239" t="s">
        <v>2288</v>
      </c>
      <c r="Y70" s="242" t="s">
        <v>2211</v>
      </c>
      <c r="Z70" s="239" t="s">
        <v>2204</v>
      </c>
      <c r="AA70" s="242" t="s">
        <v>3624</v>
      </c>
      <c r="AB70" s="244" t="s">
        <v>188</v>
      </c>
      <c r="AC70" s="244" t="s">
        <v>97</v>
      </c>
      <c r="AD70" s="215" t="s">
        <v>2217</v>
      </c>
      <c r="AE70" s="244" t="s">
        <v>469</v>
      </c>
      <c r="AF70" s="245" t="s">
        <v>2218</v>
      </c>
      <c r="AG70" s="240" t="s">
        <v>138</v>
      </c>
      <c r="AH70" s="240" t="s">
        <v>41</v>
      </c>
      <c r="AI70" s="240" t="s">
        <v>2207</v>
      </c>
      <c r="AJ70" s="240" t="s">
        <v>2933</v>
      </c>
    </row>
    <row r="71" ht="15.0" customHeight="1">
      <c r="A71" s="239" t="s">
        <v>2172</v>
      </c>
      <c r="B71" s="239" t="s">
        <v>1052</v>
      </c>
      <c r="C71" s="239" t="s">
        <v>3626</v>
      </c>
      <c r="D71" s="239" t="s">
        <v>135</v>
      </c>
      <c r="E71" s="239" t="str">
        <f t="array" ref="E71">IFERROR(INDEX(REF_CODES!$B$8:$B$13,MATCH($D71,REF_CODES!$C$8:$C$13,0)),"")</f>
        <v>HB-RIA</v>
      </c>
      <c r="F71" s="239" t="s">
        <v>3631</v>
      </c>
      <c r="G71" s="262" t="s">
        <v>2571</v>
      </c>
      <c r="H71" s="240" t="s">
        <v>157</v>
      </c>
      <c r="I71" s="239" t="s">
        <v>2511</v>
      </c>
      <c r="J71" s="239" t="s">
        <v>2511</v>
      </c>
      <c r="K71" s="239">
        <v>9.0</v>
      </c>
      <c r="L71" s="239" t="s">
        <v>2252</v>
      </c>
      <c r="M71" s="241">
        <v>102.0</v>
      </c>
      <c r="N71" s="241" t="s">
        <v>2204</v>
      </c>
      <c r="O71" s="241" t="s">
        <v>2204</v>
      </c>
      <c r="P71" s="241" t="s">
        <v>2204</v>
      </c>
      <c r="Q71" s="241" t="s">
        <v>2204</v>
      </c>
      <c r="R71" s="241" t="s">
        <v>2204</v>
      </c>
      <c r="S71" s="239" t="s">
        <v>2204</v>
      </c>
      <c r="T71" s="262" t="s">
        <v>3637</v>
      </c>
      <c r="U71" s="239" t="s">
        <v>2204</v>
      </c>
      <c r="V71" s="239" t="s">
        <v>3638</v>
      </c>
      <c r="W71" s="239" t="s">
        <v>3640</v>
      </c>
      <c r="X71" s="239" t="s">
        <v>3642</v>
      </c>
      <c r="Y71" s="239" t="s">
        <v>2204</v>
      </c>
      <c r="Z71" s="239" t="s">
        <v>2204</v>
      </c>
      <c r="AA71" s="242" t="s">
        <v>3643</v>
      </c>
      <c r="AB71" s="244" t="s">
        <v>188</v>
      </c>
      <c r="AC71" s="244" t="s">
        <v>97</v>
      </c>
      <c r="AD71" s="215" t="s">
        <v>2238</v>
      </c>
      <c r="AE71" s="244" t="s">
        <v>469</v>
      </c>
      <c r="AF71" s="245" t="s">
        <v>2218</v>
      </c>
      <c r="AG71" s="240" t="s">
        <v>138</v>
      </c>
      <c r="AH71" s="240" t="s">
        <v>41</v>
      </c>
      <c r="AI71" s="240" t="s">
        <v>2207</v>
      </c>
      <c r="AJ71" s="240" t="s">
        <v>3644</v>
      </c>
    </row>
    <row r="72" ht="15.0" hidden="1" customHeight="1">
      <c r="A72" s="239" t="s">
        <v>2172</v>
      </c>
      <c r="B72" s="239" t="s">
        <v>1052</v>
      </c>
      <c r="C72" s="239" t="s">
        <v>3646</v>
      </c>
      <c r="D72" s="239" t="s">
        <v>127</v>
      </c>
      <c r="E72" s="239" t="str">
        <f t="array" ref="E72">IFERROR(INDEX(REF_CODES!$B$8:$B$13,MATCH($D72,REF_CODES!$C$8:$C$13,0)),"")</f>
        <v>HB-HOT</v>
      </c>
      <c r="F72" s="239" t="s">
        <v>3649</v>
      </c>
      <c r="G72" s="239" t="s">
        <v>2198</v>
      </c>
      <c r="H72" s="250" t="s">
        <v>157</v>
      </c>
      <c r="I72" s="239" t="s">
        <v>3651</v>
      </c>
      <c r="J72" s="239" t="s">
        <v>2191</v>
      </c>
      <c r="K72" s="239">
        <v>193.0</v>
      </c>
      <c r="L72" s="239" t="s">
        <v>2252</v>
      </c>
      <c r="M72" s="241">
        <v>150.0</v>
      </c>
      <c r="N72" s="241">
        <v>220.0</v>
      </c>
      <c r="O72" s="241">
        <v>350.0</v>
      </c>
      <c r="P72" s="241" t="s">
        <v>2204</v>
      </c>
      <c r="Q72" s="241" t="s">
        <v>2204</v>
      </c>
      <c r="R72" s="241" t="s">
        <v>2204</v>
      </c>
      <c r="S72" s="239" t="s">
        <v>2204</v>
      </c>
      <c r="T72" s="239" t="s">
        <v>3656</v>
      </c>
      <c r="U72" s="242" t="s">
        <v>2208</v>
      </c>
      <c r="V72" s="239" t="s">
        <v>2288</v>
      </c>
      <c r="W72" s="242" t="s">
        <v>2211</v>
      </c>
      <c r="X72" s="239" t="s">
        <v>3658</v>
      </c>
      <c r="Y72" s="242" t="s">
        <v>2211</v>
      </c>
      <c r="Z72" s="239" t="s">
        <v>2204</v>
      </c>
      <c r="AA72" s="242" t="s">
        <v>3659</v>
      </c>
      <c r="AB72" s="244" t="s">
        <v>202</v>
      </c>
      <c r="AC72" s="244" t="s">
        <v>90</v>
      </c>
      <c r="AD72" s="215" t="s">
        <v>2238</v>
      </c>
      <c r="AE72" s="244" t="s">
        <v>477</v>
      </c>
      <c r="AF72" s="245" t="s">
        <v>2218</v>
      </c>
      <c r="AG72" s="240" t="s">
        <v>149</v>
      </c>
      <c r="AH72" s="240" t="s">
        <v>55</v>
      </c>
      <c r="AI72" s="240" t="s">
        <v>2207</v>
      </c>
      <c r="AJ72" s="240" t="s">
        <v>3660</v>
      </c>
    </row>
    <row r="73" ht="15.0" hidden="1" customHeight="1">
      <c r="A73" s="239" t="s">
        <v>2172</v>
      </c>
      <c r="B73" s="239" t="s">
        <v>1052</v>
      </c>
      <c r="C73" s="239" t="s">
        <v>3661</v>
      </c>
      <c r="D73" s="239" t="s">
        <v>130</v>
      </c>
      <c r="E73" s="239" t="str">
        <f t="array" ref="E73">IFERROR(INDEX(REF_CODES!$B$8:$B$13,MATCH($D73,REF_CODES!$C$8:$C$13,0)),"")</f>
        <v>HB-INC</v>
      </c>
      <c r="F73" s="239" t="s">
        <v>3670</v>
      </c>
      <c r="G73" s="262" t="s">
        <v>2919</v>
      </c>
      <c r="H73" s="240" t="s">
        <v>157</v>
      </c>
      <c r="I73" s="239" t="s">
        <v>3674</v>
      </c>
      <c r="J73" s="239" t="s">
        <v>2191</v>
      </c>
      <c r="K73" s="239" t="s">
        <v>3676</v>
      </c>
      <c r="L73" s="239" t="s">
        <v>2252</v>
      </c>
      <c r="M73" s="241">
        <v>84.0</v>
      </c>
      <c r="N73" s="241" t="s">
        <v>2204</v>
      </c>
      <c r="O73" s="241" t="s">
        <v>2204</v>
      </c>
      <c r="P73" s="241" t="s">
        <v>2204</v>
      </c>
      <c r="Q73" s="241" t="s">
        <v>2204</v>
      </c>
      <c r="R73" s="241" t="s">
        <v>2204</v>
      </c>
      <c r="S73" s="239" t="s">
        <v>2204</v>
      </c>
      <c r="T73" s="239" t="s">
        <v>3677</v>
      </c>
      <c r="U73" s="242" t="s">
        <v>2208</v>
      </c>
      <c r="V73" s="239" t="s">
        <v>2288</v>
      </c>
      <c r="W73" s="239" t="s">
        <v>3678</v>
      </c>
      <c r="X73" s="239" t="s">
        <v>3679</v>
      </c>
      <c r="Y73" s="242" t="s">
        <v>2211</v>
      </c>
      <c r="Z73" s="239" t="s">
        <v>2204</v>
      </c>
      <c r="AA73" s="242" t="s">
        <v>3680</v>
      </c>
      <c r="AB73" s="244" t="s">
        <v>202</v>
      </c>
      <c r="AC73" s="244" t="s">
        <v>90</v>
      </c>
      <c r="AD73" s="215" t="s">
        <v>2217</v>
      </c>
      <c r="AE73" s="244" t="s">
        <v>477</v>
      </c>
      <c r="AF73" s="245" t="s">
        <v>2218</v>
      </c>
      <c r="AG73" s="240" t="s">
        <v>138</v>
      </c>
      <c r="AH73" s="240" t="s">
        <v>41</v>
      </c>
      <c r="AI73" s="240" t="s">
        <v>2207</v>
      </c>
      <c r="AJ73" s="240" t="s">
        <v>3682</v>
      </c>
    </row>
    <row r="74" ht="15.0" hidden="1" customHeight="1">
      <c r="A74" s="239" t="s">
        <v>2172</v>
      </c>
      <c r="B74" s="239" t="s">
        <v>1052</v>
      </c>
      <c r="C74" s="239" t="s">
        <v>3683</v>
      </c>
      <c r="D74" s="239" t="s">
        <v>127</v>
      </c>
      <c r="E74" s="239" t="str">
        <f t="array" ref="E74">IFERROR(INDEX(REF_CODES!$B$8:$B$13,MATCH($D74,REF_CODES!$C$8:$C$13,0)),"")</f>
        <v>HB-HOT</v>
      </c>
      <c r="F74" s="239" t="s">
        <v>3687</v>
      </c>
      <c r="G74" s="262" t="s">
        <v>2919</v>
      </c>
      <c r="H74" s="240" t="s">
        <v>160</v>
      </c>
      <c r="I74" s="239" t="s">
        <v>3688</v>
      </c>
      <c r="J74" s="239" t="s">
        <v>3689</v>
      </c>
      <c r="K74" s="239">
        <v>10.0</v>
      </c>
      <c r="L74" s="239" t="s">
        <v>2252</v>
      </c>
      <c r="M74" s="241">
        <v>400.0</v>
      </c>
      <c r="N74" s="241">
        <v>550.0</v>
      </c>
      <c r="O74" s="241">
        <v>750.0</v>
      </c>
      <c r="P74" s="241" t="s">
        <v>2204</v>
      </c>
      <c r="Q74" s="241">
        <v>10.0</v>
      </c>
      <c r="R74" s="241">
        <v>300.0</v>
      </c>
      <c r="S74" s="239" t="s">
        <v>2204</v>
      </c>
      <c r="T74" s="262" t="s">
        <v>3637</v>
      </c>
      <c r="U74" s="239" t="s">
        <v>2204</v>
      </c>
      <c r="V74" s="239" t="s">
        <v>3691</v>
      </c>
      <c r="W74" s="239" t="s">
        <v>3692</v>
      </c>
      <c r="X74" s="239" t="s">
        <v>3694</v>
      </c>
      <c r="Y74" s="239" t="s">
        <v>2204</v>
      </c>
      <c r="Z74" s="239" t="s">
        <v>2204</v>
      </c>
      <c r="AA74" s="242" t="s">
        <v>3696</v>
      </c>
      <c r="AB74" s="244" t="s">
        <v>195</v>
      </c>
      <c r="AC74" s="244" t="s">
        <v>90</v>
      </c>
      <c r="AD74" s="215" t="s">
        <v>2238</v>
      </c>
      <c r="AE74" s="244" t="s">
        <v>469</v>
      </c>
      <c r="AF74" s="245" t="s">
        <v>2218</v>
      </c>
      <c r="AG74" s="240" t="s">
        <v>138</v>
      </c>
      <c r="AH74" s="240" t="s">
        <v>41</v>
      </c>
      <c r="AI74" s="240" t="s">
        <v>2207</v>
      </c>
      <c r="AJ74" s="240" t="s">
        <v>3701</v>
      </c>
    </row>
    <row r="75" ht="15.0" customHeight="1">
      <c r="A75" s="239" t="s">
        <v>2172</v>
      </c>
      <c r="B75" s="239" t="s">
        <v>1052</v>
      </c>
      <c r="C75" s="239" t="s">
        <v>3702</v>
      </c>
      <c r="D75" s="239" t="s">
        <v>135</v>
      </c>
      <c r="E75" s="239" t="str">
        <f t="array" ref="E75">IFERROR(INDEX(REF_CODES!$B$8:$B$13,MATCH($D75,REF_CODES!$C$8:$C$13,0)),"")</f>
        <v>HB-RIA</v>
      </c>
      <c r="F75" s="239" t="s">
        <v>3705</v>
      </c>
      <c r="G75" s="262" t="s">
        <v>2571</v>
      </c>
      <c r="H75" s="240" t="s">
        <v>157</v>
      </c>
      <c r="I75" s="239" t="s">
        <v>3706</v>
      </c>
      <c r="J75" s="239" t="s">
        <v>2306</v>
      </c>
      <c r="K75" s="239">
        <v>5.0</v>
      </c>
      <c r="L75" s="239" t="s">
        <v>2252</v>
      </c>
      <c r="M75" s="241">
        <v>250.0</v>
      </c>
      <c r="N75" s="241" t="s">
        <v>2204</v>
      </c>
      <c r="O75" s="241" t="s">
        <v>2204</v>
      </c>
      <c r="P75" s="241" t="s">
        <v>2204</v>
      </c>
      <c r="Q75" s="241" t="s">
        <v>2204</v>
      </c>
      <c r="R75" s="241" t="s">
        <v>2204</v>
      </c>
      <c r="S75" s="239" t="s">
        <v>2204</v>
      </c>
      <c r="T75" s="239" t="s">
        <v>3709</v>
      </c>
      <c r="U75" s="242" t="s">
        <v>2208</v>
      </c>
      <c r="V75" s="239" t="s">
        <v>2288</v>
      </c>
      <c r="W75" s="239" t="s">
        <v>3710</v>
      </c>
      <c r="X75" s="239" t="s">
        <v>3711</v>
      </c>
      <c r="Y75" s="242" t="s">
        <v>2211</v>
      </c>
      <c r="Z75" s="239" t="s">
        <v>2204</v>
      </c>
      <c r="AA75" s="242" t="s">
        <v>3712</v>
      </c>
      <c r="AB75" s="244" t="s">
        <v>188</v>
      </c>
      <c r="AC75" s="244" t="s">
        <v>97</v>
      </c>
      <c r="AD75" s="215" t="s">
        <v>2217</v>
      </c>
      <c r="AE75" s="244" t="s">
        <v>477</v>
      </c>
      <c r="AF75" s="245" t="s">
        <v>2218</v>
      </c>
      <c r="AG75" s="240" t="s">
        <v>138</v>
      </c>
      <c r="AH75" s="240" t="s">
        <v>41</v>
      </c>
      <c r="AI75" s="240" t="s">
        <v>2207</v>
      </c>
      <c r="AJ75" s="240" t="s">
        <v>3714</v>
      </c>
    </row>
    <row r="76" ht="15.0" hidden="1" customHeight="1">
      <c r="A76" s="239" t="s">
        <v>2172</v>
      </c>
      <c r="B76" s="239" t="s">
        <v>1052</v>
      </c>
      <c r="C76" s="239" t="s">
        <v>3715</v>
      </c>
      <c r="D76" s="239" t="s">
        <v>130</v>
      </c>
      <c r="E76" s="239" t="str">
        <f t="array" ref="E76">IFERROR(INDEX(REF_CODES!$B$8:$B$13,MATCH($D76,REF_CODES!$C$8:$C$13,0)),"")</f>
        <v>HB-INC</v>
      </c>
      <c r="F76" s="239" t="s">
        <v>3720</v>
      </c>
      <c r="G76" s="262" t="s">
        <v>2919</v>
      </c>
      <c r="H76" s="240" t="s">
        <v>160</v>
      </c>
      <c r="I76" s="239" t="s">
        <v>3725</v>
      </c>
      <c r="J76" s="239" t="s">
        <v>3403</v>
      </c>
      <c r="K76" s="239">
        <v>6.0</v>
      </c>
      <c r="L76" s="239" t="s">
        <v>2252</v>
      </c>
      <c r="M76" s="241">
        <v>395.0</v>
      </c>
      <c r="N76" s="241" t="s">
        <v>2204</v>
      </c>
      <c r="O76" s="241">
        <v>544.0</v>
      </c>
      <c r="P76" s="241" t="s">
        <v>2204</v>
      </c>
      <c r="Q76" s="241" t="s">
        <v>2204</v>
      </c>
      <c r="R76" s="241" t="s">
        <v>2204</v>
      </c>
      <c r="S76" s="239" t="s">
        <v>2204</v>
      </c>
      <c r="T76" s="239" t="s">
        <v>3732</v>
      </c>
      <c r="U76" s="242" t="s">
        <v>2208</v>
      </c>
      <c r="V76" s="239" t="s">
        <v>2288</v>
      </c>
      <c r="W76" s="239" t="s">
        <v>3733</v>
      </c>
      <c r="X76" s="239" t="s">
        <v>3734</v>
      </c>
      <c r="Y76" s="239" t="s">
        <v>3735</v>
      </c>
      <c r="Z76" s="239" t="s">
        <v>2204</v>
      </c>
      <c r="AA76" s="242" t="s">
        <v>3736</v>
      </c>
      <c r="AB76" s="244" t="s">
        <v>195</v>
      </c>
      <c r="AC76" s="244" t="s">
        <v>90</v>
      </c>
      <c r="AD76" s="215" t="s">
        <v>2217</v>
      </c>
      <c r="AE76" s="244" t="s">
        <v>477</v>
      </c>
      <c r="AF76" s="245" t="s">
        <v>2218</v>
      </c>
      <c r="AG76" s="240" t="s">
        <v>138</v>
      </c>
      <c r="AH76" s="240" t="s">
        <v>41</v>
      </c>
      <c r="AI76" s="240" t="s">
        <v>2207</v>
      </c>
      <c r="AJ76" s="240" t="s">
        <v>2405</v>
      </c>
    </row>
    <row r="77" ht="15.0" customHeight="1">
      <c r="A77" s="239" t="s">
        <v>2172</v>
      </c>
      <c r="B77" s="239" t="s">
        <v>1052</v>
      </c>
      <c r="C77" s="239" t="s">
        <v>3745</v>
      </c>
      <c r="D77" s="239" t="s">
        <v>135</v>
      </c>
      <c r="E77" s="239" t="str">
        <f t="array" ref="E77">IFERROR(INDEX(REF_CODES!$B$8:$B$13,MATCH($D77,REF_CODES!$C$8:$C$13,0)),"")</f>
        <v>HB-RIA</v>
      </c>
      <c r="F77" s="239" t="s">
        <v>3752</v>
      </c>
      <c r="G77" s="262" t="s">
        <v>2571</v>
      </c>
      <c r="H77" s="240" t="s">
        <v>157</v>
      </c>
      <c r="I77" s="239" t="s">
        <v>3757</v>
      </c>
      <c r="J77" s="239" t="s">
        <v>2306</v>
      </c>
      <c r="K77" s="239">
        <v>3.0</v>
      </c>
      <c r="L77" s="239" t="s">
        <v>2252</v>
      </c>
      <c r="M77" s="241">
        <v>250.0</v>
      </c>
      <c r="N77" s="241" t="s">
        <v>2204</v>
      </c>
      <c r="O77" s="241" t="s">
        <v>2204</v>
      </c>
      <c r="P77" s="241" t="s">
        <v>2204</v>
      </c>
      <c r="Q77" s="241" t="s">
        <v>2204</v>
      </c>
      <c r="R77" s="241" t="s">
        <v>2204</v>
      </c>
      <c r="S77" s="239" t="s">
        <v>2204</v>
      </c>
      <c r="T77" s="262" t="s">
        <v>3637</v>
      </c>
      <c r="U77" s="239" t="s">
        <v>2204</v>
      </c>
      <c r="V77" s="239" t="s">
        <v>3759</v>
      </c>
      <c r="W77" s="239" t="s">
        <v>3761</v>
      </c>
      <c r="X77" s="239" t="s">
        <v>3762</v>
      </c>
      <c r="Y77" s="239" t="s">
        <v>3763</v>
      </c>
      <c r="Z77" s="239" t="s">
        <v>2204</v>
      </c>
      <c r="AA77" s="242" t="s">
        <v>3430</v>
      </c>
      <c r="AB77" s="244" t="s">
        <v>188</v>
      </c>
      <c r="AC77" s="244" t="s">
        <v>97</v>
      </c>
      <c r="AD77" s="215" t="s">
        <v>2217</v>
      </c>
      <c r="AE77" s="244" t="s">
        <v>469</v>
      </c>
      <c r="AF77" s="245" t="s">
        <v>2218</v>
      </c>
      <c r="AG77" s="240" t="s">
        <v>138</v>
      </c>
      <c r="AH77" s="240" t="s">
        <v>41</v>
      </c>
      <c r="AI77" s="240" t="s">
        <v>2207</v>
      </c>
      <c r="AJ77" s="240" t="s">
        <v>2933</v>
      </c>
    </row>
    <row r="78" ht="15.0" hidden="1" customHeight="1">
      <c r="A78" s="239" t="s">
        <v>2172</v>
      </c>
      <c r="B78" s="239" t="s">
        <v>1052</v>
      </c>
      <c r="C78" s="239" t="s">
        <v>3765</v>
      </c>
      <c r="D78" s="239" t="s">
        <v>130</v>
      </c>
      <c r="E78" s="239" t="str">
        <f t="array" ref="E78">IFERROR(INDEX(REF_CODES!$B$8:$B$13,MATCH($D78,REF_CODES!$C$8:$C$13,0)),"")</f>
        <v>HB-INC</v>
      </c>
      <c r="F78" s="239" t="s">
        <v>3772</v>
      </c>
      <c r="G78" s="262" t="s">
        <v>2919</v>
      </c>
      <c r="H78" s="240" t="s">
        <v>160</v>
      </c>
      <c r="I78" s="239" t="s">
        <v>3773</v>
      </c>
      <c r="J78" s="239" t="s">
        <v>3774</v>
      </c>
      <c r="K78" s="239" t="s">
        <v>2288</v>
      </c>
      <c r="L78" s="239" t="s">
        <v>2252</v>
      </c>
      <c r="M78" s="241">
        <v>350.0</v>
      </c>
      <c r="N78" s="241" t="s">
        <v>2204</v>
      </c>
      <c r="O78" s="241" t="s">
        <v>2204</v>
      </c>
      <c r="P78" s="241" t="s">
        <v>2204</v>
      </c>
      <c r="Q78" s="241" t="s">
        <v>2204</v>
      </c>
      <c r="R78" s="241" t="s">
        <v>2204</v>
      </c>
      <c r="S78" s="239" t="s">
        <v>2204</v>
      </c>
      <c r="T78" s="262" t="s">
        <v>3778</v>
      </c>
      <c r="U78" s="242" t="s">
        <v>2208</v>
      </c>
      <c r="V78" s="239" t="s">
        <v>2288</v>
      </c>
      <c r="W78" s="239" t="s">
        <v>3782</v>
      </c>
      <c r="X78" s="239" t="s">
        <v>3783</v>
      </c>
      <c r="Y78" s="242" t="s">
        <v>2211</v>
      </c>
      <c r="Z78" s="239" t="s">
        <v>2204</v>
      </c>
      <c r="AA78" s="242" t="s">
        <v>3785</v>
      </c>
      <c r="AB78" s="244" t="s">
        <v>202</v>
      </c>
      <c r="AC78" s="244" t="s">
        <v>90</v>
      </c>
      <c r="AD78" s="215" t="s">
        <v>2217</v>
      </c>
      <c r="AE78" s="244" t="s">
        <v>477</v>
      </c>
      <c r="AF78" s="245" t="s">
        <v>2218</v>
      </c>
      <c r="AG78" s="240" t="s">
        <v>138</v>
      </c>
      <c r="AH78" s="240" t="s">
        <v>41</v>
      </c>
      <c r="AI78" s="240" t="s">
        <v>2207</v>
      </c>
      <c r="AJ78" s="240" t="s">
        <v>3714</v>
      </c>
    </row>
    <row r="79" ht="15.0" hidden="1" customHeight="1">
      <c r="A79" s="239" t="s">
        <v>2172</v>
      </c>
      <c r="B79" s="239" t="s">
        <v>1052</v>
      </c>
      <c r="C79" s="239" t="s">
        <v>3787</v>
      </c>
      <c r="D79" s="239" t="s">
        <v>127</v>
      </c>
      <c r="E79" s="239" t="str">
        <f t="array" ref="E79">IFERROR(INDEX(REF_CODES!$B$8:$B$13,MATCH($D79,REF_CODES!$C$8:$C$13,0)),"")</f>
        <v>HB-HOT</v>
      </c>
      <c r="F79" s="239" t="s">
        <v>3793</v>
      </c>
      <c r="G79" s="239" t="s">
        <v>2198</v>
      </c>
      <c r="H79" s="250" t="s">
        <v>157</v>
      </c>
      <c r="I79" s="239" t="s">
        <v>3796</v>
      </c>
      <c r="J79" s="239" t="s">
        <v>2224</v>
      </c>
      <c r="K79" s="239">
        <v>330.0</v>
      </c>
      <c r="L79" s="239" t="s">
        <v>2252</v>
      </c>
      <c r="M79" s="241">
        <v>280.0</v>
      </c>
      <c r="N79" s="241">
        <v>450.0</v>
      </c>
      <c r="O79" s="241">
        <v>650.0</v>
      </c>
      <c r="P79" s="241" t="s">
        <v>2204</v>
      </c>
      <c r="Q79" s="241" t="s">
        <v>2204</v>
      </c>
      <c r="R79" s="241" t="s">
        <v>2204</v>
      </c>
      <c r="S79" s="239" t="s">
        <v>2204</v>
      </c>
      <c r="T79" s="262" t="s">
        <v>3800</v>
      </c>
      <c r="U79" s="242" t="s">
        <v>2208</v>
      </c>
      <c r="V79" s="239" t="s">
        <v>2288</v>
      </c>
      <c r="W79" s="242" t="s">
        <v>2211</v>
      </c>
      <c r="X79" s="239" t="s">
        <v>3801</v>
      </c>
      <c r="Y79" s="242" t="s">
        <v>2211</v>
      </c>
      <c r="Z79" s="239" t="s">
        <v>2204</v>
      </c>
      <c r="AA79" s="242" t="s">
        <v>3802</v>
      </c>
      <c r="AB79" s="244" t="s">
        <v>202</v>
      </c>
      <c r="AC79" s="244" t="s">
        <v>90</v>
      </c>
      <c r="AD79" s="215" t="s">
        <v>2238</v>
      </c>
      <c r="AE79" s="244" t="s">
        <v>477</v>
      </c>
      <c r="AF79" s="245" t="s">
        <v>2218</v>
      </c>
      <c r="AG79" s="240" t="s">
        <v>149</v>
      </c>
      <c r="AH79" s="240" t="s">
        <v>55</v>
      </c>
      <c r="AI79" s="240" t="s">
        <v>2207</v>
      </c>
      <c r="AJ79" s="240" t="s">
        <v>3805</v>
      </c>
    </row>
    <row r="80" ht="15.0" hidden="1" customHeight="1">
      <c r="A80" s="239" t="s">
        <v>2172</v>
      </c>
      <c r="B80" s="239" t="s">
        <v>1052</v>
      </c>
      <c r="C80" s="262" t="s">
        <v>3806</v>
      </c>
      <c r="D80" s="239" t="s">
        <v>141</v>
      </c>
      <c r="E80" s="239" t="str">
        <f t="array" ref="E80">IFERROR(INDEX(REF_CODES!$B$8:$B$13,MATCH($D80,REF_CODES!$C$8:$C$13,0)),"")</f>
        <v>HB-NAT</v>
      </c>
      <c r="F80" s="239" t="s">
        <v>3816</v>
      </c>
      <c r="G80" s="262" t="s">
        <v>2919</v>
      </c>
      <c r="H80" s="250" t="s">
        <v>160</v>
      </c>
      <c r="I80" s="239" t="s">
        <v>3817</v>
      </c>
      <c r="J80" s="239" t="s">
        <v>2543</v>
      </c>
      <c r="K80" s="239">
        <v>19.0</v>
      </c>
      <c r="L80" s="239" t="s">
        <v>2252</v>
      </c>
      <c r="M80" s="241">
        <v>350.0</v>
      </c>
      <c r="N80" s="241">
        <v>500.0</v>
      </c>
      <c r="O80" s="241">
        <v>800.0</v>
      </c>
      <c r="P80" s="241" t="s">
        <v>2204</v>
      </c>
      <c r="Q80" s="241" t="s">
        <v>2204</v>
      </c>
      <c r="R80" s="241" t="s">
        <v>2204</v>
      </c>
      <c r="S80" s="239" t="s">
        <v>2204</v>
      </c>
      <c r="T80" s="239" t="s">
        <v>3821</v>
      </c>
      <c r="U80" s="242" t="s">
        <v>2208</v>
      </c>
      <c r="V80" s="239" t="s">
        <v>3822</v>
      </c>
      <c r="W80" s="242" t="s">
        <v>2340</v>
      </c>
      <c r="X80" s="239" t="s">
        <v>3824</v>
      </c>
      <c r="Y80" s="239" t="s">
        <v>3826</v>
      </c>
      <c r="Z80" s="239" t="s">
        <v>2204</v>
      </c>
      <c r="AA80" s="262" t="s">
        <v>1229</v>
      </c>
      <c r="AB80" s="244" t="s">
        <v>188</v>
      </c>
      <c r="AC80" s="244" t="s">
        <v>97</v>
      </c>
      <c r="AD80" s="215" t="s">
        <v>2217</v>
      </c>
      <c r="AE80" s="244" t="s">
        <v>469</v>
      </c>
      <c r="AF80" s="245" t="s">
        <v>2218</v>
      </c>
      <c r="AG80" s="240" t="s">
        <v>133</v>
      </c>
      <c r="AH80" s="240" t="s">
        <v>41</v>
      </c>
      <c r="AI80" s="240" t="s">
        <v>2207</v>
      </c>
      <c r="AJ80" s="240" t="s">
        <v>2219</v>
      </c>
    </row>
    <row r="81" ht="15.0" hidden="1" customHeight="1">
      <c r="A81" s="239" t="s">
        <v>2172</v>
      </c>
      <c r="B81" s="239" t="s">
        <v>1052</v>
      </c>
      <c r="C81" s="239" t="s">
        <v>3831</v>
      </c>
      <c r="D81" s="239" t="s">
        <v>127</v>
      </c>
      <c r="E81" s="239" t="str">
        <f t="array" ref="E81">IFERROR(INDEX(REF_CODES!$B$8:$B$13,MATCH($D81,REF_CODES!$C$8:$C$13,0)),"")</f>
        <v>HB-HOT</v>
      </c>
      <c r="F81" s="239" t="s">
        <v>3834</v>
      </c>
      <c r="G81" s="239" t="s">
        <v>2198</v>
      </c>
      <c r="H81" s="250" t="s">
        <v>160</v>
      </c>
      <c r="I81" s="239" t="s">
        <v>3837</v>
      </c>
      <c r="J81" s="239" t="s">
        <v>2224</v>
      </c>
      <c r="K81" s="239">
        <v>71.0</v>
      </c>
      <c r="L81" s="239" t="s">
        <v>2252</v>
      </c>
      <c r="M81" s="241">
        <v>450.0</v>
      </c>
      <c r="N81" s="241">
        <v>650.0</v>
      </c>
      <c r="O81" s="241">
        <v>900.0</v>
      </c>
      <c r="P81" s="241" t="s">
        <v>2204</v>
      </c>
      <c r="Q81" s="241" t="s">
        <v>2204</v>
      </c>
      <c r="R81" s="241" t="s">
        <v>2204</v>
      </c>
      <c r="S81" s="239" t="s">
        <v>2204</v>
      </c>
      <c r="T81" s="239" t="s">
        <v>3842</v>
      </c>
      <c r="U81" s="242" t="s">
        <v>2208</v>
      </c>
      <c r="V81" s="239" t="s">
        <v>3845</v>
      </c>
      <c r="W81" s="239" t="s">
        <v>3846</v>
      </c>
      <c r="X81" s="239" t="s">
        <v>3848</v>
      </c>
      <c r="Y81" s="239" t="s">
        <v>3849</v>
      </c>
      <c r="Z81" s="239" t="s">
        <v>2204</v>
      </c>
      <c r="AA81" s="239" t="s">
        <v>3850</v>
      </c>
      <c r="AB81" s="244" t="s">
        <v>195</v>
      </c>
      <c r="AC81" s="244" t="s">
        <v>90</v>
      </c>
      <c r="AD81" s="215" t="s">
        <v>2238</v>
      </c>
      <c r="AE81" s="244" t="s">
        <v>477</v>
      </c>
      <c r="AF81" s="245" t="s">
        <v>2218</v>
      </c>
      <c r="AG81" s="240" t="s">
        <v>138</v>
      </c>
      <c r="AH81" s="240" t="s">
        <v>41</v>
      </c>
      <c r="AI81" s="240" t="s">
        <v>2207</v>
      </c>
      <c r="AJ81" s="240" t="s">
        <v>3854</v>
      </c>
    </row>
    <row r="82" ht="15.0" customHeight="1">
      <c r="A82" s="239" t="s">
        <v>2172</v>
      </c>
      <c r="B82" s="239" t="s">
        <v>1052</v>
      </c>
      <c r="C82" s="239" t="s">
        <v>3855</v>
      </c>
      <c r="D82" s="239" t="s">
        <v>135</v>
      </c>
      <c r="E82" s="239" t="str">
        <f t="array" ref="E82">IFERROR(INDEX(REF_CODES!$B$8:$B$13,MATCH($D82,REF_CODES!$C$8:$C$13,0)),"")</f>
        <v>HB-RIA</v>
      </c>
      <c r="F82" s="239" t="s">
        <v>3861</v>
      </c>
      <c r="G82" s="262" t="s">
        <v>2571</v>
      </c>
      <c r="H82" s="240" t="s">
        <v>157</v>
      </c>
      <c r="I82" s="239" t="s">
        <v>3617</v>
      </c>
      <c r="J82" s="239" t="s">
        <v>2306</v>
      </c>
      <c r="K82" s="239">
        <v>5.0</v>
      </c>
      <c r="L82" s="239" t="s">
        <v>2252</v>
      </c>
      <c r="M82" s="241">
        <v>101.0</v>
      </c>
      <c r="N82" s="241" t="s">
        <v>2204</v>
      </c>
      <c r="O82" s="241" t="s">
        <v>2204</v>
      </c>
      <c r="P82" s="241" t="s">
        <v>2204</v>
      </c>
      <c r="Q82" s="241" t="s">
        <v>2204</v>
      </c>
      <c r="R82" s="241" t="s">
        <v>2204</v>
      </c>
      <c r="S82" s="239" t="s">
        <v>2204</v>
      </c>
      <c r="T82" s="262" t="s">
        <v>3863</v>
      </c>
      <c r="U82" s="242" t="s">
        <v>2208</v>
      </c>
      <c r="V82" s="239" t="s">
        <v>3864</v>
      </c>
      <c r="W82" s="239" t="s">
        <v>3866</v>
      </c>
      <c r="X82" s="239" t="s">
        <v>2288</v>
      </c>
      <c r="Y82" s="242" t="s">
        <v>2211</v>
      </c>
      <c r="Z82" s="239" t="s">
        <v>2204</v>
      </c>
      <c r="AA82" s="242" t="s">
        <v>3624</v>
      </c>
      <c r="AB82" s="244" t="s">
        <v>188</v>
      </c>
      <c r="AC82" s="244" t="s">
        <v>97</v>
      </c>
      <c r="AD82" s="215" t="s">
        <v>2217</v>
      </c>
      <c r="AE82" s="244" t="s">
        <v>463</v>
      </c>
      <c r="AF82" s="245" t="s">
        <v>2218</v>
      </c>
      <c r="AG82" s="240" t="s">
        <v>138</v>
      </c>
      <c r="AH82" s="240" t="s">
        <v>41</v>
      </c>
      <c r="AI82" s="240" t="s">
        <v>2207</v>
      </c>
      <c r="AJ82" s="240" t="s">
        <v>2933</v>
      </c>
    </row>
    <row r="83" ht="15.0" customHeight="1">
      <c r="A83" s="239" t="s">
        <v>2172</v>
      </c>
      <c r="B83" s="239" t="s">
        <v>1052</v>
      </c>
      <c r="C83" s="239" t="s">
        <v>3871</v>
      </c>
      <c r="D83" s="239" t="s">
        <v>135</v>
      </c>
      <c r="E83" s="239" t="str">
        <f t="array" ref="E83">IFERROR(INDEX(REF_CODES!$B$8:$B$13,MATCH($D83,REF_CODES!$C$8:$C$13,0)),"")</f>
        <v>HB-RIA</v>
      </c>
      <c r="F83" s="239" t="s">
        <v>3878</v>
      </c>
      <c r="G83" s="262" t="s">
        <v>2571</v>
      </c>
      <c r="H83" s="240" t="s">
        <v>157</v>
      </c>
      <c r="I83" s="239" t="s">
        <v>3881</v>
      </c>
      <c r="J83" s="239" t="s">
        <v>2306</v>
      </c>
      <c r="K83" s="239">
        <v>7.0</v>
      </c>
      <c r="L83" s="239" t="s">
        <v>2252</v>
      </c>
      <c r="M83" s="241">
        <v>63.0</v>
      </c>
      <c r="N83" s="241" t="s">
        <v>2204</v>
      </c>
      <c r="O83" s="241" t="s">
        <v>2204</v>
      </c>
      <c r="P83" s="241" t="s">
        <v>2204</v>
      </c>
      <c r="Q83" s="241" t="s">
        <v>2204</v>
      </c>
      <c r="R83" s="241" t="s">
        <v>2204</v>
      </c>
      <c r="S83" s="239" t="s">
        <v>2204</v>
      </c>
      <c r="T83" s="262" t="s">
        <v>3884</v>
      </c>
      <c r="U83" s="242" t="s">
        <v>2208</v>
      </c>
      <c r="V83" s="239" t="s">
        <v>2288</v>
      </c>
      <c r="W83" s="239" t="s">
        <v>3206</v>
      </c>
      <c r="X83" s="239" t="s">
        <v>3886</v>
      </c>
      <c r="Y83" s="242" t="s">
        <v>2211</v>
      </c>
      <c r="Z83" s="239" t="s">
        <v>2204</v>
      </c>
      <c r="AA83" s="242" t="s">
        <v>3887</v>
      </c>
      <c r="AB83" s="244" t="s">
        <v>188</v>
      </c>
      <c r="AC83" s="244" t="s">
        <v>97</v>
      </c>
      <c r="AD83" s="215" t="s">
        <v>2217</v>
      </c>
      <c r="AE83" s="244" t="s">
        <v>463</v>
      </c>
      <c r="AF83" s="245" t="s">
        <v>2218</v>
      </c>
      <c r="AG83" s="240" t="s">
        <v>138</v>
      </c>
      <c r="AH83" s="240" t="s">
        <v>41</v>
      </c>
      <c r="AI83" s="240" t="s">
        <v>2207</v>
      </c>
      <c r="AJ83" s="240" t="s">
        <v>38</v>
      </c>
    </row>
    <row r="84" ht="15.0" customHeight="1">
      <c r="A84" s="239" t="s">
        <v>2172</v>
      </c>
      <c r="B84" s="239" t="s">
        <v>1052</v>
      </c>
      <c r="C84" s="239" t="s">
        <v>3890</v>
      </c>
      <c r="D84" s="239" t="s">
        <v>135</v>
      </c>
      <c r="E84" s="239" t="str">
        <f t="array" ref="E84">IFERROR(INDEX(REF_CODES!$B$8:$B$13,MATCH($D84,REF_CODES!$C$8:$C$13,0)),"")</f>
        <v>HB-RIA</v>
      </c>
      <c r="F84" s="239" t="s">
        <v>3895</v>
      </c>
      <c r="G84" s="262" t="s">
        <v>2571</v>
      </c>
      <c r="H84" s="240" t="s">
        <v>157</v>
      </c>
      <c r="I84" s="239" t="s">
        <v>3896</v>
      </c>
      <c r="J84" s="239" t="s">
        <v>2511</v>
      </c>
      <c r="K84" s="239">
        <v>6.0</v>
      </c>
      <c r="L84" s="239" t="s">
        <v>2252</v>
      </c>
      <c r="M84" s="241">
        <v>120.0</v>
      </c>
      <c r="N84" s="241">
        <v>180.0</v>
      </c>
      <c r="O84" s="241">
        <v>250.0</v>
      </c>
      <c r="P84" s="241" t="s">
        <v>2204</v>
      </c>
      <c r="Q84" s="241">
        <v>6.0</v>
      </c>
      <c r="R84" s="241">
        <v>250.0</v>
      </c>
      <c r="S84" s="239" t="s">
        <v>2204</v>
      </c>
      <c r="T84" s="262" t="s">
        <v>3897</v>
      </c>
      <c r="U84" s="242" t="s">
        <v>2208</v>
      </c>
      <c r="V84" s="239" t="s">
        <v>2288</v>
      </c>
      <c r="W84" s="239" t="s">
        <v>3898</v>
      </c>
      <c r="X84" s="239" t="s">
        <v>3899</v>
      </c>
      <c r="Y84" s="242" t="s">
        <v>2211</v>
      </c>
      <c r="Z84" s="239" t="s">
        <v>2204</v>
      </c>
      <c r="AA84" s="242" t="s">
        <v>3900</v>
      </c>
      <c r="AB84" s="244" t="s">
        <v>188</v>
      </c>
      <c r="AC84" s="244" t="s">
        <v>97</v>
      </c>
      <c r="AD84" s="215" t="s">
        <v>2238</v>
      </c>
      <c r="AE84" s="244" t="s">
        <v>469</v>
      </c>
      <c r="AF84" s="245" t="s">
        <v>2218</v>
      </c>
      <c r="AG84" s="240" t="s">
        <v>138</v>
      </c>
      <c r="AH84" s="240" t="s">
        <v>41</v>
      </c>
      <c r="AI84" s="240" t="s">
        <v>2207</v>
      </c>
      <c r="AJ84" s="240" t="s">
        <v>3903</v>
      </c>
    </row>
    <row r="85" ht="15.0" customHeight="1">
      <c r="A85" s="239" t="s">
        <v>2172</v>
      </c>
      <c r="B85" s="239" t="s">
        <v>1052</v>
      </c>
      <c r="C85" s="239" t="s">
        <v>3905</v>
      </c>
      <c r="D85" s="239" t="s">
        <v>135</v>
      </c>
      <c r="E85" s="239" t="str">
        <f t="array" ref="E85">IFERROR(INDEX(REF_CODES!$B$8:$B$13,MATCH($D85,REF_CODES!$C$8:$C$13,0)),"")</f>
        <v>HB-RIA</v>
      </c>
      <c r="F85" s="239" t="s">
        <v>3911</v>
      </c>
      <c r="G85" s="262" t="s">
        <v>2919</v>
      </c>
      <c r="H85" s="240" t="s">
        <v>157</v>
      </c>
      <c r="I85" s="239" t="s">
        <v>3912</v>
      </c>
      <c r="J85" s="262" t="s">
        <v>2306</v>
      </c>
      <c r="K85" s="239">
        <v>7.0</v>
      </c>
      <c r="L85" s="239" t="s">
        <v>2252</v>
      </c>
      <c r="M85" s="241">
        <v>120.0</v>
      </c>
      <c r="N85" s="241" t="s">
        <v>2204</v>
      </c>
      <c r="O85" s="241" t="s">
        <v>2204</v>
      </c>
      <c r="P85" s="241" t="s">
        <v>2204</v>
      </c>
      <c r="Q85" s="241" t="s">
        <v>2204</v>
      </c>
      <c r="R85" s="241" t="s">
        <v>2204</v>
      </c>
      <c r="S85" s="239" t="s">
        <v>2204</v>
      </c>
      <c r="T85" s="262" t="s">
        <v>3915</v>
      </c>
      <c r="U85" s="242" t="s">
        <v>2208</v>
      </c>
      <c r="V85" s="239" t="s">
        <v>3917</v>
      </c>
      <c r="W85" s="242" t="s">
        <v>2211</v>
      </c>
      <c r="X85" s="239" t="s">
        <v>3918</v>
      </c>
      <c r="Y85" s="242" t="s">
        <v>2211</v>
      </c>
      <c r="Z85" s="239" t="s">
        <v>2204</v>
      </c>
      <c r="AA85" s="242" t="s">
        <v>3919</v>
      </c>
      <c r="AB85" s="244" t="s">
        <v>188</v>
      </c>
      <c r="AC85" s="244" t="s">
        <v>97</v>
      </c>
      <c r="AD85" s="215" t="s">
        <v>2217</v>
      </c>
      <c r="AE85" s="244" t="s">
        <v>469</v>
      </c>
      <c r="AF85" s="245" t="s">
        <v>2218</v>
      </c>
      <c r="AG85" s="240" t="s">
        <v>138</v>
      </c>
      <c r="AH85" s="240" t="s">
        <v>41</v>
      </c>
      <c r="AI85" s="240" t="s">
        <v>2207</v>
      </c>
      <c r="AJ85" s="240" t="s">
        <v>38</v>
      </c>
    </row>
    <row r="86" ht="15.0" customHeight="1">
      <c r="A86" s="239" t="s">
        <v>2172</v>
      </c>
      <c r="B86" s="239" t="s">
        <v>1052</v>
      </c>
      <c r="C86" s="239" t="s">
        <v>3921</v>
      </c>
      <c r="D86" s="239" t="s">
        <v>135</v>
      </c>
      <c r="E86" s="239" t="str">
        <f t="array" ref="E86">IFERROR(INDEX(REF_CODES!$B$8:$B$13,MATCH($D86,REF_CODES!$C$8:$C$13,0)),"")</f>
        <v>HB-RIA</v>
      </c>
      <c r="F86" s="239" t="s">
        <v>3925</v>
      </c>
      <c r="G86" s="262" t="s">
        <v>2571</v>
      </c>
      <c r="H86" s="240" t="s">
        <v>157</v>
      </c>
      <c r="I86" s="239" t="s">
        <v>3927</v>
      </c>
      <c r="J86" s="239" t="s">
        <v>2306</v>
      </c>
      <c r="K86" s="239">
        <v>7.0</v>
      </c>
      <c r="L86" s="239" t="s">
        <v>2252</v>
      </c>
      <c r="M86" s="241">
        <v>180.0</v>
      </c>
      <c r="N86" s="241" t="s">
        <v>2204</v>
      </c>
      <c r="O86" s="241" t="s">
        <v>2204</v>
      </c>
      <c r="P86" s="241" t="s">
        <v>2204</v>
      </c>
      <c r="Q86" s="241" t="s">
        <v>2204</v>
      </c>
      <c r="R86" s="241" t="s">
        <v>2204</v>
      </c>
      <c r="S86" s="239" t="s">
        <v>2204</v>
      </c>
      <c r="T86" s="239" t="s">
        <v>3933</v>
      </c>
      <c r="U86" s="239" t="s">
        <v>3934</v>
      </c>
      <c r="V86" s="239" t="s">
        <v>3935</v>
      </c>
      <c r="W86" s="242" t="s">
        <v>2211</v>
      </c>
      <c r="X86" s="239" t="s">
        <v>3936</v>
      </c>
      <c r="Y86" s="242" t="s">
        <v>2211</v>
      </c>
      <c r="Z86" s="239" t="s">
        <v>2204</v>
      </c>
      <c r="AA86" s="239" t="s">
        <v>3937</v>
      </c>
      <c r="AB86" s="244" t="s">
        <v>188</v>
      </c>
      <c r="AC86" s="244" t="s">
        <v>97</v>
      </c>
      <c r="AD86" s="215" t="s">
        <v>2217</v>
      </c>
      <c r="AE86" s="244" t="s">
        <v>469</v>
      </c>
      <c r="AF86" s="245" t="s">
        <v>2218</v>
      </c>
      <c r="AG86" s="240" t="s">
        <v>138</v>
      </c>
      <c r="AH86" s="240" t="s">
        <v>41</v>
      </c>
      <c r="AI86" s="240" t="s">
        <v>2207</v>
      </c>
      <c r="AJ86" s="240" t="s">
        <v>2787</v>
      </c>
    </row>
    <row r="87" ht="15.0" customHeight="1">
      <c r="A87" s="239" t="s">
        <v>2172</v>
      </c>
      <c r="B87" s="239" t="s">
        <v>1052</v>
      </c>
      <c r="C87" s="239" t="s">
        <v>3941</v>
      </c>
      <c r="D87" s="239" t="s">
        <v>135</v>
      </c>
      <c r="E87" s="239" t="str">
        <f t="array" ref="E87">IFERROR(INDEX(REF_CODES!$B$8:$B$13,MATCH($D87,REF_CODES!$C$8:$C$13,0)),"")</f>
        <v>HB-RIA</v>
      </c>
      <c r="F87" s="239" t="s">
        <v>3944</v>
      </c>
      <c r="G87" s="262" t="s">
        <v>2571</v>
      </c>
      <c r="H87" s="240" t="s">
        <v>157</v>
      </c>
      <c r="I87" s="239" t="s">
        <v>3945</v>
      </c>
      <c r="J87" s="239" t="s">
        <v>2306</v>
      </c>
      <c r="K87" s="239">
        <v>3.0</v>
      </c>
      <c r="L87" s="239" t="s">
        <v>2252</v>
      </c>
      <c r="M87" s="241">
        <v>80.0</v>
      </c>
      <c r="N87" s="241" t="s">
        <v>2204</v>
      </c>
      <c r="O87" s="241" t="s">
        <v>2204</v>
      </c>
      <c r="P87" s="241" t="s">
        <v>2204</v>
      </c>
      <c r="Q87" s="241" t="s">
        <v>2204</v>
      </c>
      <c r="R87" s="241" t="s">
        <v>2204</v>
      </c>
      <c r="S87" s="239" t="s">
        <v>2204</v>
      </c>
      <c r="T87" s="262" t="s">
        <v>3951</v>
      </c>
      <c r="U87" s="242" t="s">
        <v>2208</v>
      </c>
      <c r="V87" s="239" t="s">
        <v>2288</v>
      </c>
      <c r="W87" s="239" t="s">
        <v>3953</v>
      </c>
      <c r="X87" s="239" t="s">
        <v>3954</v>
      </c>
      <c r="Y87" s="242" t="s">
        <v>2211</v>
      </c>
      <c r="Z87" s="239" t="s">
        <v>2204</v>
      </c>
      <c r="AA87" s="242" t="s">
        <v>3955</v>
      </c>
      <c r="AB87" s="244" t="s">
        <v>188</v>
      </c>
      <c r="AC87" s="244" t="s">
        <v>97</v>
      </c>
      <c r="AD87" s="215" t="s">
        <v>2217</v>
      </c>
      <c r="AE87" s="244" t="s">
        <v>463</v>
      </c>
      <c r="AF87" s="245" t="s">
        <v>2218</v>
      </c>
      <c r="AG87" s="240" t="s">
        <v>138</v>
      </c>
      <c r="AH87" s="240" t="s">
        <v>41</v>
      </c>
      <c r="AI87" s="240" t="s">
        <v>2207</v>
      </c>
      <c r="AJ87" s="240" t="s">
        <v>38</v>
      </c>
    </row>
    <row r="88" ht="15.0" hidden="1" customHeight="1">
      <c r="A88" s="239" t="s">
        <v>2172</v>
      </c>
      <c r="B88" s="239" t="s">
        <v>1052</v>
      </c>
      <c r="C88" s="239" t="s">
        <v>3956</v>
      </c>
      <c r="D88" s="239" t="s">
        <v>127</v>
      </c>
      <c r="E88" s="239" t="str">
        <f t="array" ref="E88">IFERROR(INDEX(REF_CODES!$B$8:$B$13,MATCH($D88,REF_CODES!$C$8:$C$13,0)),"")</f>
        <v>HB-HOT</v>
      </c>
      <c r="F88" s="239" t="s">
        <v>2995</v>
      </c>
      <c r="G88" s="239" t="s">
        <v>2198</v>
      </c>
      <c r="H88" s="250" t="s">
        <v>165</v>
      </c>
      <c r="I88" s="239" t="s">
        <v>3963</v>
      </c>
      <c r="J88" s="239" t="s">
        <v>2511</v>
      </c>
      <c r="K88" s="239">
        <v>41.0</v>
      </c>
      <c r="L88" s="239" t="s">
        <v>2252</v>
      </c>
      <c r="M88" s="241">
        <v>600.0</v>
      </c>
      <c r="N88" s="241">
        <v>900.0</v>
      </c>
      <c r="O88" s="241">
        <v>1400.0</v>
      </c>
      <c r="P88" s="241" t="s">
        <v>2204</v>
      </c>
      <c r="Q88" s="241" t="s">
        <v>2204</v>
      </c>
      <c r="R88" s="241" t="s">
        <v>2204</v>
      </c>
      <c r="S88" s="239" t="s">
        <v>2204</v>
      </c>
      <c r="T88" s="239" t="s">
        <v>3965</v>
      </c>
      <c r="U88" s="242" t="s">
        <v>2208</v>
      </c>
      <c r="V88" s="239" t="s">
        <v>2288</v>
      </c>
      <c r="W88" s="239" t="s">
        <v>3966</v>
      </c>
      <c r="X88" s="239" t="s">
        <v>3967</v>
      </c>
      <c r="Y88" s="239" t="s">
        <v>3968</v>
      </c>
      <c r="Z88" s="239" t="s">
        <v>3969</v>
      </c>
      <c r="AA88" s="239" t="s">
        <v>2612</v>
      </c>
      <c r="AB88" s="244" t="s">
        <v>202</v>
      </c>
      <c r="AC88" s="244" t="s">
        <v>90</v>
      </c>
      <c r="AD88" s="215" t="s">
        <v>2238</v>
      </c>
      <c r="AE88" s="244" t="s">
        <v>477</v>
      </c>
      <c r="AF88" s="245" t="s">
        <v>2218</v>
      </c>
      <c r="AG88" s="240" t="s">
        <v>138</v>
      </c>
      <c r="AH88" s="240" t="s">
        <v>41</v>
      </c>
      <c r="AI88" s="240" t="s">
        <v>2207</v>
      </c>
      <c r="AJ88" s="240" t="s">
        <v>2219</v>
      </c>
    </row>
    <row r="89" ht="15.0" hidden="1" customHeight="1">
      <c r="A89" s="239" t="s">
        <v>2172</v>
      </c>
      <c r="B89" s="239" t="s">
        <v>1052</v>
      </c>
      <c r="C89" s="239" t="s">
        <v>3973</v>
      </c>
      <c r="D89" s="239" t="s">
        <v>127</v>
      </c>
      <c r="E89" s="239" t="str">
        <f t="array" ref="E89">IFERROR(INDEX(REF_CODES!$B$8:$B$13,MATCH($D89,REF_CODES!$C$8:$C$13,0)),"")</f>
        <v>HB-HOT</v>
      </c>
      <c r="F89" s="239" t="s">
        <v>3977</v>
      </c>
      <c r="G89" s="239" t="s">
        <v>2198</v>
      </c>
      <c r="H89" s="250" t="s">
        <v>157</v>
      </c>
      <c r="I89" s="239" t="s">
        <v>3978</v>
      </c>
      <c r="J89" s="239" t="s">
        <v>3236</v>
      </c>
      <c r="K89" s="239">
        <v>236.0</v>
      </c>
      <c r="L89" s="239" t="s">
        <v>2252</v>
      </c>
      <c r="M89" s="241">
        <v>180.0</v>
      </c>
      <c r="N89" s="241">
        <v>280.0</v>
      </c>
      <c r="O89" s="241">
        <v>400.0</v>
      </c>
      <c r="P89" s="241" t="s">
        <v>2204</v>
      </c>
      <c r="Q89" s="241" t="s">
        <v>2204</v>
      </c>
      <c r="R89" s="241" t="s">
        <v>2204</v>
      </c>
      <c r="S89" s="239" t="s">
        <v>2204</v>
      </c>
      <c r="T89" s="239" t="s">
        <v>3981</v>
      </c>
      <c r="U89" s="242" t="s">
        <v>2208</v>
      </c>
      <c r="V89" s="239" t="s">
        <v>3982</v>
      </c>
      <c r="W89" s="239" t="s">
        <v>3984</v>
      </c>
      <c r="X89" s="239" t="s">
        <v>3985</v>
      </c>
      <c r="Y89" s="239" t="s">
        <v>3987</v>
      </c>
      <c r="Z89" s="239" t="s">
        <v>2204</v>
      </c>
      <c r="AA89" s="239" t="s">
        <v>2612</v>
      </c>
      <c r="AB89" s="244" t="s">
        <v>202</v>
      </c>
      <c r="AC89" s="244" t="s">
        <v>90</v>
      </c>
      <c r="AD89" s="215" t="s">
        <v>2238</v>
      </c>
      <c r="AE89" s="244" t="s">
        <v>477</v>
      </c>
      <c r="AF89" s="245" t="s">
        <v>2218</v>
      </c>
      <c r="AG89" s="240" t="s">
        <v>149</v>
      </c>
      <c r="AH89" s="240" t="s">
        <v>55</v>
      </c>
      <c r="AI89" s="240" t="s">
        <v>2207</v>
      </c>
      <c r="AJ89" s="240" t="s">
        <v>2219</v>
      </c>
    </row>
    <row r="90" ht="15.0" hidden="1" customHeight="1">
      <c r="A90" s="239" t="s">
        <v>2172</v>
      </c>
      <c r="B90" s="239" t="s">
        <v>1052</v>
      </c>
      <c r="C90" s="239" t="s">
        <v>3992</v>
      </c>
      <c r="D90" s="239" t="s">
        <v>127</v>
      </c>
      <c r="E90" s="239" t="str">
        <f t="array" ref="E90">IFERROR(INDEX(REF_CODES!$B$8:$B$13,MATCH($D90,REF_CODES!$C$8:$C$13,0)),"")</f>
        <v>HB-HOT</v>
      </c>
      <c r="F90" s="239" t="s">
        <v>3995</v>
      </c>
      <c r="G90" s="239" t="s">
        <v>2198</v>
      </c>
      <c r="H90" s="250" t="s">
        <v>157</v>
      </c>
      <c r="I90" s="239" t="s">
        <v>3996</v>
      </c>
      <c r="J90" s="239" t="s">
        <v>2224</v>
      </c>
      <c r="K90" s="239">
        <v>444.0</v>
      </c>
      <c r="L90" s="239" t="s">
        <v>2252</v>
      </c>
      <c r="M90" s="241">
        <v>200.0</v>
      </c>
      <c r="N90" s="241">
        <v>320.0</v>
      </c>
      <c r="O90" s="241">
        <v>450.0</v>
      </c>
      <c r="P90" s="241" t="s">
        <v>2204</v>
      </c>
      <c r="Q90" s="241" t="s">
        <v>2204</v>
      </c>
      <c r="R90" s="241" t="s">
        <v>2204</v>
      </c>
      <c r="S90" s="239" t="s">
        <v>2204</v>
      </c>
      <c r="T90" s="239" t="s">
        <v>4000</v>
      </c>
      <c r="U90" s="242" t="s">
        <v>2208</v>
      </c>
      <c r="V90" s="239" t="s">
        <v>4001</v>
      </c>
      <c r="W90" s="242" t="s">
        <v>2211</v>
      </c>
      <c r="X90" s="239" t="s">
        <v>4003</v>
      </c>
      <c r="Y90" s="242" t="s">
        <v>2211</v>
      </c>
      <c r="Z90" s="239" t="s">
        <v>2204</v>
      </c>
      <c r="AA90" s="239" t="s">
        <v>4004</v>
      </c>
      <c r="AB90" s="244" t="s">
        <v>202</v>
      </c>
      <c r="AC90" s="244" t="s">
        <v>90</v>
      </c>
      <c r="AD90" s="215" t="s">
        <v>2238</v>
      </c>
      <c r="AE90" s="244" t="s">
        <v>477</v>
      </c>
      <c r="AF90" s="245" t="s">
        <v>2218</v>
      </c>
      <c r="AG90" s="240" t="s">
        <v>149</v>
      </c>
      <c r="AH90" s="240" t="s">
        <v>55</v>
      </c>
      <c r="AI90" s="240" t="s">
        <v>2207</v>
      </c>
      <c r="AJ90" s="240" t="s">
        <v>2219</v>
      </c>
    </row>
    <row r="91" ht="15.0" hidden="1" customHeight="1">
      <c r="A91" s="239" t="s">
        <v>2172</v>
      </c>
      <c r="B91" s="239" t="s">
        <v>1052</v>
      </c>
      <c r="C91" s="239" t="s">
        <v>4006</v>
      </c>
      <c r="D91" s="239" t="s">
        <v>130</v>
      </c>
      <c r="E91" s="239" t="str">
        <f t="array" ref="E91">IFERROR(INDEX(REF_CODES!$B$8:$B$13,MATCH($D91,REF_CODES!$C$8:$C$13,0)),"")</f>
        <v>HB-INC</v>
      </c>
      <c r="F91" s="239" t="s">
        <v>4010</v>
      </c>
      <c r="G91" s="239" t="s">
        <v>2198</v>
      </c>
      <c r="H91" s="250" t="s">
        <v>157</v>
      </c>
      <c r="I91" s="239" t="s">
        <v>4012</v>
      </c>
      <c r="J91" s="239" t="s">
        <v>2224</v>
      </c>
      <c r="K91" s="239" t="s">
        <v>2288</v>
      </c>
      <c r="L91" s="239" t="s">
        <v>2252</v>
      </c>
      <c r="M91" s="241">
        <v>160.0</v>
      </c>
      <c r="N91" s="241">
        <v>250.0</v>
      </c>
      <c r="O91" s="241">
        <v>380.0</v>
      </c>
      <c r="P91" s="241" t="s">
        <v>2204</v>
      </c>
      <c r="Q91" s="241" t="s">
        <v>2204</v>
      </c>
      <c r="R91" s="241" t="s">
        <v>2204</v>
      </c>
      <c r="S91" s="239" t="s">
        <v>2204</v>
      </c>
      <c r="T91" s="239" t="s">
        <v>4013</v>
      </c>
      <c r="U91" s="242" t="s">
        <v>2208</v>
      </c>
      <c r="V91" s="239" t="s">
        <v>4014</v>
      </c>
      <c r="W91" s="239" t="s">
        <v>4015</v>
      </c>
      <c r="X91" s="239" t="s">
        <v>4018</v>
      </c>
      <c r="Y91" s="239" t="s">
        <v>4019</v>
      </c>
      <c r="Z91" s="239" t="s">
        <v>2204</v>
      </c>
      <c r="AA91" s="239" t="s">
        <v>2612</v>
      </c>
      <c r="AB91" s="244" t="s">
        <v>202</v>
      </c>
      <c r="AC91" s="244" t="s">
        <v>90</v>
      </c>
      <c r="AD91" s="215" t="s">
        <v>2217</v>
      </c>
      <c r="AE91" s="244" t="s">
        <v>477</v>
      </c>
      <c r="AF91" s="245" t="s">
        <v>2218</v>
      </c>
      <c r="AG91" s="240" t="s">
        <v>138</v>
      </c>
      <c r="AH91" s="240" t="s">
        <v>41</v>
      </c>
      <c r="AI91" s="240" t="s">
        <v>2207</v>
      </c>
      <c r="AJ91" s="240" t="s">
        <v>2219</v>
      </c>
    </row>
    <row r="92" ht="15.0" hidden="1" customHeight="1">
      <c r="A92" s="239" t="s">
        <v>2172</v>
      </c>
      <c r="B92" s="239" t="s">
        <v>1052</v>
      </c>
      <c r="C92" s="239" t="s">
        <v>4021</v>
      </c>
      <c r="D92" s="239" t="s">
        <v>127</v>
      </c>
      <c r="E92" s="239" t="str">
        <f t="array" ref="E92">IFERROR(INDEX(REF_CODES!$B$8:$B$13,MATCH($D92,REF_CODES!$C$8:$C$13,0)),"")</f>
        <v>HB-HOT</v>
      </c>
      <c r="F92" s="239" t="s">
        <v>4027</v>
      </c>
      <c r="G92" s="239" t="s">
        <v>2722</v>
      </c>
      <c r="H92" s="250" t="s">
        <v>157</v>
      </c>
      <c r="I92" s="239" t="s">
        <v>4029</v>
      </c>
      <c r="J92" s="239" t="s">
        <v>2224</v>
      </c>
      <c r="K92" s="239">
        <v>174.0</v>
      </c>
      <c r="L92" s="239" t="s">
        <v>2252</v>
      </c>
      <c r="M92" s="241">
        <v>150.0</v>
      </c>
      <c r="N92" s="241">
        <v>220.0</v>
      </c>
      <c r="O92" s="241">
        <v>350.0</v>
      </c>
      <c r="P92" s="241" t="s">
        <v>2204</v>
      </c>
      <c r="Q92" s="241" t="s">
        <v>2204</v>
      </c>
      <c r="R92" s="241" t="s">
        <v>2204</v>
      </c>
      <c r="S92" s="239" t="s">
        <v>2204</v>
      </c>
      <c r="T92" s="262" t="s">
        <v>4033</v>
      </c>
      <c r="U92" s="242" t="s">
        <v>2208</v>
      </c>
      <c r="V92" s="239" t="s">
        <v>2288</v>
      </c>
      <c r="W92" s="242" t="s">
        <v>2211</v>
      </c>
      <c r="X92" s="239" t="s">
        <v>4034</v>
      </c>
      <c r="Y92" s="242" t="s">
        <v>2211</v>
      </c>
      <c r="Z92" s="239" t="s">
        <v>2204</v>
      </c>
      <c r="AA92" s="242" t="s">
        <v>4035</v>
      </c>
      <c r="AB92" s="244" t="s">
        <v>195</v>
      </c>
      <c r="AC92" s="244" t="s">
        <v>90</v>
      </c>
      <c r="AD92" s="215" t="s">
        <v>2238</v>
      </c>
      <c r="AE92" s="244" t="s">
        <v>469</v>
      </c>
      <c r="AF92" s="245" t="s">
        <v>2218</v>
      </c>
      <c r="AG92" s="240" t="s">
        <v>149</v>
      </c>
      <c r="AH92" s="240" t="s">
        <v>55</v>
      </c>
      <c r="AI92" s="240" t="s">
        <v>2207</v>
      </c>
      <c r="AJ92" s="240" t="s">
        <v>2219</v>
      </c>
    </row>
    <row r="93" ht="15.0" hidden="1" customHeight="1">
      <c r="A93" s="239" t="s">
        <v>2172</v>
      </c>
      <c r="B93" s="239" t="s">
        <v>1052</v>
      </c>
      <c r="C93" s="239" t="s">
        <v>4038</v>
      </c>
      <c r="D93" s="239" t="s">
        <v>141</v>
      </c>
      <c r="E93" s="239" t="str">
        <f t="array" ref="E93">IFERROR(INDEX(REF_CODES!$B$8:$B$13,MATCH($D93,REF_CODES!$C$8:$C$13,0)),"")</f>
        <v>HB-NAT</v>
      </c>
      <c r="F93" s="239" t="s">
        <v>4043</v>
      </c>
      <c r="G93" s="262" t="s">
        <v>2919</v>
      </c>
      <c r="H93" s="240" t="s">
        <v>165</v>
      </c>
      <c r="I93" s="239" t="s">
        <v>4044</v>
      </c>
      <c r="J93" s="239" t="s">
        <v>2543</v>
      </c>
      <c r="K93" s="239">
        <v>51.0</v>
      </c>
      <c r="L93" s="239" t="s">
        <v>2252</v>
      </c>
      <c r="M93" s="241">
        <v>559.0</v>
      </c>
      <c r="N93" s="241" t="s">
        <v>2204</v>
      </c>
      <c r="O93" s="241" t="s">
        <v>2204</v>
      </c>
      <c r="P93" s="241" t="s">
        <v>2204</v>
      </c>
      <c r="Q93" s="241" t="s">
        <v>2204</v>
      </c>
      <c r="R93" s="241" t="s">
        <v>2204</v>
      </c>
      <c r="S93" s="239" t="s">
        <v>2204</v>
      </c>
      <c r="T93" s="239" t="s">
        <v>4048</v>
      </c>
      <c r="U93" s="239" t="s">
        <v>4049</v>
      </c>
      <c r="V93" s="239" t="s">
        <v>4050</v>
      </c>
      <c r="W93" s="239" t="s">
        <v>4051</v>
      </c>
      <c r="X93" s="239" t="s">
        <v>4052</v>
      </c>
      <c r="Y93" s="242" t="s">
        <v>2211</v>
      </c>
      <c r="Z93" s="239" t="s">
        <v>2204</v>
      </c>
      <c r="AA93" s="239" t="s">
        <v>4054</v>
      </c>
      <c r="AB93" s="244" t="s">
        <v>188</v>
      </c>
      <c r="AC93" s="244" t="s">
        <v>97</v>
      </c>
      <c r="AD93" s="215" t="s">
        <v>2217</v>
      </c>
      <c r="AE93" s="244" t="s">
        <v>469</v>
      </c>
      <c r="AF93" s="245" t="s">
        <v>2218</v>
      </c>
      <c r="AG93" s="240" t="s">
        <v>133</v>
      </c>
      <c r="AH93" s="240" t="s">
        <v>41</v>
      </c>
      <c r="AI93" s="240" t="s">
        <v>2207</v>
      </c>
      <c r="AJ93" s="240" t="s">
        <v>4057</v>
      </c>
    </row>
    <row r="94" ht="15.0" hidden="1" customHeight="1">
      <c r="A94" s="239" t="s">
        <v>2172</v>
      </c>
      <c r="B94" s="239" t="s">
        <v>1052</v>
      </c>
      <c r="C94" s="239" t="s">
        <v>4058</v>
      </c>
      <c r="D94" s="239" t="s">
        <v>141</v>
      </c>
      <c r="E94" s="239" t="str">
        <f t="array" ref="E94">IFERROR(INDEX(REF_CODES!$B$8:$B$13,MATCH($D94,REF_CODES!$C$8:$C$13,0)),"")</f>
        <v>HB-NAT</v>
      </c>
      <c r="F94" s="239" t="s">
        <v>3023</v>
      </c>
      <c r="G94" s="262" t="s">
        <v>2919</v>
      </c>
      <c r="H94" s="240" t="s">
        <v>157</v>
      </c>
      <c r="I94" s="239" t="s">
        <v>4060</v>
      </c>
      <c r="J94" s="239" t="s">
        <v>2543</v>
      </c>
      <c r="K94" s="239">
        <v>15.0</v>
      </c>
      <c r="L94" s="239" t="s">
        <v>2252</v>
      </c>
      <c r="M94" s="241">
        <v>200.0</v>
      </c>
      <c r="N94" s="241" t="s">
        <v>2204</v>
      </c>
      <c r="O94" s="241" t="s">
        <v>2204</v>
      </c>
      <c r="P94" s="241" t="s">
        <v>2204</v>
      </c>
      <c r="Q94" s="241" t="s">
        <v>2204</v>
      </c>
      <c r="R94" s="241" t="s">
        <v>2204</v>
      </c>
      <c r="S94" s="239" t="s">
        <v>2204</v>
      </c>
      <c r="T94" s="239" t="s">
        <v>4064</v>
      </c>
      <c r="U94" s="239" t="s">
        <v>4065</v>
      </c>
      <c r="V94" s="239" t="s">
        <v>4066</v>
      </c>
      <c r="W94" s="239" t="s">
        <v>4068</v>
      </c>
      <c r="X94" s="239" t="s">
        <v>4069</v>
      </c>
      <c r="Y94" s="239" t="s">
        <v>4070</v>
      </c>
      <c r="Z94" s="239" t="s">
        <v>2204</v>
      </c>
      <c r="AA94" s="239" t="s">
        <v>4071</v>
      </c>
      <c r="AB94" s="244" t="s">
        <v>188</v>
      </c>
      <c r="AC94" s="244" t="s">
        <v>97</v>
      </c>
      <c r="AD94" s="215" t="s">
        <v>2217</v>
      </c>
      <c r="AE94" s="244" t="s">
        <v>469</v>
      </c>
      <c r="AF94" s="245" t="s">
        <v>2218</v>
      </c>
      <c r="AG94" s="240" t="s">
        <v>133</v>
      </c>
      <c r="AH94" s="240" t="s">
        <v>41</v>
      </c>
      <c r="AI94" s="240" t="s">
        <v>2207</v>
      </c>
      <c r="AJ94" s="240" t="s">
        <v>4057</v>
      </c>
    </row>
    <row r="95" ht="15.0" hidden="1" customHeight="1">
      <c r="A95" s="239" t="s">
        <v>2172</v>
      </c>
      <c r="B95" s="239" t="s">
        <v>1052</v>
      </c>
      <c r="C95" s="239" t="s">
        <v>4072</v>
      </c>
      <c r="D95" s="239" t="s">
        <v>141</v>
      </c>
      <c r="E95" s="239" t="str">
        <f t="array" ref="E95">IFERROR(INDEX(REF_CODES!$B$8:$B$13,MATCH($D95,REF_CODES!$C$8:$C$13,0)),"")</f>
        <v>HB-NAT</v>
      </c>
      <c r="F95" s="239" t="s">
        <v>4077</v>
      </c>
      <c r="G95" s="262" t="s">
        <v>2919</v>
      </c>
      <c r="H95" s="250" t="s">
        <v>160</v>
      </c>
      <c r="I95" s="239" t="s">
        <v>3912</v>
      </c>
      <c r="J95" s="239" t="s">
        <v>2543</v>
      </c>
      <c r="K95" s="239" t="s">
        <v>2288</v>
      </c>
      <c r="L95" s="239" t="s">
        <v>2252</v>
      </c>
      <c r="M95" s="241">
        <v>300.0</v>
      </c>
      <c r="N95" s="241">
        <v>450.0</v>
      </c>
      <c r="O95" s="241">
        <v>700.0</v>
      </c>
      <c r="P95" s="241" t="s">
        <v>2204</v>
      </c>
      <c r="Q95" s="241" t="s">
        <v>2204</v>
      </c>
      <c r="R95" s="241" t="s">
        <v>2204</v>
      </c>
      <c r="S95" s="239" t="s">
        <v>2204</v>
      </c>
      <c r="T95" s="239" t="s">
        <v>4078</v>
      </c>
      <c r="U95" s="239" t="s">
        <v>4079</v>
      </c>
      <c r="V95" s="239" t="s">
        <v>2288</v>
      </c>
      <c r="W95" s="239" t="s">
        <v>2828</v>
      </c>
      <c r="X95" s="239" t="s">
        <v>2288</v>
      </c>
      <c r="Y95" s="239" t="s">
        <v>4080</v>
      </c>
      <c r="Z95" s="239" t="s">
        <v>2204</v>
      </c>
      <c r="AA95" s="239" t="s">
        <v>2781</v>
      </c>
      <c r="AB95" s="244" t="s">
        <v>188</v>
      </c>
      <c r="AC95" s="244" t="s">
        <v>97</v>
      </c>
      <c r="AD95" s="215" t="s">
        <v>2217</v>
      </c>
      <c r="AE95" s="244" t="s">
        <v>469</v>
      </c>
      <c r="AF95" s="245" t="s">
        <v>2218</v>
      </c>
      <c r="AG95" s="240" t="s">
        <v>133</v>
      </c>
      <c r="AH95" s="240" t="s">
        <v>41</v>
      </c>
      <c r="AI95" s="240" t="s">
        <v>2207</v>
      </c>
      <c r="AJ95" s="240" t="s">
        <v>4057</v>
      </c>
    </row>
    <row r="96" ht="15.0" hidden="1" customHeight="1">
      <c r="A96" s="239" t="s">
        <v>2172</v>
      </c>
      <c r="B96" s="239" t="s">
        <v>1052</v>
      </c>
      <c r="C96" s="239" t="s">
        <v>4082</v>
      </c>
      <c r="D96" s="239" t="s">
        <v>141</v>
      </c>
      <c r="E96" s="239" t="str">
        <f t="array" ref="E96">IFERROR(INDEX(REF_CODES!$B$8:$B$13,MATCH($D96,REF_CODES!$C$8:$C$13,0)),"")</f>
        <v>HB-NAT</v>
      </c>
      <c r="F96" s="239" t="s">
        <v>4085</v>
      </c>
      <c r="G96" s="262" t="s">
        <v>2919</v>
      </c>
      <c r="H96" s="240" t="s">
        <v>157</v>
      </c>
      <c r="I96" s="239" t="s">
        <v>4086</v>
      </c>
      <c r="J96" s="239" t="s">
        <v>2543</v>
      </c>
      <c r="K96" s="239">
        <v>40.0</v>
      </c>
      <c r="L96" s="239" t="s">
        <v>2252</v>
      </c>
      <c r="M96" s="241">
        <v>250.0</v>
      </c>
      <c r="N96" s="241" t="s">
        <v>2204</v>
      </c>
      <c r="O96" s="241" t="s">
        <v>2204</v>
      </c>
      <c r="P96" s="241" t="s">
        <v>2204</v>
      </c>
      <c r="Q96" s="241" t="s">
        <v>2204</v>
      </c>
      <c r="R96" s="241" t="s">
        <v>2204</v>
      </c>
      <c r="S96" s="239" t="s">
        <v>2204</v>
      </c>
      <c r="T96" s="262" t="s">
        <v>4088</v>
      </c>
      <c r="U96" s="242" t="s">
        <v>2208</v>
      </c>
      <c r="V96" s="239" t="s">
        <v>4090</v>
      </c>
      <c r="W96" s="239" t="s">
        <v>4091</v>
      </c>
      <c r="X96" s="239" t="s">
        <v>4092</v>
      </c>
      <c r="Y96" s="242" t="s">
        <v>2211</v>
      </c>
      <c r="Z96" s="239" t="s">
        <v>2204</v>
      </c>
      <c r="AA96" s="242" t="s">
        <v>4094</v>
      </c>
      <c r="AB96" s="244" t="s">
        <v>188</v>
      </c>
      <c r="AC96" s="244" t="s">
        <v>97</v>
      </c>
      <c r="AD96" s="215" t="s">
        <v>2217</v>
      </c>
      <c r="AE96" s="244" t="s">
        <v>469</v>
      </c>
      <c r="AF96" s="245" t="s">
        <v>2218</v>
      </c>
      <c r="AG96" s="240" t="s">
        <v>133</v>
      </c>
      <c r="AH96" s="240" t="s">
        <v>41</v>
      </c>
      <c r="AI96" s="240" t="s">
        <v>2207</v>
      </c>
      <c r="AJ96" s="240" t="s">
        <v>4057</v>
      </c>
    </row>
    <row r="97" ht="15.0" hidden="1" customHeight="1">
      <c r="A97" s="239" t="s">
        <v>2172</v>
      </c>
      <c r="B97" s="239" t="s">
        <v>1052</v>
      </c>
      <c r="C97" s="239" t="s">
        <v>4095</v>
      </c>
      <c r="D97" s="239" t="s">
        <v>141</v>
      </c>
      <c r="E97" s="239" t="str">
        <f t="array" ref="E97">IFERROR(INDEX(REF_CODES!$B$8:$B$13,MATCH($D97,REF_CODES!$C$8:$C$13,0)),"")</f>
        <v>HB-NAT</v>
      </c>
      <c r="F97" s="239" t="s">
        <v>4098</v>
      </c>
      <c r="G97" s="262" t="s">
        <v>2919</v>
      </c>
      <c r="H97" s="250" t="s">
        <v>157</v>
      </c>
      <c r="I97" s="239" t="s">
        <v>4099</v>
      </c>
      <c r="J97" s="239" t="s">
        <v>2543</v>
      </c>
      <c r="K97" s="239">
        <v>13.0</v>
      </c>
      <c r="L97" s="239" t="s">
        <v>2252</v>
      </c>
      <c r="M97" s="241">
        <v>280.0</v>
      </c>
      <c r="N97" s="241">
        <v>400.0</v>
      </c>
      <c r="O97" s="241">
        <v>600.0</v>
      </c>
      <c r="P97" s="241" t="s">
        <v>2204</v>
      </c>
      <c r="Q97" s="241" t="s">
        <v>2204</v>
      </c>
      <c r="R97" s="241" t="s">
        <v>2204</v>
      </c>
      <c r="S97" s="239" t="s">
        <v>2204</v>
      </c>
      <c r="T97" s="239" t="s">
        <v>4101</v>
      </c>
      <c r="U97" s="239" t="s">
        <v>4102</v>
      </c>
      <c r="V97" s="239" t="s">
        <v>4103</v>
      </c>
      <c r="W97" s="242" t="s">
        <v>2211</v>
      </c>
      <c r="X97" s="239" t="s">
        <v>4105</v>
      </c>
      <c r="Y97" s="242" t="s">
        <v>2211</v>
      </c>
      <c r="Z97" s="239" t="s">
        <v>2204</v>
      </c>
      <c r="AA97" s="239" t="s">
        <v>4106</v>
      </c>
      <c r="AB97" s="244" t="s">
        <v>188</v>
      </c>
      <c r="AC97" s="244" t="s">
        <v>97</v>
      </c>
      <c r="AD97" s="215" t="s">
        <v>2217</v>
      </c>
      <c r="AE97" s="244" t="s">
        <v>469</v>
      </c>
      <c r="AF97" s="245" t="s">
        <v>2218</v>
      </c>
      <c r="AG97" s="240" t="s">
        <v>133</v>
      </c>
      <c r="AH97" s="240" t="s">
        <v>41</v>
      </c>
      <c r="AI97" s="240" t="s">
        <v>2207</v>
      </c>
      <c r="AJ97" s="240" t="s">
        <v>4057</v>
      </c>
    </row>
    <row r="98" ht="15.0" customHeight="1">
      <c r="A98" s="239" t="s">
        <v>2172</v>
      </c>
      <c r="B98" s="239" t="s">
        <v>1052</v>
      </c>
      <c r="C98" s="239" t="s">
        <v>4107</v>
      </c>
      <c r="D98" s="239" t="s">
        <v>135</v>
      </c>
      <c r="E98" s="239" t="str">
        <f t="array" ref="E98">IFERROR(INDEX(REF_CODES!$B$8:$B$13,MATCH($D98,REF_CODES!$C$8:$C$13,0)),"")</f>
        <v>HB-RIA</v>
      </c>
      <c r="F98" s="239" t="s">
        <v>4108</v>
      </c>
      <c r="G98" s="262" t="s">
        <v>2571</v>
      </c>
      <c r="H98" s="240" t="s">
        <v>157</v>
      </c>
      <c r="I98" s="239" t="s">
        <v>4110</v>
      </c>
      <c r="J98" s="239" t="s">
        <v>2306</v>
      </c>
      <c r="K98" s="239">
        <v>4.0</v>
      </c>
      <c r="L98" s="239" t="s">
        <v>2252</v>
      </c>
      <c r="M98" s="241">
        <v>65.0</v>
      </c>
      <c r="N98" s="241" t="s">
        <v>2204</v>
      </c>
      <c r="O98" s="241" t="s">
        <v>2204</v>
      </c>
      <c r="P98" s="241" t="s">
        <v>2204</v>
      </c>
      <c r="Q98" s="241" t="s">
        <v>2204</v>
      </c>
      <c r="R98" s="241" t="s">
        <v>2204</v>
      </c>
      <c r="S98" s="239" t="s">
        <v>2204</v>
      </c>
      <c r="T98" s="262" t="s">
        <v>4111</v>
      </c>
      <c r="U98" s="239" t="s">
        <v>4112</v>
      </c>
      <c r="V98" s="239" t="s">
        <v>4113</v>
      </c>
      <c r="W98" s="239" t="s">
        <v>4114</v>
      </c>
      <c r="X98" s="239" t="s">
        <v>4115</v>
      </c>
      <c r="Y98" s="239" t="s">
        <v>2204</v>
      </c>
      <c r="Z98" s="239" t="s">
        <v>4116</v>
      </c>
      <c r="AA98" s="242" t="s">
        <v>3430</v>
      </c>
      <c r="AB98" s="244" t="s">
        <v>188</v>
      </c>
      <c r="AC98" s="244" t="s">
        <v>97</v>
      </c>
      <c r="AD98" s="215" t="s">
        <v>2217</v>
      </c>
      <c r="AE98" s="244" t="s">
        <v>463</v>
      </c>
      <c r="AF98" s="245" t="s">
        <v>2218</v>
      </c>
      <c r="AG98" s="240" t="s">
        <v>138</v>
      </c>
      <c r="AH98" s="240" t="s">
        <v>41</v>
      </c>
      <c r="AI98" s="240" t="s">
        <v>2207</v>
      </c>
      <c r="AJ98" s="240" t="s">
        <v>2587</v>
      </c>
    </row>
    <row r="99" ht="15.0" customHeight="1">
      <c r="A99" s="239" t="s">
        <v>2172</v>
      </c>
      <c r="B99" s="239" t="s">
        <v>1052</v>
      </c>
      <c r="C99" s="239" t="s">
        <v>4118</v>
      </c>
      <c r="D99" s="239" t="s">
        <v>135</v>
      </c>
      <c r="E99" s="239" t="str">
        <f t="array" ref="E99">IFERROR(INDEX(REF_CODES!$B$8:$B$13,MATCH($D99,REF_CODES!$C$8:$C$13,0)),"")</f>
        <v>HB-RIA</v>
      </c>
      <c r="F99" s="239" t="s">
        <v>4123</v>
      </c>
      <c r="G99" s="262" t="s">
        <v>2571</v>
      </c>
      <c r="H99" s="250" t="s">
        <v>157</v>
      </c>
      <c r="I99" s="239" t="s">
        <v>4125</v>
      </c>
      <c r="J99" s="239" t="s">
        <v>2306</v>
      </c>
      <c r="K99" s="239">
        <v>6.0</v>
      </c>
      <c r="L99" s="239" t="s">
        <v>2252</v>
      </c>
      <c r="M99" s="241">
        <v>180.0</v>
      </c>
      <c r="N99" s="241">
        <v>260.0</v>
      </c>
      <c r="O99" s="241">
        <v>380.0</v>
      </c>
      <c r="P99" s="241" t="s">
        <v>2204</v>
      </c>
      <c r="Q99" s="241" t="s">
        <v>2204</v>
      </c>
      <c r="R99" s="241" t="s">
        <v>2204</v>
      </c>
      <c r="S99" s="239" t="s">
        <v>2204</v>
      </c>
      <c r="T99" s="239" t="s">
        <v>4126</v>
      </c>
      <c r="U99" s="239" t="s">
        <v>4127</v>
      </c>
      <c r="V99" s="239" t="s">
        <v>4128</v>
      </c>
      <c r="W99" s="242" t="s">
        <v>2211</v>
      </c>
      <c r="X99" s="239" t="s">
        <v>4129</v>
      </c>
      <c r="Y99" s="242" t="s">
        <v>2211</v>
      </c>
      <c r="Z99" s="239" t="s">
        <v>2204</v>
      </c>
      <c r="AA99" s="239" t="s">
        <v>4130</v>
      </c>
      <c r="AB99" s="244" t="s">
        <v>188</v>
      </c>
      <c r="AC99" s="244" t="s">
        <v>97</v>
      </c>
      <c r="AD99" s="215" t="s">
        <v>2217</v>
      </c>
      <c r="AE99" s="244" t="s">
        <v>469</v>
      </c>
      <c r="AF99" s="245" t="s">
        <v>2218</v>
      </c>
      <c r="AG99" s="240" t="s">
        <v>138</v>
      </c>
      <c r="AH99" s="240" t="s">
        <v>41</v>
      </c>
      <c r="AI99" s="240" t="s">
        <v>2207</v>
      </c>
      <c r="AJ99" s="240" t="s">
        <v>2587</v>
      </c>
    </row>
    <row r="100" ht="15.0" customHeight="1">
      <c r="A100" s="239" t="s">
        <v>2172</v>
      </c>
      <c r="B100" s="239" t="s">
        <v>1052</v>
      </c>
      <c r="C100" s="239" t="s">
        <v>4133</v>
      </c>
      <c r="D100" s="239" t="s">
        <v>135</v>
      </c>
      <c r="E100" s="239" t="str">
        <f t="array" ref="E100">IFERROR(INDEX(REF_CODES!$B$8:$B$13,MATCH($D100,REF_CODES!$C$8:$C$13,0)),"")</f>
        <v>HB-RIA</v>
      </c>
      <c r="F100" s="239" t="s">
        <v>4134</v>
      </c>
      <c r="G100" s="262" t="s">
        <v>2571</v>
      </c>
      <c r="H100" s="240" t="s">
        <v>157</v>
      </c>
      <c r="I100" s="239" t="s">
        <v>4135</v>
      </c>
      <c r="J100" s="239" t="s">
        <v>2306</v>
      </c>
      <c r="K100" s="239">
        <v>25.0</v>
      </c>
      <c r="L100" s="239" t="s">
        <v>2252</v>
      </c>
      <c r="M100" s="241">
        <v>111.0</v>
      </c>
      <c r="N100" s="241" t="s">
        <v>2204</v>
      </c>
      <c r="O100" s="241" t="s">
        <v>2204</v>
      </c>
      <c r="P100" s="241" t="s">
        <v>2204</v>
      </c>
      <c r="Q100" s="241" t="s">
        <v>2204</v>
      </c>
      <c r="R100" s="241" t="s">
        <v>2204</v>
      </c>
      <c r="S100" s="239" t="s">
        <v>2204</v>
      </c>
      <c r="T100" s="239" t="s">
        <v>4137</v>
      </c>
      <c r="U100" s="242" t="s">
        <v>2208</v>
      </c>
      <c r="V100" s="239" t="s">
        <v>2288</v>
      </c>
      <c r="W100" s="239" t="s">
        <v>3093</v>
      </c>
      <c r="X100" s="239" t="s">
        <v>4139</v>
      </c>
      <c r="Y100" s="242" t="s">
        <v>2211</v>
      </c>
      <c r="Z100" s="239" t="s">
        <v>2204</v>
      </c>
      <c r="AA100" s="242" t="s">
        <v>4140</v>
      </c>
      <c r="AB100" s="244" t="s">
        <v>188</v>
      </c>
      <c r="AC100" s="244" t="s">
        <v>97</v>
      </c>
      <c r="AD100" s="215" t="s">
        <v>2217</v>
      </c>
      <c r="AE100" s="244" t="s">
        <v>469</v>
      </c>
      <c r="AF100" s="245" t="s">
        <v>2218</v>
      </c>
      <c r="AG100" s="240" t="s">
        <v>138</v>
      </c>
      <c r="AH100" s="240" t="s">
        <v>41</v>
      </c>
      <c r="AI100" s="240" t="s">
        <v>2207</v>
      </c>
      <c r="AJ100" s="240" t="s">
        <v>2587</v>
      </c>
    </row>
    <row r="101" ht="15.0" customHeight="1">
      <c r="A101" s="239" t="s">
        <v>2172</v>
      </c>
      <c r="B101" s="239" t="s">
        <v>1052</v>
      </c>
      <c r="C101" s="239" t="s">
        <v>4141</v>
      </c>
      <c r="D101" s="239" t="s">
        <v>135</v>
      </c>
      <c r="E101" s="239" t="str">
        <f t="array" ref="E101">IFERROR(INDEX(REF_CODES!$B$8:$B$13,MATCH($D101,REF_CODES!$C$8:$C$13,0)),"")</f>
        <v>HB-RIA</v>
      </c>
      <c r="F101" s="239" t="s">
        <v>4147</v>
      </c>
      <c r="G101" s="262" t="s">
        <v>2571</v>
      </c>
      <c r="H101" s="240" t="s">
        <v>157</v>
      </c>
      <c r="I101" s="239" t="s">
        <v>4148</v>
      </c>
      <c r="J101" s="239" t="s">
        <v>2306</v>
      </c>
      <c r="K101" s="239">
        <v>7.0</v>
      </c>
      <c r="L101" s="239" t="s">
        <v>2252</v>
      </c>
      <c r="M101" s="241">
        <v>150.0</v>
      </c>
      <c r="N101" s="241" t="s">
        <v>2204</v>
      </c>
      <c r="O101" s="241" t="s">
        <v>2204</v>
      </c>
      <c r="P101" s="241" t="s">
        <v>2204</v>
      </c>
      <c r="Q101" s="241" t="s">
        <v>2204</v>
      </c>
      <c r="R101" s="241" t="s">
        <v>2204</v>
      </c>
      <c r="S101" s="239" t="s">
        <v>2204</v>
      </c>
      <c r="T101" s="239" t="s">
        <v>4149</v>
      </c>
      <c r="U101" s="239" t="s">
        <v>4150</v>
      </c>
      <c r="V101" s="239" t="s">
        <v>4151</v>
      </c>
      <c r="W101" s="242" t="s">
        <v>2211</v>
      </c>
      <c r="X101" s="239" t="s">
        <v>4152</v>
      </c>
      <c r="Y101" s="242" t="s">
        <v>2211</v>
      </c>
      <c r="Z101" s="239" t="s">
        <v>2204</v>
      </c>
      <c r="AA101" s="239" t="s">
        <v>4153</v>
      </c>
      <c r="AB101" s="244" t="s">
        <v>188</v>
      </c>
      <c r="AC101" s="244" t="s">
        <v>97</v>
      </c>
      <c r="AD101" s="215" t="s">
        <v>2217</v>
      </c>
      <c r="AE101" s="244" t="s">
        <v>469</v>
      </c>
      <c r="AF101" s="245" t="s">
        <v>2218</v>
      </c>
      <c r="AG101" s="240" t="s">
        <v>138</v>
      </c>
      <c r="AH101" s="240" t="s">
        <v>41</v>
      </c>
      <c r="AI101" s="240" t="s">
        <v>2207</v>
      </c>
      <c r="AJ101" s="240" t="s">
        <v>2587</v>
      </c>
    </row>
    <row r="102" ht="15.0" customHeight="1">
      <c r="A102" s="239" t="s">
        <v>2172</v>
      </c>
      <c r="B102" s="239" t="s">
        <v>1052</v>
      </c>
      <c r="C102" s="239" t="s">
        <v>4156</v>
      </c>
      <c r="D102" s="239" t="s">
        <v>135</v>
      </c>
      <c r="E102" s="239" t="str">
        <f t="array" ref="E102">IFERROR(INDEX(REF_CODES!$B$8:$B$13,MATCH($D102,REF_CODES!$C$8:$C$13,0)),"")</f>
        <v>HB-RIA</v>
      </c>
      <c r="F102" s="239" t="s">
        <v>4158</v>
      </c>
      <c r="G102" s="262" t="s">
        <v>2571</v>
      </c>
      <c r="H102" s="240" t="s">
        <v>157</v>
      </c>
      <c r="I102" s="239" t="s">
        <v>4160</v>
      </c>
      <c r="J102" s="239" t="s">
        <v>2306</v>
      </c>
      <c r="K102" s="239">
        <v>7.0</v>
      </c>
      <c r="L102" s="239" t="s">
        <v>2252</v>
      </c>
      <c r="M102" s="241">
        <v>120.0</v>
      </c>
      <c r="N102" s="241" t="s">
        <v>2204</v>
      </c>
      <c r="O102" s="241" t="s">
        <v>2204</v>
      </c>
      <c r="P102" s="241" t="s">
        <v>2204</v>
      </c>
      <c r="Q102" s="241" t="s">
        <v>2204</v>
      </c>
      <c r="R102" s="241" t="s">
        <v>2204</v>
      </c>
      <c r="S102" s="239" t="s">
        <v>2204</v>
      </c>
      <c r="T102" s="239" t="s">
        <v>4162</v>
      </c>
      <c r="U102" s="239" t="s">
        <v>4163</v>
      </c>
      <c r="V102" s="239" t="s">
        <v>2288</v>
      </c>
      <c r="W102" s="239" t="s">
        <v>4164</v>
      </c>
      <c r="X102" s="239" t="s">
        <v>4165</v>
      </c>
      <c r="Y102" s="242" t="s">
        <v>2211</v>
      </c>
      <c r="Z102" s="239" t="s">
        <v>4166</v>
      </c>
      <c r="AA102" s="242" t="s">
        <v>4167</v>
      </c>
      <c r="AB102" s="244" t="s">
        <v>188</v>
      </c>
      <c r="AC102" s="244" t="s">
        <v>97</v>
      </c>
      <c r="AD102" s="215" t="s">
        <v>2217</v>
      </c>
      <c r="AE102" s="244" t="s">
        <v>469</v>
      </c>
      <c r="AF102" s="245" t="s">
        <v>2218</v>
      </c>
      <c r="AG102" s="240" t="s">
        <v>138</v>
      </c>
      <c r="AH102" s="240" t="s">
        <v>41</v>
      </c>
      <c r="AI102" s="240" t="s">
        <v>2207</v>
      </c>
      <c r="AJ102" s="240" t="s">
        <v>2587</v>
      </c>
    </row>
    <row r="103" ht="15.0" customHeight="1">
      <c r="A103" s="239" t="s">
        <v>2172</v>
      </c>
      <c r="B103" s="239" t="s">
        <v>1052</v>
      </c>
      <c r="C103" s="239" t="s">
        <v>4168</v>
      </c>
      <c r="D103" s="239" t="s">
        <v>135</v>
      </c>
      <c r="E103" s="239" t="str">
        <f t="array" ref="E103">IFERROR(INDEX(REF_CODES!$B$8:$B$13,MATCH($D103,REF_CODES!$C$8:$C$13,0)),"")</f>
        <v>HB-RIA</v>
      </c>
      <c r="F103" s="239" t="s">
        <v>4171</v>
      </c>
      <c r="G103" s="262" t="s">
        <v>2571</v>
      </c>
      <c r="H103" s="240" t="s">
        <v>157</v>
      </c>
      <c r="I103" s="239" t="s">
        <v>4172</v>
      </c>
      <c r="J103" s="239" t="s">
        <v>2306</v>
      </c>
      <c r="K103" s="239">
        <v>7.0</v>
      </c>
      <c r="L103" s="239" t="s">
        <v>2252</v>
      </c>
      <c r="M103" s="241">
        <v>190.0</v>
      </c>
      <c r="N103" s="241" t="s">
        <v>2204</v>
      </c>
      <c r="O103" s="241" t="s">
        <v>2204</v>
      </c>
      <c r="P103" s="241" t="s">
        <v>2204</v>
      </c>
      <c r="Q103" s="241" t="s">
        <v>2204</v>
      </c>
      <c r="R103" s="241" t="s">
        <v>2204</v>
      </c>
      <c r="S103" s="239" t="s">
        <v>2204</v>
      </c>
      <c r="T103" s="239" t="s">
        <v>4177</v>
      </c>
      <c r="U103" s="242" t="s">
        <v>2208</v>
      </c>
      <c r="V103" s="239" t="s">
        <v>4179</v>
      </c>
      <c r="W103" s="242" t="s">
        <v>2211</v>
      </c>
      <c r="X103" s="239" t="s">
        <v>4180</v>
      </c>
      <c r="Y103" s="242" t="s">
        <v>2211</v>
      </c>
      <c r="Z103" s="239" t="s">
        <v>2204</v>
      </c>
      <c r="AA103" s="239" t="s">
        <v>4181</v>
      </c>
      <c r="AB103" s="244" t="s">
        <v>188</v>
      </c>
      <c r="AC103" s="244" t="s">
        <v>97</v>
      </c>
      <c r="AD103" s="215" t="s">
        <v>2217</v>
      </c>
      <c r="AE103" s="244" t="s">
        <v>469</v>
      </c>
      <c r="AF103" s="245" t="s">
        <v>2218</v>
      </c>
      <c r="AG103" s="240" t="s">
        <v>138</v>
      </c>
      <c r="AH103" s="240" t="s">
        <v>41</v>
      </c>
      <c r="AI103" s="240" t="s">
        <v>2207</v>
      </c>
      <c r="AJ103" s="240" t="s">
        <v>2587</v>
      </c>
    </row>
    <row r="104" ht="15.0" customHeight="1">
      <c r="A104" s="239" t="s">
        <v>2172</v>
      </c>
      <c r="B104" s="239" t="s">
        <v>1052</v>
      </c>
      <c r="C104" s="239" t="s">
        <v>4184</v>
      </c>
      <c r="D104" s="239" t="s">
        <v>135</v>
      </c>
      <c r="E104" s="239" t="str">
        <f t="array" ref="E104">IFERROR(INDEX(REF_CODES!$B$8:$B$13,MATCH($D104,REF_CODES!$C$8:$C$13,0)),"")</f>
        <v>HB-RIA</v>
      </c>
      <c r="F104" s="239" t="s">
        <v>4186</v>
      </c>
      <c r="G104" s="262" t="s">
        <v>2571</v>
      </c>
      <c r="H104" s="240" t="s">
        <v>157</v>
      </c>
      <c r="I104" s="239" t="s">
        <v>4187</v>
      </c>
      <c r="J104" s="239" t="s">
        <v>2306</v>
      </c>
      <c r="K104" s="239">
        <v>8.0</v>
      </c>
      <c r="L104" s="239" t="s">
        <v>2252</v>
      </c>
      <c r="M104" s="241">
        <v>90.0</v>
      </c>
      <c r="N104" s="241" t="s">
        <v>2204</v>
      </c>
      <c r="O104" s="241" t="s">
        <v>2204</v>
      </c>
      <c r="P104" s="241" t="s">
        <v>2204</v>
      </c>
      <c r="Q104" s="241" t="s">
        <v>2204</v>
      </c>
      <c r="R104" s="241" t="s">
        <v>2204</v>
      </c>
      <c r="S104" s="239" t="s">
        <v>2204</v>
      </c>
      <c r="T104" s="239" t="s">
        <v>4189</v>
      </c>
      <c r="U104" s="239" t="s">
        <v>4190</v>
      </c>
      <c r="V104" s="239" t="s">
        <v>4191</v>
      </c>
      <c r="W104" s="242" t="s">
        <v>2211</v>
      </c>
      <c r="X104" s="239" t="s">
        <v>4192</v>
      </c>
      <c r="Y104" s="242" t="s">
        <v>2211</v>
      </c>
      <c r="Z104" s="239" t="s">
        <v>2204</v>
      </c>
      <c r="AA104" s="239" t="s">
        <v>4193</v>
      </c>
      <c r="AB104" s="244" t="s">
        <v>188</v>
      </c>
      <c r="AC104" s="244" t="s">
        <v>97</v>
      </c>
      <c r="AD104" s="215" t="s">
        <v>2217</v>
      </c>
      <c r="AE104" s="244" t="s">
        <v>469</v>
      </c>
      <c r="AF104" s="245" t="s">
        <v>2218</v>
      </c>
      <c r="AG104" s="240" t="s">
        <v>138</v>
      </c>
      <c r="AH104" s="240" t="s">
        <v>41</v>
      </c>
      <c r="AI104" s="240" t="s">
        <v>2207</v>
      </c>
      <c r="AJ104" s="240" t="s">
        <v>2587</v>
      </c>
    </row>
    <row r="105" ht="15.0" customHeight="1">
      <c r="A105" s="239" t="s">
        <v>2172</v>
      </c>
      <c r="B105" s="239" t="s">
        <v>1052</v>
      </c>
      <c r="C105" s="239" t="s">
        <v>4197</v>
      </c>
      <c r="D105" s="239" t="s">
        <v>135</v>
      </c>
      <c r="E105" s="239" t="str">
        <f t="array" ref="E105">IFERROR(INDEX(REF_CODES!$B$8:$B$13,MATCH($D105,REF_CODES!$C$8:$C$13,0)),"")</f>
        <v>HB-RIA</v>
      </c>
      <c r="F105" s="239" t="s">
        <v>4201</v>
      </c>
      <c r="G105" s="262" t="s">
        <v>2571</v>
      </c>
      <c r="H105" s="240" t="s">
        <v>157</v>
      </c>
      <c r="I105" s="239" t="s">
        <v>4203</v>
      </c>
      <c r="J105" s="239" t="s">
        <v>2306</v>
      </c>
      <c r="K105" s="239">
        <v>10.0</v>
      </c>
      <c r="L105" s="239" t="s">
        <v>2252</v>
      </c>
      <c r="M105" s="241">
        <v>80.0</v>
      </c>
      <c r="N105" s="241" t="s">
        <v>2204</v>
      </c>
      <c r="O105" s="241" t="s">
        <v>2204</v>
      </c>
      <c r="P105" s="241" t="s">
        <v>2204</v>
      </c>
      <c r="Q105" s="241" t="s">
        <v>2204</v>
      </c>
      <c r="R105" s="241" t="s">
        <v>2204</v>
      </c>
      <c r="S105" s="239" t="s">
        <v>2204</v>
      </c>
      <c r="T105" s="239" t="s">
        <v>4204</v>
      </c>
      <c r="U105" s="239" t="s">
        <v>4205</v>
      </c>
      <c r="V105" s="239" t="s">
        <v>2288</v>
      </c>
      <c r="W105" s="242" t="s">
        <v>2211</v>
      </c>
      <c r="X105" s="239" t="s">
        <v>4206</v>
      </c>
      <c r="Y105" s="242" t="s">
        <v>2211</v>
      </c>
      <c r="Z105" s="239" t="s">
        <v>2204</v>
      </c>
      <c r="AA105" s="242" t="s">
        <v>4208</v>
      </c>
      <c r="AB105" s="244" t="s">
        <v>188</v>
      </c>
      <c r="AC105" s="244" t="s">
        <v>97</v>
      </c>
      <c r="AD105" s="215" t="s">
        <v>2217</v>
      </c>
      <c r="AE105" s="244" t="s">
        <v>469</v>
      </c>
      <c r="AF105" s="245" t="s">
        <v>2218</v>
      </c>
      <c r="AG105" s="240" t="s">
        <v>138</v>
      </c>
      <c r="AH105" s="240" t="s">
        <v>41</v>
      </c>
      <c r="AI105" s="240" t="s">
        <v>2207</v>
      </c>
      <c r="AJ105" s="240" t="s">
        <v>2587</v>
      </c>
    </row>
    <row r="106" ht="15.0" customHeight="1">
      <c r="A106" s="239" t="s">
        <v>2172</v>
      </c>
      <c r="B106" s="239" t="s">
        <v>1052</v>
      </c>
      <c r="C106" s="239" t="s">
        <v>4209</v>
      </c>
      <c r="D106" s="239" t="s">
        <v>135</v>
      </c>
      <c r="E106" s="239" t="str">
        <f t="array" ref="E106">IFERROR(INDEX(REF_CODES!$B$8:$B$13,MATCH($D106,REF_CODES!$C$8:$C$13,0)),"")</f>
        <v>HB-RIA</v>
      </c>
      <c r="F106" s="239" t="s">
        <v>4215</v>
      </c>
      <c r="G106" s="262" t="s">
        <v>2571</v>
      </c>
      <c r="H106" s="240" t="s">
        <v>157</v>
      </c>
      <c r="I106" s="239" t="s">
        <v>4217</v>
      </c>
      <c r="J106" s="239" t="s">
        <v>2306</v>
      </c>
      <c r="K106" s="239">
        <v>6.0</v>
      </c>
      <c r="L106" s="239" t="s">
        <v>2252</v>
      </c>
      <c r="M106" s="241">
        <v>72.0</v>
      </c>
      <c r="N106" s="241" t="s">
        <v>2204</v>
      </c>
      <c r="O106" s="241" t="s">
        <v>2204</v>
      </c>
      <c r="P106" s="241" t="s">
        <v>2204</v>
      </c>
      <c r="Q106" s="241" t="s">
        <v>2204</v>
      </c>
      <c r="R106" s="241" t="s">
        <v>2204</v>
      </c>
      <c r="S106" s="239" t="s">
        <v>2204</v>
      </c>
      <c r="T106" s="239" t="s">
        <v>4219</v>
      </c>
      <c r="U106" s="242" t="s">
        <v>2208</v>
      </c>
      <c r="V106" s="239" t="s">
        <v>2288</v>
      </c>
      <c r="W106" s="242" t="s">
        <v>2211</v>
      </c>
      <c r="X106" s="239" t="s">
        <v>4220</v>
      </c>
      <c r="Y106" s="242" t="s">
        <v>2211</v>
      </c>
      <c r="Z106" s="239" t="s">
        <v>2204</v>
      </c>
      <c r="AA106" s="242" t="s">
        <v>4221</v>
      </c>
      <c r="AB106" s="244" t="s">
        <v>188</v>
      </c>
      <c r="AC106" s="244" t="s">
        <v>97</v>
      </c>
      <c r="AD106" s="215" t="s">
        <v>2217</v>
      </c>
      <c r="AE106" s="244" t="s">
        <v>469</v>
      </c>
      <c r="AF106" s="245" t="s">
        <v>2218</v>
      </c>
      <c r="AG106" s="240" t="s">
        <v>138</v>
      </c>
      <c r="AH106" s="240" t="s">
        <v>41</v>
      </c>
      <c r="AI106" s="240" t="s">
        <v>2207</v>
      </c>
      <c r="AJ106" s="240" t="s">
        <v>2587</v>
      </c>
    </row>
    <row r="107" ht="15.0" hidden="1" customHeight="1">
      <c r="A107" s="239" t="s">
        <v>2172</v>
      </c>
      <c r="B107" s="239" t="s">
        <v>1052</v>
      </c>
      <c r="C107" s="239" t="s">
        <v>4224</v>
      </c>
      <c r="D107" s="239" t="s">
        <v>130</v>
      </c>
      <c r="E107" s="239" t="str">
        <f t="array" ref="E107">IFERROR(INDEX(REF_CODES!$B$8:$B$13,MATCH($D107,REF_CODES!$C$8:$C$13,0)),"")</f>
        <v>HB-INC</v>
      </c>
      <c r="F107" s="239" t="s">
        <v>2547</v>
      </c>
      <c r="G107" s="262" t="s">
        <v>2919</v>
      </c>
      <c r="H107" s="250" t="s">
        <v>157</v>
      </c>
      <c r="I107" s="239" t="s">
        <v>4232</v>
      </c>
      <c r="J107" s="239" t="s">
        <v>2224</v>
      </c>
      <c r="K107" s="239">
        <v>71.0</v>
      </c>
      <c r="L107" s="239" t="s">
        <v>2252</v>
      </c>
      <c r="M107" s="241">
        <v>180.0</v>
      </c>
      <c r="N107" s="241">
        <v>280.0</v>
      </c>
      <c r="O107" s="241">
        <v>400.0</v>
      </c>
      <c r="P107" s="241" t="s">
        <v>2204</v>
      </c>
      <c r="Q107" s="241" t="s">
        <v>2204</v>
      </c>
      <c r="R107" s="241" t="s">
        <v>2204</v>
      </c>
      <c r="S107" s="239" t="s">
        <v>2204</v>
      </c>
      <c r="T107" s="262" t="s">
        <v>2564</v>
      </c>
      <c r="U107" s="242" t="s">
        <v>2208</v>
      </c>
      <c r="V107" s="239" t="s">
        <v>2288</v>
      </c>
      <c r="W107" s="239" t="s">
        <v>4234</v>
      </c>
      <c r="X107" s="239" t="s">
        <v>4235</v>
      </c>
      <c r="Y107" s="242" t="s">
        <v>2211</v>
      </c>
      <c r="Z107" s="239" t="s">
        <v>2204</v>
      </c>
      <c r="AA107" s="242" t="s">
        <v>4236</v>
      </c>
      <c r="AB107" s="244" t="s">
        <v>202</v>
      </c>
      <c r="AC107" s="244" t="s">
        <v>90</v>
      </c>
      <c r="AD107" s="215" t="s">
        <v>2217</v>
      </c>
      <c r="AE107" s="244" t="s">
        <v>477</v>
      </c>
      <c r="AF107" s="245" t="s">
        <v>2218</v>
      </c>
      <c r="AG107" s="240" t="s">
        <v>138</v>
      </c>
      <c r="AH107" s="240" t="s">
        <v>41</v>
      </c>
      <c r="AI107" s="240" t="s">
        <v>2207</v>
      </c>
      <c r="AJ107" s="240" t="s">
        <v>2219</v>
      </c>
    </row>
    <row r="108" ht="15.0" hidden="1" customHeight="1">
      <c r="A108" s="239" t="s">
        <v>2172</v>
      </c>
      <c r="B108" s="239" t="s">
        <v>1052</v>
      </c>
      <c r="C108" s="239" t="s">
        <v>4238</v>
      </c>
      <c r="D108" s="239" t="s">
        <v>130</v>
      </c>
      <c r="E108" s="239" t="str">
        <f t="array" ref="E108">IFERROR(INDEX(REF_CODES!$B$8:$B$13,MATCH($D108,REF_CODES!$C$8:$C$13,0)),"")</f>
        <v>HB-INC</v>
      </c>
      <c r="F108" s="239" t="s">
        <v>4241</v>
      </c>
      <c r="G108" s="262" t="s">
        <v>2919</v>
      </c>
      <c r="H108" s="240" t="s">
        <v>157</v>
      </c>
      <c r="I108" s="239" t="s">
        <v>4243</v>
      </c>
      <c r="J108" s="239" t="s">
        <v>2627</v>
      </c>
      <c r="K108" s="239" t="s">
        <v>4244</v>
      </c>
      <c r="L108" s="239" t="s">
        <v>2252</v>
      </c>
      <c r="M108" s="241">
        <v>229.0</v>
      </c>
      <c r="N108" s="241" t="s">
        <v>2204</v>
      </c>
      <c r="O108" s="241" t="s">
        <v>2204</v>
      </c>
      <c r="P108" s="241" t="s">
        <v>2204</v>
      </c>
      <c r="Q108" s="241" t="s">
        <v>2204</v>
      </c>
      <c r="R108" s="241" t="s">
        <v>2204</v>
      </c>
      <c r="S108" s="239" t="s">
        <v>2204</v>
      </c>
      <c r="T108" s="262" t="s">
        <v>4248</v>
      </c>
      <c r="U108" s="242" t="s">
        <v>2208</v>
      </c>
      <c r="V108" s="239" t="s">
        <v>2288</v>
      </c>
      <c r="W108" s="239" t="s">
        <v>3206</v>
      </c>
      <c r="X108" s="239" t="s">
        <v>4250</v>
      </c>
      <c r="Y108" s="242" t="s">
        <v>2211</v>
      </c>
      <c r="Z108" s="239" t="s">
        <v>2204</v>
      </c>
      <c r="AA108" s="242" t="s">
        <v>4251</v>
      </c>
      <c r="AB108" s="244" t="s">
        <v>202</v>
      </c>
      <c r="AC108" s="244" t="s">
        <v>90</v>
      </c>
      <c r="AD108" s="215" t="s">
        <v>2217</v>
      </c>
      <c r="AE108" s="244" t="s">
        <v>477</v>
      </c>
      <c r="AF108" s="245" t="s">
        <v>2218</v>
      </c>
      <c r="AG108" s="240" t="s">
        <v>138</v>
      </c>
      <c r="AH108" s="240" t="s">
        <v>41</v>
      </c>
      <c r="AI108" s="240" t="s">
        <v>2207</v>
      </c>
      <c r="AJ108" s="240" t="s">
        <v>2219</v>
      </c>
    </row>
    <row r="109" ht="15.0" hidden="1" customHeight="1">
      <c r="A109" s="239" t="s">
        <v>2172</v>
      </c>
      <c r="B109" s="239" t="s">
        <v>1052</v>
      </c>
      <c r="C109" s="239" t="s">
        <v>4252</v>
      </c>
      <c r="D109" s="239" t="s">
        <v>130</v>
      </c>
      <c r="E109" s="239" t="str">
        <f t="array" ref="E109">IFERROR(INDEX(REF_CODES!$B$8:$B$13,MATCH($D109,REF_CODES!$C$8:$C$13,0)),"")</f>
        <v>HB-INC</v>
      </c>
      <c r="F109" s="239" t="s">
        <v>4255</v>
      </c>
      <c r="G109" s="262" t="s">
        <v>2919</v>
      </c>
      <c r="H109" s="240" t="s">
        <v>157</v>
      </c>
      <c r="I109" s="239" t="s">
        <v>4256</v>
      </c>
      <c r="J109" s="239" t="s">
        <v>2511</v>
      </c>
      <c r="K109" s="239">
        <v>212.0</v>
      </c>
      <c r="L109" s="239" t="s">
        <v>2252</v>
      </c>
      <c r="M109" s="241">
        <v>250.0</v>
      </c>
      <c r="N109" s="241" t="s">
        <v>2204</v>
      </c>
      <c r="O109" s="241" t="s">
        <v>2204</v>
      </c>
      <c r="P109" s="241" t="s">
        <v>2204</v>
      </c>
      <c r="Q109" s="241" t="s">
        <v>2204</v>
      </c>
      <c r="R109" s="241" t="s">
        <v>2204</v>
      </c>
      <c r="S109" s="239" t="s">
        <v>2204</v>
      </c>
      <c r="T109" s="239" t="s">
        <v>4261</v>
      </c>
      <c r="U109" s="242" t="s">
        <v>2208</v>
      </c>
      <c r="V109" s="239" t="s">
        <v>2288</v>
      </c>
      <c r="W109" s="239" t="s">
        <v>4262</v>
      </c>
      <c r="X109" s="239" t="s">
        <v>4263</v>
      </c>
      <c r="Y109" s="242" t="s">
        <v>2211</v>
      </c>
      <c r="Z109" s="239" t="s">
        <v>2204</v>
      </c>
      <c r="AA109" s="242" t="s">
        <v>4265</v>
      </c>
      <c r="AB109" s="244" t="s">
        <v>202</v>
      </c>
      <c r="AC109" s="244" t="s">
        <v>90</v>
      </c>
      <c r="AD109" s="215" t="s">
        <v>2238</v>
      </c>
      <c r="AE109" s="244" t="s">
        <v>477</v>
      </c>
      <c r="AF109" s="245" t="s">
        <v>2218</v>
      </c>
      <c r="AG109" s="240" t="s">
        <v>149</v>
      </c>
      <c r="AH109" s="240" t="s">
        <v>55</v>
      </c>
      <c r="AI109" s="240" t="s">
        <v>2207</v>
      </c>
      <c r="AJ109" s="240" t="s">
        <v>2219</v>
      </c>
    </row>
    <row r="110" ht="15.0" hidden="1" customHeight="1">
      <c r="A110" s="239" t="s">
        <v>2172</v>
      </c>
      <c r="B110" s="239" t="s">
        <v>1052</v>
      </c>
      <c r="C110" s="239" t="s">
        <v>4267</v>
      </c>
      <c r="D110" s="239" t="s">
        <v>127</v>
      </c>
      <c r="E110" s="239" t="str">
        <f t="array" ref="E110">IFERROR(INDEX(REF_CODES!$B$8:$B$13,MATCH($D110,REF_CODES!$C$8:$C$13,0)),"")</f>
        <v>HB-HOT</v>
      </c>
      <c r="F110" s="239" t="s">
        <v>4269</v>
      </c>
      <c r="G110" s="262" t="s">
        <v>2919</v>
      </c>
      <c r="H110" s="240" t="s">
        <v>157</v>
      </c>
      <c r="I110" s="239" t="s">
        <v>4270</v>
      </c>
      <c r="J110" s="239" t="s">
        <v>3236</v>
      </c>
      <c r="K110" s="239">
        <v>232.0</v>
      </c>
      <c r="L110" s="239" t="s">
        <v>2252</v>
      </c>
      <c r="M110" s="241">
        <v>84.0</v>
      </c>
      <c r="N110" s="241" t="s">
        <v>2204</v>
      </c>
      <c r="O110" s="241" t="s">
        <v>2204</v>
      </c>
      <c r="P110" s="241" t="s">
        <v>2204</v>
      </c>
      <c r="Q110" s="241" t="s">
        <v>2204</v>
      </c>
      <c r="R110" s="241" t="s">
        <v>2204</v>
      </c>
      <c r="S110" s="239" t="s">
        <v>2204</v>
      </c>
      <c r="T110" s="239" t="s">
        <v>4274</v>
      </c>
      <c r="U110" s="242" t="s">
        <v>2208</v>
      </c>
      <c r="V110" s="239" t="s">
        <v>4275</v>
      </c>
      <c r="W110" s="242" t="s">
        <v>2211</v>
      </c>
      <c r="X110" s="239" t="s">
        <v>4276</v>
      </c>
      <c r="Y110" s="242" t="s">
        <v>2211</v>
      </c>
      <c r="Z110" s="239" t="s">
        <v>2204</v>
      </c>
      <c r="AA110" s="239" t="s">
        <v>4279</v>
      </c>
      <c r="AB110" s="244" t="s">
        <v>195</v>
      </c>
      <c r="AC110" s="244" t="s">
        <v>90</v>
      </c>
      <c r="AD110" s="215" t="s">
        <v>2238</v>
      </c>
      <c r="AE110" s="244" t="s">
        <v>469</v>
      </c>
      <c r="AF110" s="245" t="s">
        <v>2218</v>
      </c>
      <c r="AG110" s="240" t="s">
        <v>149</v>
      </c>
      <c r="AH110" s="240" t="s">
        <v>55</v>
      </c>
      <c r="AI110" s="240" t="s">
        <v>2207</v>
      </c>
      <c r="AJ110" s="240" t="s">
        <v>2219</v>
      </c>
    </row>
    <row r="111" ht="15.0" hidden="1" customHeight="1">
      <c r="A111" s="239" t="s">
        <v>2172</v>
      </c>
      <c r="B111" s="239" t="s">
        <v>1052</v>
      </c>
      <c r="C111" s="239" t="s">
        <v>4281</v>
      </c>
      <c r="D111" s="239" t="s">
        <v>127</v>
      </c>
      <c r="E111" s="239" t="str">
        <f t="array" ref="E111">IFERROR(INDEX(REF_CODES!$B$8:$B$13,MATCH($D111,REF_CODES!$C$8:$C$13,0)),"")</f>
        <v>HB-HOT</v>
      </c>
      <c r="F111" s="239" t="s">
        <v>4285</v>
      </c>
      <c r="G111" s="262" t="s">
        <v>2919</v>
      </c>
      <c r="H111" s="240" t="s">
        <v>157</v>
      </c>
      <c r="I111" s="239" t="s">
        <v>4287</v>
      </c>
      <c r="J111" s="239" t="s">
        <v>3236</v>
      </c>
      <c r="K111" s="239">
        <v>226.0</v>
      </c>
      <c r="L111" s="239" t="s">
        <v>2252</v>
      </c>
      <c r="M111" s="241">
        <v>85.0</v>
      </c>
      <c r="N111" s="241" t="s">
        <v>2204</v>
      </c>
      <c r="O111" s="241" t="s">
        <v>2204</v>
      </c>
      <c r="P111" s="241" t="s">
        <v>2204</v>
      </c>
      <c r="Q111" s="241" t="s">
        <v>2204</v>
      </c>
      <c r="R111" s="241" t="s">
        <v>2204</v>
      </c>
      <c r="S111" s="239" t="s">
        <v>2204</v>
      </c>
      <c r="T111" s="239" t="s">
        <v>4289</v>
      </c>
      <c r="U111" s="242" t="s">
        <v>2208</v>
      </c>
      <c r="V111" s="239" t="s">
        <v>2288</v>
      </c>
      <c r="W111" s="239" t="s">
        <v>3093</v>
      </c>
      <c r="X111" s="239" t="s">
        <v>4290</v>
      </c>
      <c r="Y111" s="242" t="s">
        <v>2211</v>
      </c>
      <c r="Z111" s="239" t="s">
        <v>2204</v>
      </c>
      <c r="AA111" s="242" t="s">
        <v>4291</v>
      </c>
      <c r="AB111" s="244" t="s">
        <v>195</v>
      </c>
      <c r="AC111" s="244" t="s">
        <v>90</v>
      </c>
      <c r="AD111" s="215" t="s">
        <v>2238</v>
      </c>
      <c r="AE111" s="244" t="s">
        <v>469</v>
      </c>
      <c r="AF111" s="245" t="s">
        <v>2218</v>
      </c>
      <c r="AG111" s="240" t="s">
        <v>149</v>
      </c>
      <c r="AH111" s="240" t="s">
        <v>55</v>
      </c>
      <c r="AI111" s="240" t="s">
        <v>2207</v>
      </c>
      <c r="AJ111" s="240" t="s">
        <v>2219</v>
      </c>
    </row>
    <row r="112" ht="15.0" hidden="1" customHeight="1">
      <c r="A112" s="239" t="s">
        <v>2172</v>
      </c>
      <c r="B112" s="239" t="s">
        <v>1052</v>
      </c>
      <c r="C112" s="239" t="s">
        <v>4294</v>
      </c>
      <c r="D112" s="239" t="s">
        <v>127</v>
      </c>
      <c r="E112" s="239" t="str">
        <f t="array" ref="E112">IFERROR(INDEX(REF_CODES!$B$8:$B$13,MATCH($D112,REF_CODES!$C$8:$C$13,0)),"")</f>
        <v>HB-HOT</v>
      </c>
      <c r="F112" s="239" t="s">
        <v>4296</v>
      </c>
      <c r="G112" s="262" t="s">
        <v>2919</v>
      </c>
      <c r="H112" s="240" t="s">
        <v>157</v>
      </c>
      <c r="I112" s="239" t="s">
        <v>4297</v>
      </c>
      <c r="J112" s="239" t="s">
        <v>2224</v>
      </c>
      <c r="K112" s="239" t="s">
        <v>4298</v>
      </c>
      <c r="L112" s="239" t="s">
        <v>2252</v>
      </c>
      <c r="M112" s="241">
        <v>75.0</v>
      </c>
      <c r="N112" s="241" t="s">
        <v>2204</v>
      </c>
      <c r="O112" s="241" t="s">
        <v>2204</v>
      </c>
      <c r="P112" s="241" t="s">
        <v>2204</v>
      </c>
      <c r="Q112" s="241" t="s">
        <v>2204</v>
      </c>
      <c r="R112" s="241" t="s">
        <v>2204</v>
      </c>
      <c r="S112" s="239" t="s">
        <v>2204</v>
      </c>
      <c r="T112" s="239" t="s">
        <v>4301</v>
      </c>
      <c r="U112" s="239" t="s">
        <v>2204</v>
      </c>
      <c r="V112" s="239" t="s">
        <v>4303</v>
      </c>
      <c r="W112" s="239" t="s">
        <v>4164</v>
      </c>
      <c r="X112" s="239" t="s">
        <v>4304</v>
      </c>
      <c r="Y112" s="239" t="s">
        <v>4305</v>
      </c>
      <c r="Z112" s="239" t="s">
        <v>4306</v>
      </c>
      <c r="AA112" s="242" t="s">
        <v>4307</v>
      </c>
      <c r="AB112" s="244" t="s">
        <v>195</v>
      </c>
      <c r="AC112" s="244" t="s">
        <v>90</v>
      </c>
      <c r="AD112" s="215" t="s">
        <v>2238</v>
      </c>
      <c r="AE112" s="244" t="s">
        <v>469</v>
      </c>
      <c r="AF112" s="245" t="s">
        <v>2218</v>
      </c>
      <c r="AG112" s="240" t="s">
        <v>138</v>
      </c>
      <c r="AH112" s="240" t="s">
        <v>41</v>
      </c>
      <c r="AI112" s="240" t="s">
        <v>2207</v>
      </c>
      <c r="AJ112" s="240" t="s">
        <v>2219</v>
      </c>
    </row>
    <row r="113" ht="15.0" hidden="1" customHeight="1">
      <c r="A113" s="239" t="s">
        <v>2172</v>
      </c>
      <c r="B113" s="239" t="s">
        <v>1052</v>
      </c>
      <c r="C113" s="239" t="s">
        <v>4310</v>
      </c>
      <c r="D113" s="239" t="s">
        <v>127</v>
      </c>
      <c r="E113" s="239" t="str">
        <f t="array" ref="E113">IFERROR(INDEX(REF_CODES!$B$8:$B$13,MATCH($D113,REF_CODES!$C$8:$C$13,0)),"")</f>
        <v>HB-HOT</v>
      </c>
      <c r="F113" s="239" t="s">
        <v>4311</v>
      </c>
      <c r="G113" s="262" t="s">
        <v>2919</v>
      </c>
      <c r="H113" s="240" t="s">
        <v>157</v>
      </c>
      <c r="I113" s="239" t="s">
        <v>4312</v>
      </c>
      <c r="J113" s="239" t="s">
        <v>2224</v>
      </c>
      <c r="K113" s="239" t="s">
        <v>4313</v>
      </c>
      <c r="L113" s="239" t="s">
        <v>2252</v>
      </c>
      <c r="M113" s="241">
        <v>152.0</v>
      </c>
      <c r="N113" s="241" t="s">
        <v>2204</v>
      </c>
      <c r="O113" s="241" t="s">
        <v>2204</v>
      </c>
      <c r="P113" s="241" t="s">
        <v>2204</v>
      </c>
      <c r="Q113" s="241" t="s">
        <v>2204</v>
      </c>
      <c r="R113" s="241" t="s">
        <v>2204</v>
      </c>
      <c r="S113" s="239" t="s">
        <v>2204</v>
      </c>
      <c r="T113" s="239" t="s">
        <v>4317</v>
      </c>
      <c r="U113" s="239" t="s">
        <v>2204</v>
      </c>
      <c r="V113" s="239" t="s">
        <v>4318</v>
      </c>
      <c r="W113" s="239" t="s">
        <v>4319</v>
      </c>
      <c r="X113" s="239" t="s">
        <v>4320</v>
      </c>
      <c r="Y113" s="239" t="s">
        <v>2204</v>
      </c>
      <c r="Z113" s="239" t="s">
        <v>2204</v>
      </c>
      <c r="AA113" s="242" t="s">
        <v>4307</v>
      </c>
      <c r="AB113" s="244" t="s">
        <v>195</v>
      </c>
      <c r="AC113" s="244" t="s">
        <v>90</v>
      </c>
      <c r="AD113" s="215" t="s">
        <v>2238</v>
      </c>
      <c r="AE113" s="244" t="s">
        <v>469</v>
      </c>
      <c r="AF113" s="245" t="s">
        <v>2218</v>
      </c>
      <c r="AG113" s="240" t="s">
        <v>149</v>
      </c>
      <c r="AH113" s="240" t="s">
        <v>55</v>
      </c>
      <c r="AI113" s="240" t="s">
        <v>2207</v>
      </c>
      <c r="AJ113" s="240" t="s">
        <v>2219</v>
      </c>
    </row>
    <row r="114" ht="15.0" hidden="1" customHeight="1">
      <c r="A114" s="239" t="s">
        <v>2172</v>
      </c>
      <c r="B114" s="239" t="s">
        <v>1052</v>
      </c>
      <c r="C114" s="239" t="s">
        <v>4322</v>
      </c>
      <c r="D114" s="239" t="s">
        <v>127</v>
      </c>
      <c r="E114" s="239" t="str">
        <f t="array" ref="E114">IFERROR(INDEX(REF_CODES!$B$8:$B$13,MATCH($D114,REF_CODES!$C$8:$C$13,0)),"")</f>
        <v>HB-HOT</v>
      </c>
      <c r="F114" s="239" t="s">
        <v>4325</v>
      </c>
      <c r="G114" s="262" t="s">
        <v>2919</v>
      </c>
      <c r="H114" s="240" t="s">
        <v>157</v>
      </c>
      <c r="I114" s="239" t="s">
        <v>4326</v>
      </c>
      <c r="J114" s="239" t="s">
        <v>2224</v>
      </c>
      <c r="K114" s="239">
        <v>52.0</v>
      </c>
      <c r="L114" s="239" t="s">
        <v>2252</v>
      </c>
      <c r="M114" s="241">
        <v>154.0</v>
      </c>
      <c r="N114" s="241" t="s">
        <v>2204</v>
      </c>
      <c r="O114" s="241" t="s">
        <v>2204</v>
      </c>
      <c r="P114" s="241" t="s">
        <v>2204</v>
      </c>
      <c r="Q114" s="241" t="s">
        <v>2204</v>
      </c>
      <c r="R114" s="241" t="s">
        <v>2204</v>
      </c>
      <c r="S114" s="239" t="s">
        <v>2204</v>
      </c>
      <c r="T114" s="239" t="s">
        <v>4327</v>
      </c>
      <c r="U114" s="242" t="s">
        <v>2208</v>
      </c>
      <c r="V114" s="239" t="s">
        <v>4329</v>
      </c>
      <c r="W114" s="242" t="s">
        <v>2211</v>
      </c>
      <c r="X114" s="239" t="s">
        <v>4331</v>
      </c>
      <c r="Y114" s="242" t="s">
        <v>2211</v>
      </c>
      <c r="Z114" s="239" t="s">
        <v>2204</v>
      </c>
      <c r="AA114" s="239" t="s">
        <v>4333</v>
      </c>
      <c r="AB114" s="244" t="s">
        <v>195</v>
      </c>
      <c r="AC114" s="244" t="s">
        <v>90</v>
      </c>
      <c r="AD114" s="215" t="s">
        <v>2238</v>
      </c>
      <c r="AE114" s="244" t="s">
        <v>469</v>
      </c>
      <c r="AF114" s="245" t="s">
        <v>2218</v>
      </c>
      <c r="AG114" s="240" t="s">
        <v>138</v>
      </c>
      <c r="AH114" s="240" t="s">
        <v>41</v>
      </c>
      <c r="AI114" s="240" t="s">
        <v>2207</v>
      </c>
      <c r="AJ114" s="240" t="s">
        <v>2219</v>
      </c>
    </row>
    <row r="115" ht="15.0" hidden="1" customHeight="1">
      <c r="A115" s="239" t="s">
        <v>2172</v>
      </c>
      <c r="B115" s="239" t="s">
        <v>1052</v>
      </c>
      <c r="C115" s="239" t="s">
        <v>4334</v>
      </c>
      <c r="D115" s="239" t="s">
        <v>141</v>
      </c>
      <c r="E115" s="239" t="str">
        <f t="array" ref="E115">IFERROR(INDEX(REF_CODES!$B$8:$B$13,MATCH($D115,REF_CODES!$C$8:$C$13,0)),"")</f>
        <v>HB-NAT</v>
      </c>
      <c r="F115" s="239" t="s">
        <v>4338</v>
      </c>
      <c r="G115" s="262" t="s">
        <v>2919</v>
      </c>
      <c r="H115" s="250" t="s">
        <v>157</v>
      </c>
      <c r="I115" s="239" t="s">
        <v>3912</v>
      </c>
      <c r="J115" s="239" t="s">
        <v>2543</v>
      </c>
      <c r="K115" s="239" t="s">
        <v>2288</v>
      </c>
      <c r="L115" s="239" t="s">
        <v>2252</v>
      </c>
      <c r="M115" s="241">
        <v>220.0</v>
      </c>
      <c r="N115" s="241">
        <v>350.0</v>
      </c>
      <c r="O115" s="241">
        <v>500.0</v>
      </c>
      <c r="P115" s="241" t="s">
        <v>2204</v>
      </c>
      <c r="Q115" s="241" t="s">
        <v>2204</v>
      </c>
      <c r="R115" s="241" t="s">
        <v>2204</v>
      </c>
      <c r="S115" s="239" t="s">
        <v>2204</v>
      </c>
      <c r="T115" s="239" t="s">
        <v>4340</v>
      </c>
      <c r="U115" s="242" t="s">
        <v>2208</v>
      </c>
      <c r="V115" s="239" t="s">
        <v>2288</v>
      </c>
      <c r="W115" s="239" t="s">
        <v>4015</v>
      </c>
      <c r="X115" s="239" t="s">
        <v>2288</v>
      </c>
      <c r="Y115" s="239" t="s">
        <v>4343</v>
      </c>
      <c r="Z115" s="239" t="s">
        <v>2204</v>
      </c>
      <c r="AA115" s="239" t="s">
        <v>2781</v>
      </c>
      <c r="AB115" s="244" t="s">
        <v>188</v>
      </c>
      <c r="AC115" s="244" t="s">
        <v>97</v>
      </c>
      <c r="AD115" s="215" t="s">
        <v>2217</v>
      </c>
      <c r="AE115" s="244" t="s">
        <v>469</v>
      </c>
      <c r="AF115" s="245" t="s">
        <v>2218</v>
      </c>
      <c r="AG115" s="240" t="s">
        <v>133</v>
      </c>
      <c r="AH115" s="240" t="s">
        <v>41</v>
      </c>
      <c r="AI115" s="240" t="s">
        <v>2207</v>
      </c>
      <c r="AJ115" s="240" t="s">
        <v>4057</v>
      </c>
    </row>
    <row r="116" ht="15.0" hidden="1" customHeight="1">
      <c r="A116" s="239" t="s">
        <v>2172</v>
      </c>
      <c r="B116" s="239" t="s">
        <v>1052</v>
      </c>
      <c r="C116" s="239" t="s">
        <v>4345</v>
      </c>
      <c r="D116" s="239" t="s">
        <v>141</v>
      </c>
      <c r="E116" s="239" t="str">
        <f t="array" ref="E116">IFERROR(INDEX(REF_CODES!$B$8:$B$13,MATCH($D116,REF_CODES!$C$8:$C$13,0)),"")</f>
        <v>HB-NAT</v>
      </c>
      <c r="F116" s="239" t="s">
        <v>4346</v>
      </c>
      <c r="G116" s="262" t="s">
        <v>2919</v>
      </c>
      <c r="H116" s="240" t="s">
        <v>157</v>
      </c>
      <c r="I116" s="239" t="s">
        <v>4347</v>
      </c>
      <c r="J116" s="239" t="s">
        <v>2543</v>
      </c>
      <c r="K116" s="239" t="s">
        <v>2288</v>
      </c>
      <c r="L116" s="239" t="s">
        <v>2252</v>
      </c>
      <c r="M116" s="241">
        <v>80.0</v>
      </c>
      <c r="N116" s="241" t="s">
        <v>2204</v>
      </c>
      <c r="O116" s="241" t="s">
        <v>2204</v>
      </c>
      <c r="P116" s="241" t="s">
        <v>2204</v>
      </c>
      <c r="Q116" s="241" t="s">
        <v>2204</v>
      </c>
      <c r="R116" s="241" t="s">
        <v>2204</v>
      </c>
      <c r="S116" s="239" t="s">
        <v>2204</v>
      </c>
      <c r="T116" s="262" t="s">
        <v>4349</v>
      </c>
      <c r="U116" s="242" t="s">
        <v>2208</v>
      </c>
      <c r="V116" s="239" t="s">
        <v>2288</v>
      </c>
      <c r="W116" s="239" t="s">
        <v>4351</v>
      </c>
      <c r="X116" s="239" t="s">
        <v>4352</v>
      </c>
      <c r="Y116" s="242" t="s">
        <v>2211</v>
      </c>
      <c r="Z116" s="239" t="s">
        <v>2204</v>
      </c>
      <c r="AA116" s="242" t="s">
        <v>4353</v>
      </c>
      <c r="AB116" s="244" t="s">
        <v>188</v>
      </c>
      <c r="AC116" s="244" t="s">
        <v>97</v>
      </c>
      <c r="AD116" s="215" t="s">
        <v>2217</v>
      </c>
      <c r="AE116" s="244" t="s">
        <v>469</v>
      </c>
      <c r="AF116" s="245" t="s">
        <v>2218</v>
      </c>
      <c r="AG116" s="240" t="s">
        <v>133</v>
      </c>
      <c r="AH116" s="240" t="s">
        <v>41</v>
      </c>
      <c r="AI116" s="240" t="s">
        <v>2207</v>
      </c>
      <c r="AJ116" s="240" t="s">
        <v>4057</v>
      </c>
    </row>
    <row r="117" ht="15.0" hidden="1" customHeight="1">
      <c r="A117" s="239" t="s">
        <v>2172</v>
      </c>
      <c r="B117" s="239" t="s">
        <v>1052</v>
      </c>
      <c r="C117" s="239" t="s">
        <v>4355</v>
      </c>
      <c r="D117" s="239" t="s">
        <v>141</v>
      </c>
      <c r="E117" s="239" t="str">
        <f t="array" ref="E117">IFERROR(INDEX(REF_CODES!$B$8:$B$13,MATCH($D117,REF_CODES!$C$8:$C$13,0)),"")</f>
        <v>HB-NAT</v>
      </c>
      <c r="F117" s="239" t="s">
        <v>4360</v>
      </c>
      <c r="G117" s="262" t="s">
        <v>2919</v>
      </c>
      <c r="H117" s="250" t="s">
        <v>157</v>
      </c>
      <c r="I117" s="239" t="s">
        <v>3912</v>
      </c>
      <c r="J117" s="239" t="s">
        <v>2543</v>
      </c>
      <c r="K117" s="239" t="s">
        <v>2288</v>
      </c>
      <c r="L117" s="239" t="s">
        <v>2252</v>
      </c>
      <c r="M117" s="241">
        <v>180.0</v>
      </c>
      <c r="N117" s="241">
        <v>280.0</v>
      </c>
      <c r="O117" s="241">
        <v>400.0</v>
      </c>
      <c r="P117" s="241" t="s">
        <v>2204</v>
      </c>
      <c r="Q117" s="241" t="s">
        <v>2204</v>
      </c>
      <c r="R117" s="241" t="s">
        <v>2204</v>
      </c>
      <c r="S117" s="239" t="s">
        <v>2204</v>
      </c>
      <c r="T117" s="262" t="s">
        <v>3637</v>
      </c>
      <c r="U117" s="242" t="s">
        <v>2208</v>
      </c>
      <c r="V117" s="239" t="s">
        <v>2288</v>
      </c>
      <c r="W117" s="239" t="s">
        <v>4364</v>
      </c>
      <c r="X117" s="239" t="s">
        <v>2288</v>
      </c>
      <c r="Y117" s="242" t="s">
        <v>2211</v>
      </c>
      <c r="Z117" s="239" t="s">
        <v>2204</v>
      </c>
      <c r="AA117" s="242" t="s">
        <v>4366</v>
      </c>
      <c r="AB117" s="244" t="s">
        <v>188</v>
      </c>
      <c r="AC117" s="244" t="s">
        <v>97</v>
      </c>
      <c r="AD117" s="215" t="s">
        <v>2217</v>
      </c>
      <c r="AE117" s="244" t="s">
        <v>469</v>
      </c>
      <c r="AF117" s="245" t="s">
        <v>2218</v>
      </c>
      <c r="AG117" s="240" t="s">
        <v>133</v>
      </c>
      <c r="AH117" s="240" t="s">
        <v>41</v>
      </c>
      <c r="AI117" s="240" t="s">
        <v>2207</v>
      </c>
      <c r="AJ117" s="240" t="s">
        <v>4057</v>
      </c>
    </row>
    <row r="118" ht="15.0" hidden="1" customHeight="1">
      <c r="A118" s="239" t="s">
        <v>2172</v>
      </c>
      <c r="B118" s="239" t="s">
        <v>1052</v>
      </c>
      <c r="C118" s="239" t="s">
        <v>4371</v>
      </c>
      <c r="D118" s="239" t="s">
        <v>141</v>
      </c>
      <c r="E118" s="239" t="str">
        <f t="array" ref="E118">IFERROR(INDEX(REF_CODES!$B$8:$B$13,MATCH($D118,REF_CODES!$C$8:$C$13,0)),"")</f>
        <v>HB-NAT</v>
      </c>
      <c r="F118" s="239" t="s">
        <v>4374</v>
      </c>
      <c r="G118" s="262" t="s">
        <v>2919</v>
      </c>
      <c r="H118" s="240" t="s">
        <v>157</v>
      </c>
      <c r="I118" s="239" t="s">
        <v>4375</v>
      </c>
      <c r="J118" s="239" t="s">
        <v>2543</v>
      </c>
      <c r="K118" s="239" t="s">
        <v>2288</v>
      </c>
      <c r="L118" s="239" t="s">
        <v>2252</v>
      </c>
      <c r="M118" s="241">
        <v>120.0</v>
      </c>
      <c r="N118" s="241" t="s">
        <v>2204</v>
      </c>
      <c r="O118" s="241" t="s">
        <v>2204</v>
      </c>
      <c r="P118" s="241" t="s">
        <v>2204</v>
      </c>
      <c r="Q118" s="241" t="s">
        <v>2204</v>
      </c>
      <c r="R118" s="241" t="s">
        <v>2204</v>
      </c>
      <c r="S118" s="239" t="s">
        <v>2204</v>
      </c>
      <c r="T118" s="262" t="s">
        <v>4381</v>
      </c>
      <c r="U118" s="242" t="s">
        <v>2208</v>
      </c>
      <c r="V118" s="239" t="s">
        <v>4382</v>
      </c>
      <c r="W118" s="239" t="s">
        <v>4383</v>
      </c>
      <c r="X118" s="239" t="s">
        <v>4384</v>
      </c>
      <c r="Y118" s="242" t="s">
        <v>2211</v>
      </c>
      <c r="Z118" s="239" t="s">
        <v>2204</v>
      </c>
      <c r="AA118" s="242" t="s">
        <v>4385</v>
      </c>
      <c r="AB118" s="244" t="s">
        <v>188</v>
      </c>
      <c r="AC118" s="244" t="s">
        <v>97</v>
      </c>
      <c r="AD118" s="215" t="s">
        <v>2217</v>
      </c>
      <c r="AE118" s="244" t="s">
        <v>469</v>
      </c>
      <c r="AF118" s="245" t="s">
        <v>2218</v>
      </c>
      <c r="AG118" s="240" t="s">
        <v>133</v>
      </c>
      <c r="AH118" s="240" t="s">
        <v>41</v>
      </c>
      <c r="AI118" s="240" t="s">
        <v>2207</v>
      </c>
      <c r="AJ118" s="240" t="s">
        <v>4057</v>
      </c>
    </row>
    <row r="119" ht="15.0" hidden="1" customHeight="1">
      <c r="A119" s="239" t="s">
        <v>2172</v>
      </c>
      <c r="B119" s="239" t="s">
        <v>1052</v>
      </c>
      <c r="C119" s="239" t="s">
        <v>4386</v>
      </c>
      <c r="D119" s="239" t="s">
        <v>139</v>
      </c>
      <c r="E119" s="239" t="str">
        <f t="array" ref="E119">IFERROR(INDEX(REF_CODES!$B$8:$B$13,MATCH($D119,REF_CODES!$C$8:$C$13,0)),"")</f>
        <v>HB-COL</v>
      </c>
      <c r="F119" s="239" t="s">
        <v>4390</v>
      </c>
      <c r="G119" s="262" t="s">
        <v>2919</v>
      </c>
      <c r="H119" s="250" t="s">
        <v>160</v>
      </c>
      <c r="I119" s="239" t="s">
        <v>2511</v>
      </c>
      <c r="J119" s="239" t="s">
        <v>2511</v>
      </c>
      <c r="K119" s="239">
        <v>7.0</v>
      </c>
      <c r="L119" s="239" t="s">
        <v>2252</v>
      </c>
      <c r="M119" s="241">
        <v>350.0</v>
      </c>
      <c r="N119" s="241">
        <v>500.0</v>
      </c>
      <c r="O119" s="241">
        <v>750.0</v>
      </c>
      <c r="P119" s="241" t="s">
        <v>2204</v>
      </c>
      <c r="Q119" s="241" t="s">
        <v>2204</v>
      </c>
      <c r="R119" s="241" t="s">
        <v>2204</v>
      </c>
      <c r="S119" s="239" t="s">
        <v>2204</v>
      </c>
      <c r="T119" s="239" t="s">
        <v>4395</v>
      </c>
      <c r="U119" s="239" t="s">
        <v>4396</v>
      </c>
      <c r="V119" s="239" t="s">
        <v>2288</v>
      </c>
      <c r="W119" s="239" t="s">
        <v>2828</v>
      </c>
      <c r="X119" s="239" t="s">
        <v>4397</v>
      </c>
      <c r="Y119" s="239" t="s">
        <v>4398</v>
      </c>
      <c r="Z119" s="239" t="s">
        <v>2204</v>
      </c>
      <c r="AA119" s="239" t="s">
        <v>2781</v>
      </c>
      <c r="AB119" s="244" t="s">
        <v>202</v>
      </c>
      <c r="AC119" s="244" t="s">
        <v>90</v>
      </c>
      <c r="AD119" s="215" t="s">
        <v>2238</v>
      </c>
      <c r="AE119" s="244" t="s">
        <v>477</v>
      </c>
      <c r="AF119" s="245" t="s">
        <v>2218</v>
      </c>
      <c r="AG119" s="240" t="s">
        <v>138</v>
      </c>
      <c r="AH119" s="240" t="s">
        <v>41</v>
      </c>
      <c r="AI119" s="240" t="s">
        <v>2207</v>
      </c>
      <c r="AJ119" s="240" t="s">
        <v>2913</v>
      </c>
    </row>
    <row r="120" ht="15.0" customHeight="1">
      <c r="A120" s="239" t="s">
        <v>2172</v>
      </c>
      <c r="B120" s="239" t="s">
        <v>1052</v>
      </c>
      <c r="C120" s="239" t="s">
        <v>4399</v>
      </c>
      <c r="D120" s="239" t="s">
        <v>135</v>
      </c>
      <c r="E120" s="239" t="str">
        <f t="array" ref="E120">IFERROR(INDEX(REF_CODES!$B$8:$B$13,MATCH($D120,REF_CODES!$C$8:$C$13,0)),"")</f>
        <v>HB-RIA</v>
      </c>
      <c r="F120" s="239" t="s">
        <v>4402</v>
      </c>
      <c r="G120" s="262" t="s">
        <v>2571</v>
      </c>
      <c r="H120" s="240" t="s">
        <v>157</v>
      </c>
      <c r="I120" s="239" t="s">
        <v>4403</v>
      </c>
      <c r="J120" s="239" t="s">
        <v>2306</v>
      </c>
      <c r="K120" s="239" t="s">
        <v>4405</v>
      </c>
      <c r="L120" s="239" t="s">
        <v>2252</v>
      </c>
      <c r="M120" s="241">
        <v>130.0</v>
      </c>
      <c r="N120" s="241" t="s">
        <v>2204</v>
      </c>
      <c r="O120" s="241" t="s">
        <v>2204</v>
      </c>
      <c r="P120" s="241" t="s">
        <v>2204</v>
      </c>
      <c r="Q120" s="241" t="s">
        <v>2204</v>
      </c>
      <c r="R120" s="241" t="s">
        <v>2204</v>
      </c>
      <c r="S120" s="239" t="s">
        <v>2204</v>
      </c>
      <c r="T120" s="239" t="s">
        <v>4409</v>
      </c>
      <c r="U120" s="242" t="s">
        <v>2208</v>
      </c>
      <c r="V120" s="239" t="s">
        <v>4410</v>
      </c>
      <c r="W120" s="242" t="s">
        <v>2211</v>
      </c>
      <c r="X120" s="239" t="s">
        <v>4411</v>
      </c>
      <c r="Y120" s="242" t="s">
        <v>2211</v>
      </c>
      <c r="Z120" s="239" t="s">
        <v>2204</v>
      </c>
      <c r="AA120" s="239" t="s">
        <v>4412</v>
      </c>
      <c r="AB120" s="244" t="s">
        <v>188</v>
      </c>
      <c r="AC120" s="244" t="s">
        <v>97</v>
      </c>
      <c r="AD120" s="215" t="s">
        <v>2217</v>
      </c>
      <c r="AE120" s="244" t="s">
        <v>469</v>
      </c>
      <c r="AF120" s="245" t="s">
        <v>2218</v>
      </c>
      <c r="AG120" s="240" t="s">
        <v>138</v>
      </c>
      <c r="AH120" s="240" t="s">
        <v>41</v>
      </c>
      <c r="AI120" s="240" t="s">
        <v>2207</v>
      </c>
      <c r="AJ120" s="240" t="s">
        <v>2587</v>
      </c>
    </row>
    <row r="121" ht="15.0" customHeight="1">
      <c r="A121" s="239" t="s">
        <v>2172</v>
      </c>
      <c r="B121" s="239" t="s">
        <v>1052</v>
      </c>
      <c r="C121" s="239" t="s">
        <v>4414</v>
      </c>
      <c r="D121" s="239" t="s">
        <v>135</v>
      </c>
      <c r="E121" s="239" t="str">
        <f t="array" ref="E121">IFERROR(INDEX(REF_CODES!$B$8:$B$13,MATCH($D121,REF_CODES!$C$8:$C$13,0)),"")</f>
        <v>HB-RIA</v>
      </c>
      <c r="F121" s="239" t="s">
        <v>4417</v>
      </c>
      <c r="G121" s="262" t="s">
        <v>2571</v>
      </c>
      <c r="H121" s="250" t="s">
        <v>157</v>
      </c>
      <c r="I121" s="239" t="s">
        <v>4418</v>
      </c>
      <c r="J121" s="239" t="s">
        <v>2306</v>
      </c>
      <c r="K121" s="239" t="s">
        <v>2288</v>
      </c>
      <c r="L121" s="239" t="s">
        <v>2252</v>
      </c>
      <c r="M121" s="241">
        <v>150.0</v>
      </c>
      <c r="N121" s="241">
        <v>220.0</v>
      </c>
      <c r="O121" s="241">
        <v>300.0</v>
      </c>
      <c r="P121" s="241" t="s">
        <v>2204</v>
      </c>
      <c r="Q121" s="241" t="s">
        <v>2204</v>
      </c>
      <c r="R121" s="241" t="s">
        <v>2204</v>
      </c>
      <c r="S121" s="239" t="s">
        <v>2204</v>
      </c>
      <c r="T121" s="239" t="s">
        <v>4419</v>
      </c>
      <c r="U121" s="239" t="s">
        <v>4420</v>
      </c>
      <c r="V121" s="239" t="s">
        <v>4422</v>
      </c>
      <c r="W121" s="239" t="s">
        <v>4423</v>
      </c>
      <c r="X121" s="239" t="s">
        <v>2288</v>
      </c>
      <c r="Y121" s="242" t="s">
        <v>2211</v>
      </c>
      <c r="Z121" s="239" t="s">
        <v>2204</v>
      </c>
      <c r="AA121" s="239" t="s">
        <v>3191</v>
      </c>
      <c r="AB121" s="244" t="s">
        <v>188</v>
      </c>
      <c r="AC121" s="244" t="s">
        <v>97</v>
      </c>
      <c r="AD121" s="215" t="s">
        <v>2217</v>
      </c>
      <c r="AE121" s="244" t="s">
        <v>463</v>
      </c>
      <c r="AF121" s="245" t="s">
        <v>2218</v>
      </c>
      <c r="AG121" s="240" t="s">
        <v>138</v>
      </c>
      <c r="AH121" s="240" t="s">
        <v>41</v>
      </c>
      <c r="AI121" s="240" t="s">
        <v>2207</v>
      </c>
      <c r="AJ121" s="240" t="s">
        <v>2587</v>
      </c>
    </row>
    <row r="122" ht="15.0" customHeight="1">
      <c r="A122" s="239" t="s">
        <v>2172</v>
      </c>
      <c r="B122" s="239" t="s">
        <v>1052</v>
      </c>
      <c r="C122" s="239" t="s">
        <v>4426</v>
      </c>
      <c r="D122" s="239" t="s">
        <v>135</v>
      </c>
      <c r="E122" s="239" t="str">
        <f t="array" ref="E122">IFERROR(INDEX(REF_CODES!$B$8:$B$13,MATCH($D122,REF_CODES!$C$8:$C$13,0)),"")</f>
        <v>HB-RIA</v>
      </c>
      <c r="F122" s="239" t="s">
        <v>4429</v>
      </c>
      <c r="G122" s="262" t="s">
        <v>2571</v>
      </c>
      <c r="H122" s="240" t="s">
        <v>157</v>
      </c>
      <c r="I122" s="239" t="s">
        <v>4430</v>
      </c>
      <c r="J122" s="239" t="s">
        <v>2306</v>
      </c>
      <c r="K122" s="239" t="s">
        <v>4431</v>
      </c>
      <c r="L122" s="239" t="s">
        <v>2252</v>
      </c>
      <c r="M122" s="241">
        <v>26.0</v>
      </c>
      <c r="N122" s="241" t="s">
        <v>2204</v>
      </c>
      <c r="O122" s="241" t="s">
        <v>2204</v>
      </c>
      <c r="P122" s="241" t="s">
        <v>2204</v>
      </c>
      <c r="Q122" s="241" t="s">
        <v>2204</v>
      </c>
      <c r="R122" s="241" t="s">
        <v>2204</v>
      </c>
      <c r="S122" s="239" t="s">
        <v>2204</v>
      </c>
      <c r="T122" s="262" t="s">
        <v>4434</v>
      </c>
      <c r="U122" s="239" t="s">
        <v>2204</v>
      </c>
      <c r="V122" s="239" t="s">
        <v>4435</v>
      </c>
      <c r="W122" s="239" t="s">
        <v>4436</v>
      </c>
      <c r="X122" s="239" t="s">
        <v>4437</v>
      </c>
      <c r="Y122" s="239" t="s">
        <v>2204</v>
      </c>
      <c r="Z122" s="239" t="s">
        <v>4438</v>
      </c>
      <c r="AA122" s="242" t="s">
        <v>3430</v>
      </c>
      <c r="AB122" s="244" t="s">
        <v>188</v>
      </c>
      <c r="AC122" s="244" t="s">
        <v>97</v>
      </c>
      <c r="AD122" s="215" t="s">
        <v>2217</v>
      </c>
      <c r="AE122" s="244" t="s">
        <v>469</v>
      </c>
      <c r="AF122" s="245" t="s">
        <v>2218</v>
      </c>
      <c r="AG122" s="240" t="s">
        <v>138</v>
      </c>
      <c r="AH122" s="240" t="s">
        <v>41</v>
      </c>
      <c r="AI122" s="240" t="s">
        <v>2207</v>
      </c>
      <c r="AJ122" s="240" t="s">
        <v>2587</v>
      </c>
    </row>
    <row r="123" ht="15.0" customHeight="1">
      <c r="A123" s="239" t="s">
        <v>2172</v>
      </c>
      <c r="B123" s="239" t="s">
        <v>1052</v>
      </c>
      <c r="C123" s="239" t="s">
        <v>4439</v>
      </c>
      <c r="D123" s="239" t="s">
        <v>135</v>
      </c>
      <c r="E123" s="239" t="str">
        <f t="array" ref="E123">IFERROR(INDEX(REF_CODES!$B$8:$B$13,MATCH($D123,REF_CODES!$C$8:$C$13,0)),"")</f>
        <v>HB-RIA</v>
      </c>
      <c r="F123" s="239" t="s">
        <v>4445</v>
      </c>
      <c r="G123" s="262" t="s">
        <v>2571</v>
      </c>
      <c r="H123" s="240" t="s">
        <v>157</v>
      </c>
      <c r="I123" s="239" t="s">
        <v>4446</v>
      </c>
      <c r="J123" s="239" t="s">
        <v>2306</v>
      </c>
      <c r="K123" s="239">
        <v>7.0</v>
      </c>
      <c r="L123" s="239" t="s">
        <v>2252</v>
      </c>
      <c r="M123" s="241">
        <v>90.0</v>
      </c>
      <c r="N123" s="241" t="s">
        <v>2204</v>
      </c>
      <c r="O123" s="241" t="s">
        <v>2204</v>
      </c>
      <c r="P123" s="241" t="s">
        <v>2204</v>
      </c>
      <c r="Q123" s="241" t="s">
        <v>2204</v>
      </c>
      <c r="R123" s="241" t="s">
        <v>2204</v>
      </c>
      <c r="S123" s="239" t="s">
        <v>2204</v>
      </c>
      <c r="T123" s="239" t="s">
        <v>4448</v>
      </c>
      <c r="U123" s="239" t="s">
        <v>4449</v>
      </c>
      <c r="V123" s="239" t="s">
        <v>4450</v>
      </c>
      <c r="W123" s="242" t="s">
        <v>2211</v>
      </c>
      <c r="X123" s="239" t="s">
        <v>4451</v>
      </c>
      <c r="Y123" s="242" t="s">
        <v>2211</v>
      </c>
      <c r="Z123" s="239" t="s">
        <v>2204</v>
      </c>
      <c r="AA123" s="239" t="s">
        <v>4452</v>
      </c>
      <c r="AB123" s="244" t="s">
        <v>188</v>
      </c>
      <c r="AC123" s="244" t="s">
        <v>97</v>
      </c>
      <c r="AD123" s="215" t="s">
        <v>2217</v>
      </c>
      <c r="AE123" s="244" t="s">
        <v>469</v>
      </c>
      <c r="AF123" s="245" t="s">
        <v>2218</v>
      </c>
      <c r="AG123" s="240" t="s">
        <v>138</v>
      </c>
      <c r="AH123" s="240" t="s">
        <v>41</v>
      </c>
      <c r="AI123" s="240" t="s">
        <v>2207</v>
      </c>
      <c r="AJ123" s="240" t="s">
        <v>2587</v>
      </c>
    </row>
    <row r="124" ht="15.0" customHeight="1">
      <c r="A124" s="239" t="s">
        <v>2172</v>
      </c>
      <c r="B124" s="239" t="s">
        <v>1052</v>
      </c>
      <c r="C124" s="239" t="s">
        <v>4459</v>
      </c>
      <c r="D124" s="239" t="s">
        <v>135</v>
      </c>
      <c r="E124" s="239" t="str">
        <f t="array" ref="E124">IFERROR(INDEX(REF_CODES!$B$8:$B$13,MATCH($D124,REF_CODES!$C$8:$C$13,0)),"")</f>
        <v>HB-RIA</v>
      </c>
      <c r="F124" s="239" t="s">
        <v>4463</v>
      </c>
      <c r="G124" s="262" t="s">
        <v>2571</v>
      </c>
      <c r="H124" s="240" t="s">
        <v>157</v>
      </c>
      <c r="I124" s="239" t="s">
        <v>4464</v>
      </c>
      <c r="J124" s="239" t="s">
        <v>2306</v>
      </c>
      <c r="K124" s="239">
        <v>9.0</v>
      </c>
      <c r="L124" s="239" t="s">
        <v>2252</v>
      </c>
      <c r="M124" s="241">
        <v>185.0</v>
      </c>
      <c r="N124" s="241" t="s">
        <v>2204</v>
      </c>
      <c r="O124" s="241" t="s">
        <v>2204</v>
      </c>
      <c r="P124" s="241" t="s">
        <v>2204</v>
      </c>
      <c r="Q124" s="241" t="s">
        <v>2204</v>
      </c>
      <c r="R124" s="241" t="s">
        <v>2204</v>
      </c>
      <c r="S124" s="239" t="s">
        <v>2204</v>
      </c>
      <c r="T124" s="239" t="s">
        <v>4468</v>
      </c>
      <c r="U124" s="242" t="s">
        <v>2208</v>
      </c>
      <c r="V124" s="239" t="s">
        <v>4470</v>
      </c>
      <c r="W124" s="239" t="s">
        <v>4471</v>
      </c>
      <c r="X124" s="239" t="s">
        <v>4472</v>
      </c>
      <c r="Y124" s="242" t="s">
        <v>2211</v>
      </c>
      <c r="Z124" s="239" t="s">
        <v>2204</v>
      </c>
      <c r="AA124" s="239" t="s">
        <v>4473</v>
      </c>
      <c r="AB124" s="244" t="s">
        <v>188</v>
      </c>
      <c r="AC124" s="244" t="s">
        <v>97</v>
      </c>
      <c r="AD124" s="215" t="s">
        <v>2217</v>
      </c>
      <c r="AE124" s="244" t="s">
        <v>469</v>
      </c>
      <c r="AF124" s="245" t="s">
        <v>2218</v>
      </c>
      <c r="AG124" s="240" t="s">
        <v>138</v>
      </c>
      <c r="AH124" s="240" t="s">
        <v>41</v>
      </c>
      <c r="AI124" s="240" t="s">
        <v>2207</v>
      </c>
      <c r="AJ124" s="240" t="s">
        <v>2587</v>
      </c>
    </row>
    <row r="125" ht="15.0" customHeight="1">
      <c r="A125" s="239" t="s">
        <v>2172</v>
      </c>
      <c r="B125" s="239" t="s">
        <v>1052</v>
      </c>
      <c r="C125" s="239" t="s">
        <v>4474</v>
      </c>
      <c r="D125" s="239" t="s">
        <v>135</v>
      </c>
      <c r="E125" s="239" t="str">
        <f t="array" ref="E125">IFERROR(INDEX(REF_CODES!$B$8:$B$13,MATCH($D125,REF_CODES!$C$8:$C$13,0)),"")</f>
        <v>HB-RIA</v>
      </c>
      <c r="F125" s="239" t="s">
        <v>4477</v>
      </c>
      <c r="G125" s="262" t="s">
        <v>2571</v>
      </c>
      <c r="H125" s="240" t="s">
        <v>157</v>
      </c>
      <c r="I125" s="239" t="s">
        <v>4478</v>
      </c>
      <c r="J125" s="239" t="s">
        <v>2306</v>
      </c>
      <c r="K125" s="239">
        <v>7.0</v>
      </c>
      <c r="L125" s="239" t="s">
        <v>2252</v>
      </c>
      <c r="M125" s="241">
        <v>90.0</v>
      </c>
      <c r="N125" s="241" t="s">
        <v>2204</v>
      </c>
      <c r="O125" s="241" t="s">
        <v>2204</v>
      </c>
      <c r="P125" s="241" t="s">
        <v>2204</v>
      </c>
      <c r="Q125" s="241" t="s">
        <v>2204</v>
      </c>
      <c r="R125" s="241" t="s">
        <v>2204</v>
      </c>
      <c r="S125" s="239" t="s">
        <v>2204</v>
      </c>
      <c r="T125" s="239" t="s">
        <v>4482</v>
      </c>
      <c r="U125" s="242" t="s">
        <v>2208</v>
      </c>
      <c r="V125" s="239" t="s">
        <v>4483</v>
      </c>
      <c r="W125" s="239" t="s">
        <v>4484</v>
      </c>
      <c r="X125" s="239" t="s">
        <v>2288</v>
      </c>
      <c r="Y125" s="242" t="s">
        <v>2211</v>
      </c>
      <c r="Z125" s="239" t="s">
        <v>2204</v>
      </c>
      <c r="AA125" s="239" t="s">
        <v>3191</v>
      </c>
      <c r="AB125" s="244" t="s">
        <v>188</v>
      </c>
      <c r="AC125" s="244" t="s">
        <v>97</v>
      </c>
      <c r="AD125" s="215" t="s">
        <v>2217</v>
      </c>
      <c r="AE125" s="244" t="s">
        <v>469</v>
      </c>
      <c r="AF125" s="245" t="s">
        <v>2218</v>
      </c>
      <c r="AG125" s="240" t="s">
        <v>138</v>
      </c>
      <c r="AH125" s="240" t="s">
        <v>41</v>
      </c>
      <c r="AI125" s="240" t="s">
        <v>2207</v>
      </c>
      <c r="AJ125" s="240" t="s">
        <v>2587</v>
      </c>
    </row>
    <row r="126" ht="15.0" customHeight="1">
      <c r="A126" s="239" t="s">
        <v>2172</v>
      </c>
      <c r="B126" s="239" t="s">
        <v>1052</v>
      </c>
      <c r="C126" s="239" t="s">
        <v>4487</v>
      </c>
      <c r="D126" s="239" t="s">
        <v>135</v>
      </c>
      <c r="E126" s="239" t="str">
        <f t="array" ref="E126">IFERROR(INDEX(REF_CODES!$B$8:$B$13,MATCH($D126,REF_CODES!$C$8:$C$13,0)),"")</f>
        <v>HB-RIA</v>
      </c>
      <c r="F126" s="239" t="s">
        <v>4489</v>
      </c>
      <c r="G126" s="262" t="s">
        <v>2571</v>
      </c>
      <c r="H126" s="240" t="s">
        <v>157</v>
      </c>
      <c r="I126" s="239" t="s">
        <v>4492</v>
      </c>
      <c r="J126" s="239" t="s">
        <v>2306</v>
      </c>
      <c r="K126" s="239">
        <v>18.0</v>
      </c>
      <c r="L126" s="239" t="s">
        <v>2252</v>
      </c>
      <c r="M126" s="241">
        <v>74.0</v>
      </c>
      <c r="N126" s="241" t="s">
        <v>2204</v>
      </c>
      <c r="O126" s="241" t="s">
        <v>2204</v>
      </c>
      <c r="P126" s="241" t="s">
        <v>2204</v>
      </c>
      <c r="Q126" s="241" t="s">
        <v>2204</v>
      </c>
      <c r="R126" s="241" t="s">
        <v>2204</v>
      </c>
      <c r="S126" s="239" t="s">
        <v>2204</v>
      </c>
      <c r="T126" s="239" t="s">
        <v>4494</v>
      </c>
      <c r="U126" s="242" t="s">
        <v>2208</v>
      </c>
      <c r="V126" s="239" t="s">
        <v>4495</v>
      </c>
      <c r="W126" s="239" t="s">
        <v>4496</v>
      </c>
      <c r="X126" s="239" t="s">
        <v>2288</v>
      </c>
      <c r="Y126" s="242" t="s">
        <v>2211</v>
      </c>
      <c r="Z126" s="239" t="s">
        <v>2204</v>
      </c>
      <c r="AA126" s="239" t="s">
        <v>3191</v>
      </c>
      <c r="AB126" s="244" t="s">
        <v>188</v>
      </c>
      <c r="AC126" s="244" t="s">
        <v>97</v>
      </c>
      <c r="AD126" s="215" t="s">
        <v>2217</v>
      </c>
      <c r="AE126" s="244" t="s">
        <v>469</v>
      </c>
      <c r="AF126" s="245" t="s">
        <v>2218</v>
      </c>
      <c r="AG126" s="240" t="s">
        <v>138</v>
      </c>
      <c r="AH126" s="240" t="s">
        <v>41</v>
      </c>
      <c r="AI126" s="240" t="s">
        <v>2207</v>
      </c>
      <c r="AJ126" s="240" t="s">
        <v>2587</v>
      </c>
    </row>
    <row r="127" ht="15.0" customHeight="1">
      <c r="A127" s="239" t="s">
        <v>2172</v>
      </c>
      <c r="B127" s="239" t="s">
        <v>1052</v>
      </c>
      <c r="C127" s="239" t="s">
        <v>4500</v>
      </c>
      <c r="D127" s="239" t="s">
        <v>135</v>
      </c>
      <c r="E127" s="239" t="str">
        <f t="array" ref="E127">IFERROR(INDEX(REF_CODES!$B$8:$B$13,MATCH($D127,REF_CODES!$C$8:$C$13,0)),"")</f>
        <v>HB-RIA</v>
      </c>
      <c r="F127" s="239" t="s">
        <v>4506</v>
      </c>
      <c r="G127" s="262" t="s">
        <v>2571</v>
      </c>
      <c r="H127" s="240" t="s">
        <v>157</v>
      </c>
      <c r="I127" s="239" t="s">
        <v>4507</v>
      </c>
      <c r="J127" s="239" t="s">
        <v>2306</v>
      </c>
      <c r="K127" s="239">
        <v>5.0</v>
      </c>
      <c r="L127" s="239" t="s">
        <v>2252</v>
      </c>
      <c r="M127" s="241">
        <v>23.0</v>
      </c>
      <c r="N127" s="241" t="s">
        <v>2204</v>
      </c>
      <c r="O127" s="241" t="s">
        <v>2204</v>
      </c>
      <c r="P127" s="241" t="s">
        <v>2204</v>
      </c>
      <c r="Q127" s="241" t="s">
        <v>2204</v>
      </c>
      <c r="R127" s="241" t="s">
        <v>2204</v>
      </c>
      <c r="S127" s="239" t="s">
        <v>2204</v>
      </c>
      <c r="T127" s="239" t="s">
        <v>4509</v>
      </c>
      <c r="U127" s="239" t="s">
        <v>2204</v>
      </c>
      <c r="V127" s="239" t="s">
        <v>4511</v>
      </c>
      <c r="W127" s="239" t="s">
        <v>4164</v>
      </c>
      <c r="X127" s="239" t="s">
        <v>4512</v>
      </c>
      <c r="Y127" s="239" t="s">
        <v>2204</v>
      </c>
      <c r="Z127" s="239" t="s">
        <v>2204</v>
      </c>
      <c r="AA127" s="242" t="s">
        <v>4513</v>
      </c>
      <c r="AB127" s="244" t="s">
        <v>188</v>
      </c>
      <c r="AC127" s="244" t="s">
        <v>97</v>
      </c>
      <c r="AD127" s="215" t="s">
        <v>2217</v>
      </c>
      <c r="AE127" s="244" t="s">
        <v>463</v>
      </c>
      <c r="AF127" s="245" t="s">
        <v>2218</v>
      </c>
      <c r="AG127" s="240" t="s">
        <v>138</v>
      </c>
      <c r="AH127" s="240" t="s">
        <v>41</v>
      </c>
      <c r="AI127" s="240" t="s">
        <v>2207</v>
      </c>
      <c r="AJ127" s="240" t="s">
        <v>2587</v>
      </c>
    </row>
    <row r="128" ht="15.0" customHeight="1">
      <c r="A128" s="239" t="s">
        <v>2172</v>
      </c>
      <c r="B128" s="239" t="s">
        <v>1052</v>
      </c>
      <c r="C128" s="239" t="s">
        <v>4514</v>
      </c>
      <c r="D128" s="239" t="s">
        <v>135</v>
      </c>
      <c r="E128" s="239" t="str">
        <f t="array" ref="E128">IFERROR(INDEX(REF_CODES!$B$8:$B$13,MATCH($D128,REF_CODES!$C$8:$C$13,0)),"")</f>
        <v>HB-RIA</v>
      </c>
      <c r="F128" s="239" t="s">
        <v>4519</v>
      </c>
      <c r="G128" s="262" t="s">
        <v>2571</v>
      </c>
      <c r="H128" s="240" t="s">
        <v>157</v>
      </c>
      <c r="I128" s="239" t="s">
        <v>4520</v>
      </c>
      <c r="J128" s="239" t="s">
        <v>2306</v>
      </c>
      <c r="K128" s="239" t="s">
        <v>2573</v>
      </c>
      <c r="L128" s="239" t="s">
        <v>2252</v>
      </c>
      <c r="M128" s="241">
        <v>119.0</v>
      </c>
      <c r="N128" s="241" t="s">
        <v>2204</v>
      </c>
      <c r="O128" s="241" t="s">
        <v>2204</v>
      </c>
      <c r="P128" s="241" t="s">
        <v>2204</v>
      </c>
      <c r="Q128" s="241" t="s">
        <v>2204</v>
      </c>
      <c r="R128" s="241" t="s">
        <v>2204</v>
      </c>
      <c r="S128" s="239" t="s">
        <v>2204</v>
      </c>
      <c r="T128" s="239" t="s">
        <v>4522</v>
      </c>
      <c r="U128" s="239" t="s">
        <v>4524</v>
      </c>
      <c r="V128" s="239" t="s">
        <v>4525</v>
      </c>
      <c r="W128" s="242" t="s">
        <v>2211</v>
      </c>
      <c r="X128" s="239" t="s">
        <v>2288</v>
      </c>
      <c r="Y128" s="242" t="s">
        <v>2211</v>
      </c>
      <c r="Z128" s="239" t="s">
        <v>2204</v>
      </c>
      <c r="AA128" s="239" t="s">
        <v>3191</v>
      </c>
      <c r="AB128" s="244" t="s">
        <v>188</v>
      </c>
      <c r="AC128" s="244" t="s">
        <v>97</v>
      </c>
      <c r="AD128" s="215" t="s">
        <v>2217</v>
      </c>
      <c r="AE128" s="244" t="s">
        <v>469</v>
      </c>
      <c r="AF128" s="245" t="s">
        <v>2218</v>
      </c>
      <c r="AG128" s="240" t="s">
        <v>138</v>
      </c>
      <c r="AH128" s="240" t="s">
        <v>41</v>
      </c>
      <c r="AI128" s="240" t="s">
        <v>2207</v>
      </c>
      <c r="AJ128" s="240" t="s">
        <v>2587</v>
      </c>
    </row>
    <row r="129" ht="15.0" hidden="1" customHeight="1">
      <c r="A129" s="239" t="s">
        <v>2172</v>
      </c>
      <c r="B129" s="239" t="s">
        <v>1052</v>
      </c>
      <c r="C129" s="239" t="s">
        <v>4530</v>
      </c>
      <c r="D129" s="239" t="s">
        <v>130</v>
      </c>
      <c r="E129" s="239" t="str">
        <f t="array" ref="E129">IFERROR(INDEX(REF_CODES!$B$8:$B$13,MATCH($D129,REF_CODES!$C$8:$C$13,0)),"")</f>
        <v>HB-INC</v>
      </c>
      <c r="F129" s="239" t="s">
        <v>4532</v>
      </c>
      <c r="G129" s="262" t="s">
        <v>2919</v>
      </c>
      <c r="H129" s="240" t="s">
        <v>157</v>
      </c>
      <c r="I129" s="239" t="s">
        <v>4533</v>
      </c>
      <c r="J129" s="239" t="s">
        <v>2191</v>
      </c>
      <c r="K129" s="239">
        <v>85.0</v>
      </c>
      <c r="L129" s="239" t="s">
        <v>2252</v>
      </c>
      <c r="M129" s="241">
        <v>121.0</v>
      </c>
      <c r="N129" s="241" t="s">
        <v>2204</v>
      </c>
      <c r="O129" s="241" t="s">
        <v>2204</v>
      </c>
      <c r="P129" s="241" t="s">
        <v>2204</v>
      </c>
      <c r="Q129" s="241" t="s">
        <v>2204</v>
      </c>
      <c r="R129" s="241" t="s">
        <v>2204</v>
      </c>
      <c r="S129" s="239" t="s">
        <v>2204</v>
      </c>
      <c r="T129" s="239" t="s">
        <v>4537</v>
      </c>
      <c r="U129" s="242" t="s">
        <v>2208</v>
      </c>
      <c r="V129" s="239" t="s">
        <v>2288</v>
      </c>
      <c r="W129" s="239" t="s">
        <v>3093</v>
      </c>
      <c r="X129" s="239" t="s">
        <v>4539</v>
      </c>
      <c r="Y129" s="242" t="s">
        <v>2211</v>
      </c>
      <c r="Z129" s="239" t="s">
        <v>2204</v>
      </c>
      <c r="AA129" s="242" t="s">
        <v>4540</v>
      </c>
      <c r="AB129" s="244" t="s">
        <v>202</v>
      </c>
      <c r="AC129" s="244" t="s">
        <v>90</v>
      </c>
      <c r="AD129" s="215" t="s">
        <v>2217</v>
      </c>
      <c r="AE129" s="244" t="s">
        <v>477</v>
      </c>
      <c r="AF129" s="245" t="s">
        <v>2218</v>
      </c>
      <c r="AG129" s="240" t="s">
        <v>138</v>
      </c>
      <c r="AH129" s="240" t="s">
        <v>41</v>
      </c>
      <c r="AI129" s="240" t="s">
        <v>2207</v>
      </c>
      <c r="AJ129" s="240" t="s">
        <v>2219</v>
      </c>
    </row>
    <row r="130" ht="15.0" hidden="1" customHeight="1">
      <c r="A130" s="239" t="s">
        <v>2172</v>
      </c>
      <c r="B130" s="239" t="s">
        <v>1052</v>
      </c>
      <c r="C130" s="239" t="s">
        <v>4541</v>
      </c>
      <c r="D130" s="239" t="s">
        <v>130</v>
      </c>
      <c r="E130" s="239" t="str">
        <f t="array" ref="E130">IFERROR(INDEX(REF_CODES!$B$8:$B$13,MATCH($D130,REF_CODES!$C$8:$C$13,0)),"")</f>
        <v>HB-INC</v>
      </c>
      <c r="F130" s="239" t="s">
        <v>4543</v>
      </c>
      <c r="G130" s="262" t="s">
        <v>2919</v>
      </c>
      <c r="H130" s="240" t="s">
        <v>157</v>
      </c>
      <c r="I130" s="239" t="s">
        <v>3912</v>
      </c>
      <c r="J130" s="239" t="s">
        <v>2288</v>
      </c>
      <c r="K130" s="239">
        <v>90.0</v>
      </c>
      <c r="L130" s="239" t="s">
        <v>2252</v>
      </c>
      <c r="M130" s="241">
        <v>90.0</v>
      </c>
      <c r="N130" s="241" t="s">
        <v>2204</v>
      </c>
      <c r="O130" s="241" t="s">
        <v>2204</v>
      </c>
      <c r="P130" s="241" t="s">
        <v>2204</v>
      </c>
      <c r="Q130" s="241" t="s">
        <v>2204</v>
      </c>
      <c r="R130" s="241" t="s">
        <v>2204</v>
      </c>
      <c r="S130" s="239" t="s">
        <v>2204</v>
      </c>
      <c r="T130" s="239" t="s">
        <v>4549</v>
      </c>
      <c r="U130" s="242" t="s">
        <v>2208</v>
      </c>
      <c r="V130" s="239" t="s">
        <v>4550</v>
      </c>
      <c r="W130" s="242" t="s">
        <v>2211</v>
      </c>
      <c r="X130" s="239" t="s">
        <v>4551</v>
      </c>
      <c r="Y130" s="242" t="s">
        <v>2211</v>
      </c>
      <c r="Z130" s="239" t="s">
        <v>2204</v>
      </c>
      <c r="AA130" s="239" t="s">
        <v>4552</v>
      </c>
      <c r="AB130" s="244" t="s">
        <v>202</v>
      </c>
      <c r="AC130" s="244" t="s">
        <v>90</v>
      </c>
      <c r="AD130" s="215" t="s">
        <v>2217</v>
      </c>
      <c r="AE130" s="244" t="s">
        <v>477</v>
      </c>
      <c r="AF130" s="245" t="s">
        <v>2218</v>
      </c>
      <c r="AG130" s="240" t="s">
        <v>138</v>
      </c>
      <c r="AH130" s="240" t="s">
        <v>41</v>
      </c>
      <c r="AI130" s="240" t="s">
        <v>2207</v>
      </c>
      <c r="AJ130" s="240" t="s">
        <v>2219</v>
      </c>
    </row>
    <row r="131" ht="15.0" hidden="1" customHeight="1">
      <c r="A131" s="239" t="s">
        <v>2172</v>
      </c>
      <c r="B131" s="239" t="s">
        <v>1052</v>
      </c>
      <c r="C131" s="239" t="s">
        <v>4554</v>
      </c>
      <c r="D131" s="239" t="s">
        <v>130</v>
      </c>
      <c r="E131" s="239" t="str">
        <f t="array" ref="E131">IFERROR(INDEX(REF_CODES!$B$8:$B$13,MATCH($D131,REF_CODES!$C$8:$C$13,0)),"")</f>
        <v>HB-INC</v>
      </c>
      <c r="F131" s="239" t="s">
        <v>4560</v>
      </c>
      <c r="G131" s="262" t="s">
        <v>2919</v>
      </c>
      <c r="H131" s="240" t="s">
        <v>157</v>
      </c>
      <c r="I131" s="239" t="s">
        <v>4561</v>
      </c>
      <c r="J131" s="239" t="s">
        <v>2224</v>
      </c>
      <c r="K131" s="239">
        <v>85.0</v>
      </c>
      <c r="L131" s="239" t="s">
        <v>2252</v>
      </c>
      <c r="M131" s="241">
        <v>131.0</v>
      </c>
      <c r="N131" s="241" t="s">
        <v>2204</v>
      </c>
      <c r="O131" s="241" t="s">
        <v>2204</v>
      </c>
      <c r="P131" s="241" t="s">
        <v>2204</v>
      </c>
      <c r="Q131" s="241" t="s">
        <v>2204</v>
      </c>
      <c r="R131" s="241" t="s">
        <v>2204</v>
      </c>
      <c r="S131" s="239" t="s">
        <v>2204</v>
      </c>
      <c r="T131" s="239" t="s">
        <v>4563</v>
      </c>
      <c r="U131" s="242" t="s">
        <v>2208</v>
      </c>
      <c r="V131" s="239" t="s">
        <v>4564</v>
      </c>
      <c r="W131" s="242" t="s">
        <v>2211</v>
      </c>
      <c r="X131" s="239" t="s">
        <v>4565</v>
      </c>
      <c r="Y131" s="242" t="s">
        <v>2211</v>
      </c>
      <c r="Z131" s="239" t="s">
        <v>2204</v>
      </c>
      <c r="AA131" s="239" t="s">
        <v>4566</v>
      </c>
      <c r="AB131" s="244" t="s">
        <v>202</v>
      </c>
      <c r="AC131" s="244" t="s">
        <v>90</v>
      </c>
      <c r="AD131" s="215" t="s">
        <v>2217</v>
      </c>
      <c r="AE131" s="244" t="s">
        <v>477</v>
      </c>
      <c r="AF131" s="245" t="s">
        <v>2218</v>
      </c>
      <c r="AG131" s="240" t="s">
        <v>138</v>
      </c>
      <c r="AH131" s="240" t="s">
        <v>41</v>
      </c>
      <c r="AI131" s="240" t="s">
        <v>2207</v>
      </c>
      <c r="AJ131" s="240" t="s">
        <v>2219</v>
      </c>
    </row>
    <row r="132" ht="15.0" hidden="1" customHeight="1">
      <c r="A132" s="239" t="s">
        <v>2172</v>
      </c>
      <c r="B132" s="239" t="s">
        <v>1052</v>
      </c>
      <c r="C132" s="239" t="s">
        <v>4572</v>
      </c>
      <c r="D132" s="239" t="s">
        <v>127</v>
      </c>
      <c r="E132" s="239" t="str">
        <f t="array" ref="E132">IFERROR(INDEX(REF_CODES!$B$8:$B$13,MATCH($D132,REF_CODES!$C$8:$C$13,0)),"")</f>
        <v>HB-HOT</v>
      </c>
      <c r="F132" s="239" t="s">
        <v>4575</v>
      </c>
      <c r="G132" s="262" t="s">
        <v>2919</v>
      </c>
      <c r="H132" s="240" t="s">
        <v>157</v>
      </c>
      <c r="I132" s="239" t="s">
        <v>4576</v>
      </c>
      <c r="J132" s="239" t="s">
        <v>3523</v>
      </c>
      <c r="K132" s="239">
        <v>156.0</v>
      </c>
      <c r="L132" s="239" t="s">
        <v>2252</v>
      </c>
      <c r="M132" s="241">
        <v>100.0</v>
      </c>
      <c r="N132" s="241" t="s">
        <v>2204</v>
      </c>
      <c r="O132" s="241" t="s">
        <v>2204</v>
      </c>
      <c r="P132" s="241" t="s">
        <v>2204</v>
      </c>
      <c r="Q132" s="241" t="s">
        <v>2204</v>
      </c>
      <c r="R132" s="241" t="s">
        <v>2204</v>
      </c>
      <c r="S132" s="239" t="s">
        <v>2204</v>
      </c>
      <c r="T132" s="239" t="s">
        <v>4579</v>
      </c>
      <c r="U132" s="242" t="s">
        <v>2208</v>
      </c>
      <c r="V132" s="239" t="s">
        <v>4583</v>
      </c>
      <c r="W132" s="239" t="s">
        <v>4585</v>
      </c>
      <c r="X132" s="239" t="s">
        <v>4586</v>
      </c>
      <c r="Y132" s="242" t="s">
        <v>2211</v>
      </c>
      <c r="Z132" s="239" t="s">
        <v>2204</v>
      </c>
      <c r="AA132" s="239" t="s">
        <v>4587</v>
      </c>
      <c r="AB132" s="244" t="s">
        <v>195</v>
      </c>
      <c r="AC132" s="244" t="s">
        <v>110</v>
      </c>
      <c r="AD132" s="215" t="s">
        <v>2238</v>
      </c>
      <c r="AE132" s="244" t="s">
        <v>469</v>
      </c>
      <c r="AF132" s="245" t="s">
        <v>2218</v>
      </c>
      <c r="AG132" s="240" t="s">
        <v>142</v>
      </c>
      <c r="AH132" s="240" t="s">
        <v>48</v>
      </c>
      <c r="AI132" s="240" t="s">
        <v>2207</v>
      </c>
      <c r="AJ132" s="240" t="s">
        <v>2219</v>
      </c>
    </row>
    <row r="133" ht="15.0" hidden="1" customHeight="1">
      <c r="A133" s="239" t="s">
        <v>2172</v>
      </c>
      <c r="B133" s="239" t="s">
        <v>1052</v>
      </c>
      <c r="C133" s="239" t="s">
        <v>4588</v>
      </c>
      <c r="D133" s="239" t="s">
        <v>127</v>
      </c>
      <c r="E133" s="239" t="str">
        <f t="array" ref="E133">IFERROR(INDEX(REF_CODES!$B$8:$B$13,MATCH($D133,REF_CODES!$C$8:$C$13,0)),"")</f>
        <v>HB-HOT</v>
      </c>
      <c r="F133" s="239" t="s">
        <v>4593</v>
      </c>
      <c r="G133" s="262" t="s">
        <v>2919</v>
      </c>
      <c r="H133" s="240" t="s">
        <v>157</v>
      </c>
      <c r="I133" s="239" t="s">
        <v>4598</v>
      </c>
      <c r="J133" s="239" t="s">
        <v>2519</v>
      </c>
      <c r="K133" s="239">
        <v>251.0</v>
      </c>
      <c r="L133" s="239" t="s">
        <v>2252</v>
      </c>
      <c r="M133" s="241">
        <v>120.0</v>
      </c>
      <c r="N133" s="241" t="s">
        <v>2204</v>
      </c>
      <c r="O133" s="241" t="s">
        <v>2204</v>
      </c>
      <c r="P133" s="241" t="s">
        <v>2204</v>
      </c>
      <c r="Q133" s="241" t="s">
        <v>2204</v>
      </c>
      <c r="R133" s="241" t="s">
        <v>2204</v>
      </c>
      <c r="S133" s="239" t="s">
        <v>2204</v>
      </c>
      <c r="T133" s="262" t="s">
        <v>4599</v>
      </c>
      <c r="U133" s="242" t="s">
        <v>2208</v>
      </c>
      <c r="V133" s="239" t="s">
        <v>2288</v>
      </c>
      <c r="W133" s="239" t="s">
        <v>4600</v>
      </c>
      <c r="X133" s="239" t="s">
        <v>4601</v>
      </c>
      <c r="Y133" s="242" t="s">
        <v>2211</v>
      </c>
      <c r="Z133" s="239" t="s">
        <v>2204</v>
      </c>
      <c r="AA133" s="242" t="s">
        <v>4602</v>
      </c>
      <c r="AB133" s="244" t="s">
        <v>195</v>
      </c>
      <c r="AC133" s="244" t="s">
        <v>110</v>
      </c>
      <c r="AD133" s="215" t="s">
        <v>2238</v>
      </c>
      <c r="AE133" s="244" t="s">
        <v>469</v>
      </c>
      <c r="AF133" s="245" t="s">
        <v>2218</v>
      </c>
      <c r="AG133" s="240" t="s">
        <v>142</v>
      </c>
      <c r="AH133" s="240" t="s">
        <v>48</v>
      </c>
      <c r="AI133" s="240" t="s">
        <v>2207</v>
      </c>
      <c r="AJ133" s="240" t="s">
        <v>2219</v>
      </c>
    </row>
    <row r="134" ht="15.0" hidden="1" customHeight="1">
      <c r="A134" s="239" t="s">
        <v>2172</v>
      </c>
      <c r="B134" s="239" t="s">
        <v>1052</v>
      </c>
      <c r="C134" s="239" t="s">
        <v>4604</v>
      </c>
      <c r="D134" s="239" t="s">
        <v>127</v>
      </c>
      <c r="E134" s="239" t="str">
        <f t="array" ref="E134">IFERROR(INDEX(REF_CODES!$B$8:$B$13,MATCH($D134,REF_CODES!$C$8:$C$13,0)),"")</f>
        <v>HB-HOT</v>
      </c>
      <c r="F134" s="239" t="s">
        <v>4609</v>
      </c>
      <c r="G134" s="262" t="s">
        <v>2919</v>
      </c>
      <c r="H134" s="240" t="s">
        <v>157</v>
      </c>
      <c r="I134" s="239" t="s">
        <v>4610</v>
      </c>
      <c r="J134" s="239" t="s">
        <v>3236</v>
      </c>
      <c r="K134" s="239">
        <v>72.0</v>
      </c>
      <c r="L134" s="239" t="s">
        <v>2252</v>
      </c>
      <c r="M134" s="241">
        <v>61.0</v>
      </c>
      <c r="N134" s="241" t="s">
        <v>2204</v>
      </c>
      <c r="O134" s="241" t="s">
        <v>2204</v>
      </c>
      <c r="P134" s="241" t="s">
        <v>2204</v>
      </c>
      <c r="Q134" s="241" t="s">
        <v>2204</v>
      </c>
      <c r="R134" s="241" t="s">
        <v>2204</v>
      </c>
      <c r="S134" s="239" t="s">
        <v>2204</v>
      </c>
      <c r="T134" s="239" t="s">
        <v>4613</v>
      </c>
      <c r="U134" s="242" t="s">
        <v>2208</v>
      </c>
      <c r="V134" s="239" t="s">
        <v>2288</v>
      </c>
      <c r="W134" s="239" t="s">
        <v>3093</v>
      </c>
      <c r="X134" s="239" t="s">
        <v>4614</v>
      </c>
      <c r="Y134" s="242" t="s">
        <v>2211</v>
      </c>
      <c r="Z134" s="239" t="s">
        <v>2204</v>
      </c>
      <c r="AA134" s="242" t="s">
        <v>4615</v>
      </c>
      <c r="AB134" s="244" t="s">
        <v>195</v>
      </c>
      <c r="AC134" s="244" t="s">
        <v>90</v>
      </c>
      <c r="AD134" s="215" t="s">
        <v>2238</v>
      </c>
      <c r="AE134" s="244" t="s">
        <v>469</v>
      </c>
      <c r="AF134" s="245" t="s">
        <v>2218</v>
      </c>
      <c r="AG134" s="240" t="s">
        <v>138</v>
      </c>
      <c r="AH134" s="240" t="s">
        <v>41</v>
      </c>
      <c r="AI134" s="240" t="s">
        <v>2207</v>
      </c>
      <c r="AJ134" s="240" t="s">
        <v>2219</v>
      </c>
    </row>
    <row r="135" ht="15.0" hidden="1" customHeight="1">
      <c r="A135" s="239" t="s">
        <v>2172</v>
      </c>
      <c r="B135" s="239" t="s">
        <v>1052</v>
      </c>
      <c r="C135" s="239" t="s">
        <v>4618</v>
      </c>
      <c r="D135" s="239" t="s">
        <v>127</v>
      </c>
      <c r="E135" s="239" t="str">
        <f t="array" ref="E135">IFERROR(INDEX(REF_CODES!$B$8:$B$13,MATCH($D135,REF_CODES!$C$8:$C$13,0)),"")</f>
        <v>HB-HOT</v>
      </c>
      <c r="F135" s="239" t="s">
        <v>4622</v>
      </c>
      <c r="G135" s="262" t="s">
        <v>2919</v>
      </c>
      <c r="H135" s="240" t="s">
        <v>157</v>
      </c>
      <c r="I135" s="239" t="s">
        <v>4623</v>
      </c>
      <c r="J135" s="239" t="s">
        <v>3236</v>
      </c>
      <c r="K135" s="239">
        <v>344.0</v>
      </c>
      <c r="L135" s="239" t="s">
        <v>2252</v>
      </c>
      <c r="M135" s="241">
        <v>60.0</v>
      </c>
      <c r="N135" s="241" t="s">
        <v>2204</v>
      </c>
      <c r="O135" s="241" t="s">
        <v>2204</v>
      </c>
      <c r="P135" s="241" t="s">
        <v>2204</v>
      </c>
      <c r="Q135" s="241" t="s">
        <v>2204</v>
      </c>
      <c r="R135" s="241" t="s">
        <v>2204</v>
      </c>
      <c r="S135" s="239" t="s">
        <v>2204</v>
      </c>
      <c r="T135" s="239" t="s">
        <v>4625</v>
      </c>
      <c r="U135" s="242" t="s">
        <v>2208</v>
      </c>
      <c r="V135" s="239" t="s">
        <v>4626</v>
      </c>
      <c r="W135" s="239" t="s">
        <v>4627</v>
      </c>
      <c r="X135" s="239" t="s">
        <v>2288</v>
      </c>
      <c r="Y135" s="242" t="s">
        <v>2211</v>
      </c>
      <c r="Z135" s="239" t="s">
        <v>2204</v>
      </c>
      <c r="AA135" s="239" t="s">
        <v>4628</v>
      </c>
      <c r="AB135" s="244" t="s">
        <v>195</v>
      </c>
      <c r="AC135" s="244" t="s">
        <v>90</v>
      </c>
      <c r="AD135" s="215" t="s">
        <v>2238</v>
      </c>
      <c r="AE135" s="244" t="s">
        <v>469</v>
      </c>
      <c r="AF135" s="245" t="s">
        <v>2218</v>
      </c>
      <c r="AG135" s="240" t="s">
        <v>149</v>
      </c>
      <c r="AH135" s="240" t="s">
        <v>55</v>
      </c>
      <c r="AI135" s="240" t="s">
        <v>2207</v>
      </c>
      <c r="AJ135" s="240" t="s">
        <v>2219</v>
      </c>
    </row>
    <row r="136" ht="15.0" hidden="1" customHeight="1">
      <c r="A136" s="239" t="s">
        <v>2172</v>
      </c>
      <c r="B136" s="239" t="s">
        <v>1052</v>
      </c>
      <c r="C136" s="239" t="s">
        <v>4631</v>
      </c>
      <c r="D136" s="239" t="s">
        <v>127</v>
      </c>
      <c r="E136" s="239" t="str">
        <f t="array" ref="E136">IFERROR(INDEX(REF_CODES!$B$8:$B$13,MATCH($D136,REF_CODES!$C$8:$C$13,0)),"")</f>
        <v>HB-HOT</v>
      </c>
      <c r="F136" s="239" t="s">
        <v>4636</v>
      </c>
      <c r="G136" s="262" t="s">
        <v>2919</v>
      </c>
      <c r="H136" s="240" t="s">
        <v>157</v>
      </c>
      <c r="I136" s="239" t="s">
        <v>4638</v>
      </c>
      <c r="J136" s="239" t="s">
        <v>4639</v>
      </c>
      <c r="K136" s="239">
        <v>341.0</v>
      </c>
      <c r="L136" s="239" t="s">
        <v>2252</v>
      </c>
      <c r="M136" s="241">
        <v>70.0</v>
      </c>
      <c r="N136" s="241" t="s">
        <v>2204</v>
      </c>
      <c r="O136" s="241" t="s">
        <v>2204</v>
      </c>
      <c r="P136" s="241" t="s">
        <v>2204</v>
      </c>
      <c r="Q136" s="241" t="s">
        <v>2204</v>
      </c>
      <c r="R136" s="241" t="s">
        <v>2204</v>
      </c>
      <c r="S136" s="239" t="s">
        <v>2204</v>
      </c>
      <c r="T136" s="239" t="s">
        <v>4643</v>
      </c>
      <c r="U136" s="242" t="s">
        <v>2208</v>
      </c>
      <c r="V136" s="239" t="s">
        <v>4645</v>
      </c>
      <c r="W136" s="242" t="s">
        <v>2211</v>
      </c>
      <c r="X136" s="239" t="s">
        <v>4647</v>
      </c>
      <c r="Y136" s="242" t="s">
        <v>2211</v>
      </c>
      <c r="Z136" s="239" t="s">
        <v>2204</v>
      </c>
      <c r="AA136" s="239" t="s">
        <v>4649</v>
      </c>
      <c r="AB136" s="244" t="s">
        <v>195</v>
      </c>
      <c r="AC136" s="244" t="s">
        <v>90</v>
      </c>
      <c r="AD136" s="215" t="s">
        <v>2238</v>
      </c>
      <c r="AE136" s="244" t="s">
        <v>469</v>
      </c>
      <c r="AF136" s="245" t="s">
        <v>2218</v>
      </c>
      <c r="AG136" s="240" t="s">
        <v>149</v>
      </c>
      <c r="AH136" s="240" t="s">
        <v>55</v>
      </c>
      <c r="AI136" s="240" t="s">
        <v>2207</v>
      </c>
      <c r="AJ136" s="240" t="s">
        <v>2219</v>
      </c>
    </row>
    <row r="137" ht="15.0" hidden="1" customHeight="1">
      <c r="A137" s="239" t="s">
        <v>2172</v>
      </c>
      <c r="B137" s="239" t="s">
        <v>1052</v>
      </c>
      <c r="C137" s="239" t="s">
        <v>4651</v>
      </c>
      <c r="D137" s="239" t="s">
        <v>141</v>
      </c>
      <c r="E137" s="239" t="str">
        <f t="array" ref="E137">IFERROR(INDEX(REF_CODES!$B$8:$B$13,MATCH($D137,REF_CODES!$C$8:$C$13,0)),"")</f>
        <v>HB-NAT</v>
      </c>
      <c r="F137" s="239" t="s">
        <v>4655</v>
      </c>
      <c r="G137" s="262" t="s">
        <v>2919</v>
      </c>
      <c r="H137" s="250" t="s">
        <v>157</v>
      </c>
      <c r="I137" s="239" t="s">
        <v>3912</v>
      </c>
      <c r="J137" s="239" t="s">
        <v>2543</v>
      </c>
      <c r="K137" s="239" t="s">
        <v>2288</v>
      </c>
      <c r="L137" s="239" t="s">
        <v>2252</v>
      </c>
      <c r="M137" s="241">
        <v>250.0</v>
      </c>
      <c r="N137" s="241">
        <v>380.0</v>
      </c>
      <c r="O137" s="241">
        <v>500.0</v>
      </c>
      <c r="P137" s="241" t="s">
        <v>2204</v>
      </c>
      <c r="Q137" s="241" t="s">
        <v>2204</v>
      </c>
      <c r="R137" s="241" t="s">
        <v>2204</v>
      </c>
      <c r="S137" s="239" t="s">
        <v>2204</v>
      </c>
      <c r="T137" s="262" t="s">
        <v>3637</v>
      </c>
      <c r="U137" s="242" t="s">
        <v>2208</v>
      </c>
      <c r="V137" s="239" t="s">
        <v>2288</v>
      </c>
      <c r="W137" s="239" t="s">
        <v>4660</v>
      </c>
      <c r="X137" s="239" t="s">
        <v>2288</v>
      </c>
      <c r="Y137" s="242" t="s">
        <v>2211</v>
      </c>
      <c r="Z137" s="239" t="s">
        <v>2204</v>
      </c>
      <c r="AA137" s="242" t="s">
        <v>4366</v>
      </c>
      <c r="AB137" s="244" t="s">
        <v>188</v>
      </c>
      <c r="AC137" s="244" t="s">
        <v>97</v>
      </c>
      <c r="AD137" s="215" t="s">
        <v>2217</v>
      </c>
      <c r="AE137" s="244" t="s">
        <v>469</v>
      </c>
      <c r="AF137" s="245" t="s">
        <v>2218</v>
      </c>
      <c r="AG137" s="240" t="s">
        <v>133</v>
      </c>
      <c r="AH137" s="240" t="s">
        <v>41</v>
      </c>
      <c r="AI137" s="240" t="s">
        <v>2207</v>
      </c>
      <c r="AJ137" s="240" t="s">
        <v>4057</v>
      </c>
    </row>
    <row r="138" ht="15.0" hidden="1" customHeight="1">
      <c r="A138" s="239" t="s">
        <v>2172</v>
      </c>
      <c r="B138" s="239" t="s">
        <v>1052</v>
      </c>
      <c r="C138" s="239" t="s">
        <v>4662</v>
      </c>
      <c r="D138" s="239" t="s">
        <v>141</v>
      </c>
      <c r="E138" s="239" t="str">
        <f t="array" ref="E138">IFERROR(INDEX(REF_CODES!$B$8:$B$13,MATCH($D138,REF_CODES!$C$8:$C$13,0)),"")</f>
        <v>HB-NAT</v>
      </c>
      <c r="F138" s="239" t="s">
        <v>3882</v>
      </c>
      <c r="G138" s="262" t="s">
        <v>2919</v>
      </c>
      <c r="H138" s="240" t="s">
        <v>157</v>
      </c>
      <c r="I138" s="239" t="s">
        <v>4667</v>
      </c>
      <c r="J138" s="239" t="s">
        <v>2543</v>
      </c>
      <c r="K138" s="239" t="s">
        <v>2288</v>
      </c>
      <c r="L138" s="239" t="s">
        <v>2252</v>
      </c>
      <c r="M138" s="241">
        <v>150.0</v>
      </c>
      <c r="N138" s="241" t="s">
        <v>2204</v>
      </c>
      <c r="O138" s="241" t="s">
        <v>2204</v>
      </c>
      <c r="P138" s="241" t="s">
        <v>2204</v>
      </c>
      <c r="Q138" s="241" t="s">
        <v>2204</v>
      </c>
      <c r="R138" s="241" t="s">
        <v>2204</v>
      </c>
      <c r="S138" s="239" t="s">
        <v>2204</v>
      </c>
      <c r="T138" s="239" t="s">
        <v>4668</v>
      </c>
      <c r="U138" s="239" t="s">
        <v>4670</v>
      </c>
      <c r="V138" s="239" t="s">
        <v>4671</v>
      </c>
      <c r="W138" s="239" t="s">
        <v>4672</v>
      </c>
      <c r="X138" s="239" t="s">
        <v>4673</v>
      </c>
      <c r="Y138" s="239" t="s">
        <v>4674</v>
      </c>
      <c r="Z138" s="239" t="s">
        <v>2204</v>
      </c>
      <c r="AA138" s="239" t="s">
        <v>4675</v>
      </c>
      <c r="AB138" s="244" t="s">
        <v>188</v>
      </c>
      <c r="AC138" s="244" t="s">
        <v>97</v>
      </c>
      <c r="AD138" s="215" t="s">
        <v>2217</v>
      </c>
      <c r="AE138" s="244" t="s">
        <v>469</v>
      </c>
      <c r="AF138" s="245" t="s">
        <v>2218</v>
      </c>
      <c r="AG138" s="240" t="s">
        <v>133</v>
      </c>
      <c r="AH138" s="240" t="s">
        <v>41</v>
      </c>
      <c r="AI138" s="240" t="s">
        <v>2207</v>
      </c>
      <c r="AJ138" s="240" t="s">
        <v>4057</v>
      </c>
    </row>
    <row r="139" ht="15.0" hidden="1" customHeight="1">
      <c r="A139" s="239" t="s">
        <v>2172</v>
      </c>
      <c r="B139" s="239" t="s">
        <v>1052</v>
      </c>
      <c r="C139" s="239" t="s">
        <v>4677</v>
      </c>
      <c r="D139" s="239" t="s">
        <v>141</v>
      </c>
      <c r="E139" s="239" t="str">
        <f t="array" ref="E139">IFERROR(INDEX(REF_CODES!$B$8:$B$13,MATCH($D139,REF_CODES!$C$8:$C$13,0)),"")</f>
        <v>HB-NAT</v>
      </c>
      <c r="F139" s="239" t="s">
        <v>4679</v>
      </c>
      <c r="G139" s="262" t="s">
        <v>2919</v>
      </c>
      <c r="H139" s="250" t="s">
        <v>157</v>
      </c>
      <c r="I139" s="239" t="s">
        <v>3912</v>
      </c>
      <c r="J139" s="239" t="s">
        <v>2543</v>
      </c>
      <c r="K139" s="239" t="s">
        <v>2288</v>
      </c>
      <c r="L139" s="239" t="s">
        <v>2252</v>
      </c>
      <c r="M139" s="241">
        <v>200.0</v>
      </c>
      <c r="N139" s="241">
        <v>320.0</v>
      </c>
      <c r="O139" s="241">
        <v>450.0</v>
      </c>
      <c r="P139" s="241" t="s">
        <v>2204</v>
      </c>
      <c r="Q139" s="241" t="s">
        <v>2204</v>
      </c>
      <c r="R139" s="241" t="s">
        <v>2204</v>
      </c>
      <c r="S139" s="239" t="s">
        <v>2204</v>
      </c>
      <c r="T139" s="262" t="s">
        <v>3637</v>
      </c>
      <c r="U139" s="242" t="s">
        <v>2208</v>
      </c>
      <c r="V139" s="239" t="s">
        <v>2288</v>
      </c>
      <c r="W139" s="239" t="s">
        <v>4686</v>
      </c>
      <c r="X139" s="239" t="s">
        <v>2288</v>
      </c>
      <c r="Y139" s="242" t="s">
        <v>2211</v>
      </c>
      <c r="Z139" s="239" t="s">
        <v>2204</v>
      </c>
      <c r="AA139" s="242" t="s">
        <v>4366</v>
      </c>
      <c r="AB139" s="244" t="s">
        <v>188</v>
      </c>
      <c r="AC139" s="244" t="s">
        <v>97</v>
      </c>
      <c r="AD139" s="215" t="s">
        <v>2217</v>
      </c>
      <c r="AE139" s="244" t="s">
        <v>469</v>
      </c>
      <c r="AF139" s="245" t="s">
        <v>2218</v>
      </c>
      <c r="AG139" s="240" t="s">
        <v>133</v>
      </c>
      <c r="AH139" s="240" t="s">
        <v>41</v>
      </c>
      <c r="AI139" s="240" t="s">
        <v>2207</v>
      </c>
      <c r="AJ139" s="240" t="s">
        <v>4057</v>
      </c>
    </row>
    <row r="140" ht="15.0" hidden="1" customHeight="1">
      <c r="A140" s="239" t="s">
        <v>2172</v>
      </c>
      <c r="B140" s="239" t="s">
        <v>1052</v>
      </c>
      <c r="C140" s="239" t="s">
        <v>4689</v>
      </c>
      <c r="D140" s="239" t="s">
        <v>141</v>
      </c>
      <c r="E140" s="239" t="str">
        <f t="array" ref="E140">IFERROR(INDEX(REF_CODES!$B$8:$B$13,MATCH($D140,REF_CODES!$C$8:$C$13,0)),"")</f>
        <v>HB-NAT</v>
      </c>
      <c r="F140" s="239" t="s">
        <v>4699</v>
      </c>
      <c r="G140" s="262" t="s">
        <v>2919</v>
      </c>
      <c r="H140" s="250" t="s">
        <v>157</v>
      </c>
      <c r="I140" s="239" t="s">
        <v>3912</v>
      </c>
      <c r="J140" s="239" t="s">
        <v>2288</v>
      </c>
      <c r="K140" s="239" t="s">
        <v>2288</v>
      </c>
      <c r="L140" s="239" t="s">
        <v>2252</v>
      </c>
      <c r="M140" s="241">
        <v>180.0</v>
      </c>
      <c r="N140" s="241">
        <v>280.0</v>
      </c>
      <c r="O140" s="241">
        <v>400.0</v>
      </c>
      <c r="P140" s="241" t="s">
        <v>2204</v>
      </c>
      <c r="Q140" s="241" t="s">
        <v>2204</v>
      </c>
      <c r="R140" s="241" t="s">
        <v>2204</v>
      </c>
      <c r="S140" s="239" t="s">
        <v>2204</v>
      </c>
      <c r="T140" s="262" t="s">
        <v>3637</v>
      </c>
      <c r="U140" s="242" t="s">
        <v>2208</v>
      </c>
      <c r="V140" s="239" t="s">
        <v>2288</v>
      </c>
      <c r="W140" s="239" t="s">
        <v>4660</v>
      </c>
      <c r="X140" s="239" t="s">
        <v>2288</v>
      </c>
      <c r="Y140" s="242" t="s">
        <v>2211</v>
      </c>
      <c r="Z140" s="239" t="s">
        <v>2204</v>
      </c>
      <c r="AA140" s="242" t="s">
        <v>4711</v>
      </c>
      <c r="AB140" s="244" t="s">
        <v>188</v>
      </c>
      <c r="AC140" s="244" t="s">
        <v>97</v>
      </c>
      <c r="AD140" s="215" t="s">
        <v>2217</v>
      </c>
      <c r="AE140" s="244" t="s">
        <v>469</v>
      </c>
      <c r="AF140" s="245" t="s">
        <v>2218</v>
      </c>
      <c r="AG140" s="240" t="s">
        <v>133</v>
      </c>
      <c r="AH140" s="240" t="s">
        <v>41</v>
      </c>
      <c r="AI140" s="240" t="s">
        <v>2207</v>
      </c>
      <c r="AJ140" s="240" t="s">
        <v>4057</v>
      </c>
    </row>
    <row r="141" ht="15.0" hidden="1" customHeight="1">
      <c r="A141" s="239" t="s">
        <v>2172</v>
      </c>
      <c r="B141" s="239" t="s">
        <v>1052</v>
      </c>
      <c r="C141" s="239" t="s">
        <v>4716</v>
      </c>
      <c r="D141" s="239" t="s">
        <v>139</v>
      </c>
      <c r="E141" s="239" t="str">
        <f t="array" ref="E141">IFERROR(INDEX(REF_CODES!$B$8:$B$13,MATCH($D141,REF_CODES!$C$8:$C$13,0)),"")</f>
        <v>HB-COL</v>
      </c>
      <c r="F141" s="239" t="s">
        <v>4723</v>
      </c>
      <c r="G141" s="239" t="s">
        <v>4725</v>
      </c>
      <c r="H141" s="240" t="s">
        <v>160</v>
      </c>
      <c r="I141" s="239" t="s">
        <v>4726</v>
      </c>
      <c r="J141" s="239" t="s">
        <v>2280</v>
      </c>
      <c r="K141" s="242" t="s">
        <v>4727</v>
      </c>
      <c r="L141" s="239" t="s">
        <v>2252</v>
      </c>
      <c r="M141" s="241">
        <v>280.0</v>
      </c>
      <c r="N141" s="241">
        <v>420.0</v>
      </c>
      <c r="O141" s="241">
        <v>580.0</v>
      </c>
      <c r="P141" s="241" t="s">
        <v>2204</v>
      </c>
      <c r="Q141" s="241">
        <v>2.0</v>
      </c>
      <c r="R141" s="241">
        <v>300.0</v>
      </c>
      <c r="S141" s="239" t="s">
        <v>2204</v>
      </c>
      <c r="T141" s="239" t="s">
        <v>4729</v>
      </c>
      <c r="U141" s="239" t="s">
        <v>4729</v>
      </c>
      <c r="V141" s="239" t="s">
        <v>4730</v>
      </c>
      <c r="W141" s="242" t="s">
        <v>2340</v>
      </c>
      <c r="X141" s="239" t="s">
        <v>4731</v>
      </c>
      <c r="Y141" s="239" t="s">
        <v>4732</v>
      </c>
      <c r="Z141" s="239" t="s">
        <v>4734</v>
      </c>
      <c r="AA141" s="239" t="s">
        <v>4735</v>
      </c>
      <c r="AB141" s="244" t="s">
        <v>195</v>
      </c>
      <c r="AC141" s="244" t="s">
        <v>90</v>
      </c>
      <c r="AD141" s="215" t="s">
        <v>2217</v>
      </c>
      <c r="AE141" s="244" t="s">
        <v>469</v>
      </c>
      <c r="AF141" s="245" t="s">
        <v>2218</v>
      </c>
      <c r="AG141" s="240" t="s">
        <v>142</v>
      </c>
      <c r="AH141" s="240" t="s">
        <v>4736</v>
      </c>
      <c r="AI141" s="240" t="s">
        <v>2207</v>
      </c>
      <c r="AJ141" s="240" t="s">
        <v>4737</v>
      </c>
    </row>
    <row r="142" ht="15.0" hidden="1" customHeight="1">
      <c r="A142" s="239" t="s">
        <v>2172</v>
      </c>
      <c r="B142" s="239" t="s">
        <v>1052</v>
      </c>
      <c r="C142" s="239" t="s">
        <v>4738</v>
      </c>
      <c r="D142" s="239" t="s">
        <v>139</v>
      </c>
      <c r="E142" s="239" t="str">
        <f t="array" ref="E142">IFERROR(INDEX(REF_CODES!$B$8:$B$13,MATCH($D142,REF_CODES!$C$8:$C$13,0)),"")</f>
        <v>HB-COL</v>
      </c>
      <c r="F142" s="239" t="s">
        <v>4753</v>
      </c>
      <c r="G142" s="239" t="s">
        <v>4725</v>
      </c>
      <c r="H142" s="240" t="s">
        <v>165</v>
      </c>
      <c r="I142" s="239" t="s">
        <v>4755</v>
      </c>
      <c r="J142" s="239" t="s">
        <v>2511</v>
      </c>
      <c r="K142" s="242" t="s">
        <v>4727</v>
      </c>
      <c r="L142" s="239" t="s">
        <v>2252</v>
      </c>
      <c r="M142" s="241">
        <v>394.0</v>
      </c>
      <c r="N142" s="241">
        <v>550.0</v>
      </c>
      <c r="O142" s="241">
        <v>750.0</v>
      </c>
      <c r="P142" s="241" t="s">
        <v>2204</v>
      </c>
      <c r="Q142" s="241">
        <v>5.0</v>
      </c>
      <c r="R142" s="241">
        <v>670.0</v>
      </c>
      <c r="S142" s="239" t="s">
        <v>2204</v>
      </c>
      <c r="T142" s="239" t="s">
        <v>4764</v>
      </c>
      <c r="U142" s="239" t="s">
        <v>4766</v>
      </c>
      <c r="V142" s="239" t="s">
        <v>4767</v>
      </c>
      <c r="W142" s="242" t="s">
        <v>2340</v>
      </c>
      <c r="X142" s="239" t="s">
        <v>4768</v>
      </c>
      <c r="Y142" s="239" t="s">
        <v>4769</v>
      </c>
      <c r="Z142" s="239" t="s">
        <v>4771</v>
      </c>
      <c r="AA142" s="239" t="s">
        <v>4735</v>
      </c>
      <c r="AB142" s="244" t="s">
        <v>195</v>
      </c>
      <c r="AC142" s="244" t="s">
        <v>90</v>
      </c>
      <c r="AD142" s="215" t="s">
        <v>2217</v>
      </c>
      <c r="AE142" s="244" t="s">
        <v>4772</v>
      </c>
      <c r="AF142" s="250" t="s">
        <v>4772</v>
      </c>
      <c r="AG142" s="240" t="s">
        <v>142</v>
      </c>
      <c r="AH142" s="240" t="s">
        <v>4736</v>
      </c>
      <c r="AI142" s="240" t="s">
        <v>2207</v>
      </c>
      <c r="AJ142" s="240" t="s">
        <v>4737</v>
      </c>
    </row>
    <row r="143" ht="15.0" hidden="1" customHeight="1">
      <c r="A143" s="239" t="s">
        <v>2172</v>
      </c>
      <c r="B143" s="239" t="s">
        <v>1052</v>
      </c>
      <c r="C143" s="239" t="s">
        <v>4777</v>
      </c>
      <c r="D143" s="239" t="s">
        <v>139</v>
      </c>
      <c r="E143" s="239" t="str">
        <f t="array" ref="E143">IFERROR(INDEX(REF_CODES!$B$8:$B$13,MATCH($D143,REF_CODES!$C$8:$C$13,0)),"")</f>
        <v>HB-COL</v>
      </c>
      <c r="F143" s="239" t="s">
        <v>4786</v>
      </c>
      <c r="G143" s="239" t="s">
        <v>4725</v>
      </c>
      <c r="H143" s="240" t="s">
        <v>157</v>
      </c>
      <c r="I143" s="239" t="s">
        <v>4788</v>
      </c>
      <c r="J143" s="239" t="s">
        <v>2306</v>
      </c>
      <c r="K143" s="242" t="s">
        <v>4727</v>
      </c>
      <c r="L143" s="239" t="s">
        <v>2252</v>
      </c>
      <c r="M143" s="241">
        <v>200.0</v>
      </c>
      <c r="N143" s="241">
        <v>300.0</v>
      </c>
      <c r="O143" s="241">
        <v>450.0</v>
      </c>
      <c r="P143" s="241" t="s">
        <v>2204</v>
      </c>
      <c r="Q143" s="241">
        <v>12.0</v>
      </c>
      <c r="R143" s="241">
        <v>189.0</v>
      </c>
      <c r="S143" s="239" t="s">
        <v>2204</v>
      </c>
      <c r="T143" s="239" t="s">
        <v>4790</v>
      </c>
      <c r="U143" s="242" t="s">
        <v>2208</v>
      </c>
      <c r="V143" s="242" t="s">
        <v>4791</v>
      </c>
      <c r="W143" s="242" t="s">
        <v>2340</v>
      </c>
      <c r="X143" s="242" t="s">
        <v>2334</v>
      </c>
      <c r="Y143" s="239" t="s">
        <v>2204</v>
      </c>
      <c r="Z143" s="239" t="s">
        <v>2204</v>
      </c>
      <c r="AA143" s="239" t="s">
        <v>4735</v>
      </c>
      <c r="AB143" s="244" t="s">
        <v>188</v>
      </c>
      <c r="AC143" s="244" t="s">
        <v>90</v>
      </c>
      <c r="AD143" s="215" t="s">
        <v>2217</v>
      </c>
      <c r="AE143" s="244" t="s">
        <v>469</v>
      </c>
      <c r="AF143" s="245" t="s">
        <v>2218</v>
      </c>
      <c r="AG143" s="240" t="s">
        <v>142</v>
      </c>
      <c r="AH143" s="240" t="s">
        <v>4736</v>
      </c>
      <c r="AI143" s="240" t="s">
        <v>2207</v>
      </c>
      <c r="AJ143" s="240" t="s">
        <v>4737</v>
      </c>
    </row>
    <row r="144" ht="15.0" hidden="1" customHeight="1">
      <c r="A144" s="239" t="s">
        <v>2172</v>
      </c>
      <c r="B144" s="239" t="s">
        <v>1052</v>
      </c>
      <c r="C144" s="239" t="s">
        <v>4802</v>
      </c>
      <c r="D144" s="239" t="s">
        <v>139</v>
      </c>
      <c r="E144" s="239" t="str">
        <f t="array" ref="E144">IFERROR(INDEX(REF_CODES!$B$8:$B$13,MATCH($D144,REF_CODES!$C$8:$C$13,0)),"")</f>
        <v>HB-COL</v>
      </c>
      <c r="F144" s="239" t="s">
        <v>4805</v>
      </c>
      <c r="G144" s="239" t="s">
        <v>4725</v>
      </c>
      <c r="H144" s="240" t="s">
        <v>160</v>
      </c>
      <c r="I144" s="239" t="s">
        <v>4807</v>
      </c>
      <c r="J144" s="239" t="s">
        <v>4617</v>
      </c>
      <c r="K144" s="242" t="s">
        <v>4727</v>
      </c>
      <c r="L144" s="239" t="s">
        <v>2252</v>
      </c>
      <c r="M144" s="241">
        <v>350.0</v>
      </c>
      <c r="N144" s="241">
        <v>500.0</v>
      </c>
      <c r="O144" s="241">
        <v>700.0</v>
      </c>
      <c r="P144" s="241" t="s">
        <v>2204</v>
      </c>
      <c r="Q144" s="241">
        <v>12.0</v>
      </c>
      <c r="R144" s="241">
        <v>300.0</v>
      </c>
      <c r="S144" s="239" t="s">
        <v>2204</v>
      </c>
      <c r="T144" s="239" t="s">
        <v>4814</v>
      </c>
      <c r="U144" s="242" t="s">
        <v>2208</v>
      </c>
      <c r="V144" s="242" t="s">
        <v>4791</v>
      </c>
      <c r="W144" s="242" t="s">
        <v>2340</v>
      </c>
      <c r="X144" s="242" t="s">
        <v>2334</v>
      </c>
      <c r="Y144" s="242" t="s">
        <v>4819</v>
      </c>
      <c r="Z144" s="239" t="s">
        <v>2204</v>
      </c>
      <c r="AA144" s="239" t="s">
        <v>4735</v>
      </c>
      <c r="AB144" s="244" t="s">
        <v>195</v>
      </c>
      <c r="AC144" s="244" t="s">
        <v>90</v>
      </c>
      <c r="AD144" s="215" t="s">
        <v>2217</v>
      </c>
      <c r="AE144" s="244" t="s">
        <v>469</v>
      </c>
      <c r="AF144" s="245" t="s">
        <v>2218</v>
      </c>
      <c r="AG144" s="240" t="s">
        <v>142</v>
      </c>
      <c r="AH144" s="240" t="s">
        <v>4736</v>
      </c>
      <c r="AI144" s="240" t="s">
        <v>2207</v>
      </c>
      <c r="AJ144" s="240" t="s">
        <v>4737</v>
      </c>
    </row>
    <row r="145" ht="15.0" hidden="1" customHeight="1">
      <c r="A145" s="239" t="s">
        <v>2172</v>
      </c>
      <c r="B145" s="239" t="s">
        <v>1052</v>
      </c>
      <c r="C145" s="239" t="s">
        <v>4823</v>
      </c>
      <c r="D145" s="239" t="s">
        <v>139</v>
      </c>
      <c r="E145" s="239" t="str">
        <f t="array" ref="E145">IFERROR(INDEX(REF_CODES!$B$8:$B$13,MATCH($D145,REF_CODES!$C$8:$C$13,0)),"")</f>
        <v>HB-COL</v>
      </c>
      <c r="F145" s="239" t="s">
        <v>4834</v>
      </c>
      <c r="G145" s="239" t="s">
        <v>4725</v>
      </c>
      <c r="H145" s="240" t="s">
        <v>160</v>
      </c>
      <c r="I145" s="242" t="s">
        <v>4836</v>
      </c>
      <c r="J145" s="239" t="s">
        <v>2306</v>
      </c>
      <c r="K145" s="242" t="s">
        <v>4727</v>
      </c>
      <c r="L145" s="239" t="s">
        <v>2252</v>
      </c>
      <c r="M145" s="241">
        <v>500.0</v>
      </c>
      <c r="N145" s="241">
        <v>700.0</v>
      </c>
      <c r="O145" s="241">
        <v>1000.0</v>
      </c>
      <c r="P145" s="241" t="s">
        <v>2204</v>
      </c>
      <c r="Q145" s="241">
        <v>3.0</v>
      </c>
      <c r="R145" s="241">
        <v>300.0</v>
      </c>
      <c r="S145" s="239" t="s">
        <v>2204</v>
      </c>
      <c r="T145" s="239" t="s">
        <v>3637</v>
      </c>
      <c r="U145" s="242" t="s">
        <v>2208</v>
      </c>
      <c r="V145" s="242" t="s">
        <v>4791</v>
      </c>
      <c r="W145" s="242" t="s">
        <v>2340</v>
      </c>
      <c r="X145" s="242" t="s">
        <v>2334</v>
      </c>
      <c r="Y145" s="242" t="s">
        <v>4819</v>
      </c>
      <c r="Z145" s="239" t="s">
        <v>2204</v>
      </c>
      <c r="AA145" s="239" t="s">
        <v>4735</v>
      </c>
      <c r="AB145" s="244" t="s">
        <v>195</v>
      </c>
      <c r="AC145" s="244" t="s">
        <v>90</v>
      </c>
      <c r="AD145" s="215" t="s">
        <v>2217</v>
      </c>
      <c r="AE145" s="244" t="s">
        <v>469</v>
      </c>
      <c r="AF145" s="245" t="s">
        <v>2218</v>
      </c>
      <c r="AG145" s="240" t="s">
        <v>142</v>
      </c>
      <c r="AH145" s="240" t="s">
        <v>4736</v>
      </c>
      <c r="AI145" s="240" t="s">
        <v>2207</v>
      </c>
      <c r="AJ145" s="240" t="s">
        <v>4737</v>
      </c>
    </row>
    <row r="146" ht="15.0" hidden="1" customHeight="1">
      <c r="A146" s="239" t="s">
        <v>2172</v>
      </c>
      <c r="B146" s="239" t="s">
        <v>1052</v>
      </c>
      <c r="C146" s="239" t="s">
        <v>4853</v>
      </c>
      <c r="D146" s="239" t="s">
        <v>139</v>
      </c>
      <c r="E146" s="239" t="str">
        <f t="array" ref="E146">IFERROR(INDEX(REF_CODES!$B$8:$B$13,MATCH($D146,REF_CODES!$C$8:$C$13,0)),"")</f>
        <v>HB-COL</v>
      </c>
      <c r="F146" s="239" t="s">
        <v>4864</v>
      </c>
      <c r="G146" s="239" t="s">
        <v>4725</v>
      </c>
      <c r="H146" s="240" t="s">
        <v>160</v>
      </c>
      <c r="I146" s="239" t="s">
        <v>4866</v>
      </c>
      <c r="J146" s="239" t="s">
        <v>2519</v>
      </c>
      <c r="K146" s="242" t="s">
        <v>4727</v>
      </c>
      <c r="L146" s="239" t="s">
        <v>2252</v>
      </c>
      <c r="M146" s="241">
        <v>250.0</v>
      </c>
      <c r="N146" s="241">
        <v>380.0</v>
      </c>
      <c r="O146" s="241">
        <v>550.0</v>
      </c>
      <c r="P146" s="241" t="s">
        <v>2204</v>
      </c>
      <c r="Q146" s="241">
        <v>2.0</v>
      </c>
      <c r="R146" s="241">
        <v>300.0</v>
      </c>
      <c r="S146" s="239" t="s">
        <v>2204</v>
      </c>
      <c r="T146" s="239" t="s">
        <v>4870</v>
      </c>
      <c r="U146" s="242" t="s">
        <v>2208</v>
      </c>
      <c r="V146" s="242" t="s">
        <v>4791</v>
      </c>
      <c r="W146" s="242" t="s">
        <v>2340</v>
      </c>
      <c r="X146" s="242" t="s">
        <v>2334</v>
      </c>
      <c r="Y146" s="242" t="s">
        <v>4819</v>
      </c>
      <c r="Z146" s="239" t="s">
        <v>2204</v>
      </c>
      <c r="AA146" s="239" t="s">
        <v>4735</v>
      </c>
      <c r="AB146" s="244" t="s">
        <v>195</v>
      </c>
      <c r="AC146" s="244" t="s">
        <v>90</v>
      </c>
      <c r="AD146" s="215" t="s">
        <v>2217</v>
      </c>
      <c r="AE146" s="244" t="s">
        <v>469</v>
      </c>
      <c r="AF146" s="245" t="s">
        <v>2218</v>
      </c>
      <c r="AG146" s="240" t="s">
        <v>142</v>
      </c>
      <c r="AH146" s="240" t="s">
        <v>4736</v>
      </c>
      <c r="AI146" s="240" t="s">
        <v>2207</v>
      </c>
      <c r="AJ146" s="240" t="s">
        <v>4737</v>
      </c>
    </row>
    <row r="147" ht="15.0" hidden="1" customHeight="1">
      <c r="A147" s="239" t="s">
        <v>2172</v>
      </c>
      <c r="B147" s="239" t="s">
        <v>1052</v>
      </c>
      <c r="C147" s="239" t="s">
        <v>4878</v>
      </c>
      <c r="D147" s="239" t="s">
        <v>139</v>
      </c>
      <c r="E147" s="239" t="str">
        <f t="array" ref="E147">IFERROR(INDEX(REF_CODES!$B$8:$B$13,MATCH($D147,REF_CODES!$C$8:$C$13,0)),"")</f>
        <v>HB-COL</v>
      </c>
      <c r="F147" s="239" t="s">
        <v>4883</v>
      </c>
      <c r="G147" s="239" t="s">
        <v>4725</v>
      </c>
      <c r="H147" s="240" t="s">
        <v>173</v>
      </c>
      <c r="I147" s="239" t="s">
        <v>4885</v>
      </c>
      <c r="J147" s="239" t="s">
        <v>2511</v>
      </c>
      <c r="K147" s="242" t="s">
        <v>4727</v>
      </c>
      <c r="L147" s="239" t="s">
        <v>2252</v>
      </c>
      <c r="M147" s="241">
        <v>328.0</v>
      </c>
      <c r="N147" s="241">
        <v>469.0</v>
      </c>
      <c r="O147" s="241">
        <v>650.0</v>
      </c>
      <c r="P147" s="241" t="s">
        <v>2204</v>
      </c>
      <c r="Q147" s="241">
        <v>1.0</v>
      </c>
      <c r="R147" s="241">
        <v>1200.0</v>
      </c>
      <c r="S147" s="239" t="s">
        <v>2204</v>
      </c>
      <c r="T147" s="239" t="s">
        <v>4886</v>
      </c>
      <c r="U147" s="242" t="s">
        <v>2208</v>
      </c>
      <c r="V147" s="242" t="s">
        <v>4791</v>
      </c>
      <c r="W147" s="242" t="s">
        <v>2340</v>
      </c>
      <c r="X147" s="242" t="s">
        <v>2334</v>
      </c>
      <c r="Y147" s="242" t="s">
        <v>4819</v>
      </c>
      <c r="Z147" s="239" t="s">
        <v>2204</v>
      </c>
      <c r="AA147" s="239" t="s">
        <v>4735</v>
      </c>
      <c r="AB147" s="244" t="s">
        <v>195</v>
      </c>
      <c r="AC147" s="244" t="s">
        <v>90</v>
      </c>
      <c r="AD147" s="215" t="s">
        <v>2217</v>
      </c>
      <c r="AE147" s="244" t="s">
        <v>4890</v>
      </c>
      <c r="AF147" s="250" t="s">
        <v>4890</v>
      </c>
      <c r="AG147" s="240" t="s">
        <v>142</v>
      </c>
      <c r="AH147" s="240" t="s">
        <v>4736</v>
      </c>
      <c r="AI147" s="240" t="s">
        <v>2207</v>
      </c>
      <c r="AJ147" s="240" t="s">
        <v>4737</v>
      </c>
    </row>
    <row r="148" ht="15.0" hidden="1" customHeight="1">
      <c r="A148" s="239" t="s">
        <v>2172</v>
      </c>
      <c r="B148" s="239" t="s">
        <v>1052</v>
      </c>
      <c r="C148" s="239" t="s">
        <v>4893</v>
      </c>
      <c r="D148" s="239" t="s">
        <v>139</v>
      </c>
      <c r="E148" s="239" t="str">
        <f t="array" ref="E148">IFERROR(INDEX(REF_CODES!$B$8:$B$13,MATCH($D148,REF_CODES!$C$8:$C$13,0)),"")</f>
        <v>HB-COL</v>
      </c>
      <c r="F148" s="239" t="s">
        <v>4900</v>
      </c>
      <c r="G148" s="239" t="s">
        <v>4725</v>
      </c>
      <c r="H148" s="240" t="s">
        <v>160</v>
      </c>
      <c r="I148" s="239" t="s">
        <v>4903</v>
      </c>
      <c r="J148" s="239" t="s">
        <v>3611</v>
      </c>
      <c r="K148" s="242" t="s">
        <v>4727</v>
      </c>
      <c r="L148" s="239" t="s">
        <v>2252</v>
      </c>
      <c r="M148" s="241">
        <v>450.0</v>
      </c>
      <c r="N148" s="241">
        <v>650.0</v>
      </c>
      <c r="O148" s="241">
        <v>900.0</v>
      </c>
      <c r="P148" s="241" t="s">
        <v>2204</v>
      </c>
      <c r="Q148" s="241">
        <v>4.0</v>
      </c>
      <c r="R148" s="241">
        <v>428.0</v>
      </c>
      <c r="S148" s="239" t="s">
        <v>2204</v>
      </c>
      <c r="T148" s="239" t="s">
        <v>4910</v>
      </c>
      <c r="U148" s="242" t="s">
        <v>2208</v>
      </c>
      <c r="V148" s="242" t="s">
        <v>4791</v>
      </c>
      <c r="W148" s="242" t="s">
        <v>2340</v>
      </c>
      <c r="X148" s="242" t="s">
        <v>2334</v>
      </c>
      <c r="Y148" s="242" t="s">
        <v>4819</v>
      </c>
      <c r="Z148" s="239" t="s">
        <v>2204</v>
      </c>
      <c r="AA148" s="239" t="s">
        <v>4735</v>
      </c>
      <c r="AB148" s="244" t="s">
        <v>195</v>
      </c>
      <c r="AC148" s="244" t="s">
        <v>90</v>
      </c>
      <c r="AD148" s="215" t="s">
        <v>2217</v>
      </c>
      <c r="AE148" s="244" t="s">
        <v>469</v>
      </c>
      <c r="AF148" s="245" t="s">
        <v>2218</v>
      </c>
      <c r="AG148" s="240" t="s">
        <v>142</v>
      </c>
      <c r="AH148" s="240" t="s">
        <v>4736</v>
      </c>
      <c r="AI148" s="240" t="s">
        <v>2207</v>
      </c>
      <c r="AJ148" s="240" t="s">
        <v>4737</v>
      </c>
    </row>
    <row r="149" ht="15.0" hidden="1" customHeight="1">
      <c r="A149" s="239" t="s">
        <v>2172</v>
      </c>
      <c r="B149" s="239" t="s">
        <v>1052</v>
      </c>
      <c r="C149" s="239" t="s">
        <v>4912</v>
      </c>
      <c r="D149" s="239" t="s">
        <v>139</v>
      </c>
      <c r="E149" s="239" t="str">
        <f t="array" ref="E149">IFERROR(INDEX(REF_CODES!$B$8:$B$13,MATCH($D149,REF_CODES!$C$8:$C$13,0)),"")</f>
        <v>HB-COL</v>
      </c>
      <c r="F149" s="239" t="s">
        <v>4923</v>
      </c>
      <c r="G149" s="239" t="s">
        <v>4725</v>
      </c>
      <c r="H149" s="240" t="s">
        <v>157</v>
      </c>
      <c r="I149" s="239" t="s">
        <v>4924</v>
      </c>
      <c r="J149" s="239" t="s">
        <v>2511</v>
      </c>
      <c r="K149" s="242" t="s">
        <v>4727</v>
      </c>
      <c r="L149" s="239" t="s">
        <v>2252</v>
      </c>
      <c r="M149" s="241">
        <v>400.0</v>
      </c>
      <c r="N149" s="241">
        <v>580.0</v>
      </c>
      <c r="O149" s="241">
        <v>800.0</v>
      </c>
      <c r="P149" s="241" t="s">
        <v>2204</v>
      </c>
      <c r="Q149" s="241">
        <v>10.0</v>
      </c>
      <c r="R149" s="241">
        <v>150.0</v>
      </c>
      <c r="S149" s="239" t="s">
        <v>2204</v>
      </c>
      <c r="T149" s="239" t="s">
        <v>4927</v>
      </c>
      <c r="U149" s="242" t="s">
        <v>2208</v>
      </c>
      <c r="V149" s="242" t="s">
        <v>4791</v>
      </c>
      <c r="W149" s="242" t="s">
        <v>2340</v>
      </c>
      <c r="X149" s="242" t="s">
        <v>2334</v>
      </c>
      <c r="Y149" s="242" t="s">
        <v>4819</v>
      </c>
      <c r="Z149" s="239" t="s">
        <v>2204</v>
      </c>
      <c r="AA149" s="239" t="s">
        <v>4735</v>
      </c>
      <c r="AB149" s="244" t="s">
        <v>188</v>
      </c>
      <c r="AC149" s="244" t="s">
        <v>90</v>
      </c>
      <c r="AD149" s="215" t="s">
        <v>2217</v>
      </c>
      <c r="AE149" s="244" t="s">
        <v>469</v>
      </c>
      <c r="AF149" s="245" t="s">
        <v>2218</v>
      </c>
      <c r="AG149" s="240" t="s">
        <v>142</v>
      </c>
      <c r="AH149" s="240" t="s">
        <v>4736</v>
      </c>
      <c r="AI149" s="240" t="s">
        <v>2207</v>
      </c>
      <c r="AJ149" s="240" t="s">
        <v>4737</v>
      </c>
    </row>
    <row r="150" ht="15.0" hidden="1" customHeight="1">
      <c r="A150" s="239" t="s">
        <v>2172</v>
      </c>
      <c r="B150" s="239" t="s">
        <v>1052</v>
      </c>
      <c r="C150" s="239" t="s">
        <v>4935</v>
      </c>
      <c r="D150" s="239" t="s">
        <v>139</v>
      </c>
      <c r="E150" s="239" t="str">
        <f t="array" ref="E150">IFERROR(INDEX(REF_CODES!$B$8:$B$13,MATCH($D150,REF_CODES!$C$8:$C$13,0)),"")</f>
        <v>HB-COL</v>
      </c>
      <c r="F150" s="239" t="s">
        <v>4939</v>
      </c>
      <c r="G150" s="239" t="s">
        <v>4725</v>
      </c>
      <c r="H150" s="240" t="s">
        <v>4940</v>
      </c>
      <c r="I150" s="242" t="s">
        <v>4836</v>
      </c>
      <c r="J150" s="239" t="s">
        <v>2288</v>
      </c>
      <c r="K150" s="242" t="s">
        <v>4727</v>
      </c>
      <c r="L150" s="239" t="s">
        <v>2252</v>
      </c>
      <c r="M150" s="241">
        <v>350.0</v>
      </c>
      <c r="N150" s="241">
        <v>500.0</v>
      </c>
      <c r="O150" s="241">
        <v>700.0</v>
      </c>
      <c r="P150" s="241" t="s">
        <v>2204</v>
      </c>
      <c r="Q150" s="241">
        <v>7.0</v>
      </c>
      <c r="R150" s="241">
        <v>2286.0</v>
      </c>
      <c r="S150" s="239" t="s">
        <v>2204</v>
      </c>
      <c r="T150" s="239" t="s">
        <v>3637</v>
      </c>
      <c r="U150" s="242" t="s">
        <v>2208</v>
      </c>
      <c r="V150" s="242" t="s">
        <v>4791</v>
      </c>
      <c r="W150" s="242" t="s">
        <v>2340</v>
      </c>
      <c r="X150" s="242" t="s">
        <v>2334</v>
      </c>
      <c r="Y150" s="242" t="s">
        <v>4819</v>
      </c>
      <c r="Z150" s="239" t="s">
        <v>2204</v>
      </c>
      <c r="AA150" s="239" t="s">
        <v>4735</v>
      </c>
      <c r="AB150" s="244" t="s">
        <v>202</v>
      </c>
      <c r="AC150" s="244" t="s">
        <v>90</v>
      </c>
      <c r="AD150" s="215" t="s">
        <v>2217</v>
      </c>
      <c r="AE150" s="244" t="s">
        <v>469</v>
      </c>
      <c r="AF150" s="245" t="s">
        <v>2218</v>
      </c>
      <c r="AG150" s="240" t="s">
        <v>142</v>
      </c>
      <c r="AH150" s="240" t="s">
        <v>4736</v>
      </c>
      <c r="AI150" s="240" t="s">
        <v>2207</v>
      </c>
      <c r="AJ150" s="240" t="s">
        <v>4737</v>
      </c>
    </row>
    <row r="151" ht="15.0" hidden="1" customHeight="1">
      <c r="A151" s="239" t="s">
        <v>2172</v>
      </c>
      <c r="B151" s="239" t="s">
        <v>1052</v>
      </c>
      <c r="C151" s="239" t="s">
        <v>4952</v>
      </c>
      <c r="D151" s="239" t="s">
        <v>139</v>
      </c>
      <c r="E151" s="239" t="str">
        <f t="array" ref="E151">IFERROR(INDEX(REF_CODES!$B$8:$B$13,MATCH($D151,REF_CODES!$C$8:$C$13,0)),"")</f>
        <v>HB-COL</v>
      </c>
      <c r="F151" s="239" t="s">
        <v>4961</v>
      </c>
      <c r="G151" s="239" t="s">
        <v>4725</v>
      </c>
      <c r="H151" s="240" t="s">
        <v>157</v>
      </c>
      <c r="I151" s="242" t="s">
        <v>4836</v>
      </c>
      <c r="J151" s="239" t="s">
        <v>2191</v>
      </c>
      <c r="K151" s="242" t="s">
        <v>4727</v>
      </c>
      <c r="L151" s="239" t="s">
        <v>2252</v>
      </c>
      <c r="M151" s="241">
        <v>380.0</v>
      </c>
      <c r="N151" s="241">
        <v>550.0</v>
      </c>
      <c r="O151" s="241">
        <v>750.0</v>
      </c>
      <c r="P151" s="241" t="s">
        <v>2204</v>
      </c>
      <c r="Q151" s="241">
        <v>9.0</v>
      </c>
      <c r="R151" s="241">
        <v>72.0</v>
      </c>
      <c r="S151" s="239" t="s">
        <v>2204</v>
      </c>
      <c r="T151" s="239" t="s">
        <v>3637</v>
      </c>
      <c r="U151" s="242" t="s">
        <v>2208</v>
      </c>
      <c r="V151" s="242" t="s">
        <v>4791</v>
      </c>
      <c r="W151" s="242" t="s">
        <v>2340</v>
      </c>
      <c r="X151" s="242" t="s">
        <v>2334</v>
      </c>
      <c r="Y151" s="242" t="s">
        <v>4819</v>
      </c>
      <c r="Z151" s="239" t="s">
        <v>2204</v>
      </c>
      <c r="AA151" s="239" t="s">
        <v>4735</v>
      </c>
      <c r="AB151" s="244" t="s">
        <v>188</v>
      </c>
      <c r="AC151" s="244" t="s">
        <v>90</v>
      </c>
      <c r="AD151" s="215" t="s">
        <v>2217</v>
      </c>
      <c r="AE151" s="244" t="s">
        <v>469</v>
      </c>
      <c r="AF151" s="245" t="s">
        <v>2218</v>
      </c>
      <c r="AG151" s="240" t="s">
        <v>142</v>
      </c>
      <c r="AH151" s="240" t="s">
        <v>4736</v>
      </c>
      <c r="AI151" s="240" t="s">
        <v>2207</v>
      </c>
      <c r="AJ151" s="240" t="s">
        <v>4737</v>
      </c>
    </row>
    <row r="152" ht="15.0" hidden="1" customHeight="1">
      <c r="A152" s="239" t="s">
        <v>2172</v>
      </c>
      <c r="B152" s="239" t="s">
        <v>1052</v>
      </c>
      <c r="C152" s="239" t="s">
        <v>4972</v>
      </c>
      <c r="D152" s="239" t="s">
        <v>139</v>
      </c>
      <c r="E152" s="239" t="str">
        <f t="array" ref="E152">IFERROR(INDEX(REF_CODES!$B$8:$B$13,MATCH($D152,REF_CODES!$C$8:$C$13,0)),"")</f>
        <v>HB-COL</v>
      </c>
      <c r="F152" s="239" t="s">
        <v>4976</v>
      </c>
      <c r="G152" s="239" t="s">
        <v>4725</v>
      </c>
      <c r="H152" s="240" t="s">
        <v>157</v>
      </c>
      <c r="I152" s="239" t="s">
        <v>4977</v>
      </c>
      <c r="J152" s="239" t="s">
        <v>4978</v>
      </c>
      <c r="K152" s="242" t="s">
        <v>4727</v>
      </c>
      <c r="L152" s="239" t="s">
        <v>2252</v>
      </c>
      <c r="M152" s="241">
        <v>420.0</v>
      </c>
      <c r="N152" s="241">
        <v>600.0</v>
      </c>
      <c r="O152" s="241">
        <v>850.0</v>
      </c>
      <c r="P152" s="241" t="s">
        <v>2204</v>
      </c>
      <c r="Q152" s="241">
        <v>7.0</v>
      </c>
      <c r="R152" s="241">
        <v>171.0</v>
      </c>
      <c r="S152" s="239" t="s">
        <v>2204</v>
      </c>
      <c r="T152" s="239" t="s">
        <v>4982</v>
      </c>
      <c r="U152" s="242" t="s">
        <v>2208</v>
      </c>
      <c r="V152" s="242" t="s">
        <v>4791</v>
      </c>
      <c r="W152" s="242" t="s">
        <v>2340</v>
      </c>
      <c r="X152" s="242" t="s">
        <v>2334</v>
      </c>
      <c r="Y152" s="242" t="s">
        <v>4819</v>
      </c>
      <c r="Z152" s="239" t="s">
        <v>2204</v>
      </c>
      <c r="AA152" s="239" t="s">
        <v>4735</v>
      </c>
      <c r="AB152" s="244" t="s">
        <v>188</v>
      </c>
      <c r="AC152" s="244" t="s">
        <v>90</v>
      </c>
      <c r="AD152" s="215" t="s">
        <v>2217</v>
      </c>
      <c r="AE152" s="244" t="s">
        <v>469</v>
      </c>
      <c r="AF152" s="245" t="s">
        <v>2218</v>
      </c>
      <c r="AG152" s="240" t="s">
        <v>142</v>
      </c>
      <c r="AH152" s="240" t="s">
        <v>4736</v>
      </c>
      <c r="AI152" s="240" t="s">
        <v>2207</v>
      </c>
      <c r="AJ152" s="240" t="s">
        <v>4737</v>
      </c>
    </row>
    <row r="153" ht="15.0" hidden="1" customHeight="1">
      <c r="A153" s="239" t="s">
        <v>2172</v>
      </c>
      <c r="B153" s="239" t="s">
        <v>1052</v>
      </c>
      <c r="C153" s="239" t="s">
        <v>4988</v>
      </c>
      <c r="D153" s="239" t="s">
        <v>139</v>
      </c>
      <c r="E153" s="239" t="str">
        <f t="array" ref="E153">IFERROR(INDEX(REF_CODES!$B$8:$B$13,MATCH($D153,REF_CODES!$C$8:$C$13,0)),"")</f>
        <v>HB-COL</v>
      </c>
      <c r="F153" s="239" t="s">
        <v>4994</v>
      </c>
      <c r="G153" s="239" t="s">
        <v>4725</v>
      </c>
      <c r="H153" s="240" t="s">
        <v>157</v>
      </c>
      <c r="I153" s="242" t="s">
        <v>4836</v>
      </c>
      <c r="J153" s="239" t="s">
        <v>2280</v>
      </c>
      <c r="K153" s="242" t="s">
        <v>4727</v>
      </c>
      <c r="L153" s="239" t="s">
        <v>2252</v>
      </c>
      <c r="M153" s="241">
        <v>500.0</v>
      </c>
      <c r="N153" s="241">
        <v>700.0</v>
      </c>
      <c r="O153" s="241">
        <v>1000.0</v>
      </c>
      <c r="P153" s="241" t="s">
        <v>2204</v>
      </c>
      <c r="Q153" s="241">
        <v>7.0</v>
      </c>
      <c r="R153" s="241">
        <v>129.0</v>
      </c>
      <c r="S153" s="239" t="s">
        <v>2204</v>
      </c>
      <c r="T153" s="239" t="s">
        <v>3637</v>
      </c>
      <c r="U153" s="242" t="s">
        <v>2208</v>
      </c>
      <c r="V153" s="242" t="s">
        <v>4791</v>
      </c>
      <c r="W153" s="242" t="s">
        <v>2340</v>
      </c>
      <c r="X153" s="242" t="s">
        <v>2334</v>
      </c>
      <c r="Y153" s="242" t="s">
        <v>4819</v>
      </c>
      <c r="Z153" s="239" t="s">
        <v>2204</v>
      </c>
      <c r="AA153" s="239" t="s">
        <v>4735</v>
      </c>
      <c r="AB153" s="244" t="s">
        <v>188</v>
      </c>
      <c r="AC153" s="244" t="s">
        <v>90</v>
      </c>
      <c r="AD153" s="215" t="s">
        <v>2217</v>
      </c>
      <c r="AE153" s="244" t="s">
        <v>469</v>
      </c>
      <c r="AF153" s="245" t="s">
        <v>2218</v>
      </c>
      <c r="AG153" s="240" t="s">
        <v>142</v>
      </c>
      <c r="AH153" s="240" t="s">
        <v>4736</v>
      </c>
      <c r="AI153" s="240" t="s">
        <v>2207</v>
      </c>
      <c r="AJ153" s="240" t="s">
        <v>4737</v>
      </c>
    </row>
    <row r="154" ht="15.0" hidden="1" customHeight="1">
      <c r="A154" s="239" t="s">
        <v>2172</v>
      </c>
      <c r="B154" s="239" t="s">
        <v>1052</v>
      </c>
      <c r="C154" s="239" t="s">
        <v>5003</v>
      </c>
      <c r="D154" s="239" t="s">
        <v>139</v>
      </c>
      <c r="E154" s="239" t="str">
        <f t="array" ref="E154">IFERROR(INDEX(REF_CODES!$B$8:$B$13,MATCH($D154,REF_CODES!$C$8:$C$13,0)),"")</f>
        <v>HB-COL</v>
      </c>
      <c r="F154" s="239" t="s">
        <v>5008</v>
      </c>
      <c r="G154" s="239" t="s">
        <v>4725</v>
      </c>
      <c r="H154" s="240" t="s">
        <v>157</v>
      </c>
      <c r="I154" s="242" t="s">
        <v>4836</v>
      </c>
      <c r="J154" s="239" t="s">
        <v>2627</v>
      </c>
      <c r="K154" s="242" t="s">
        <v>4727</v>
      </c>
      <c r="L154" s="239" t="s">
        <v>2252</v>
      </c>
      <c r="M154" s="241">
        <v>320.0</v>
      </c>
      <c r="N154" s="241">
        <v>450.0</v>
      </c>
      <c r="O154" s="241">
        <v>650.0</v>
      </c>
      <c r="P154" s="241" t="s">
        <v>2204</v>
      </c>
      <c r="Q154" s="241">
        <v>7.0</v>
      </c>
      <c r="R154" s="241">
        <v>114.0</v>
      </c>
      <c r="S154" s="239" t="s">
        <v>2204</v>
      </c>
      <c r="T154" s="284" t="s">
        <v>5019</v>
      </c>
      <c r="U154" s="242" t="s">
        <v>2208</v>
      </c>
      <c r="V154" s="242" t="s">
        <v>4791</v>
      </c>
      <c r="W154" s="242" t="s">
        <v>2340</v>
      </c>
      <c r="X154" s="242" t="s">
        <v>2334</v>
      </c>
      <c r="Y154" s="242" t="s">
        <v>4819</v>
      </c>
      <c r="Z154" s="239" t="s">
        <v>2204</v>
      </c>
      <c r="AA154" s="239" t="s">
        <v>4735</v>
      </c>
      <c r="AB154" s="244" t="s">
        <v>188</v>
      </c>
      <c r="AC154" s="244" t="s">
        <v>90</v>
      </c>
      <c r="AD154" s="215" t="s">
        <v>2217</v>
      </c>
      <c r="AE154" s="244" t="s">
        <v>469</v>
      </c>
      <c r="AF154" s="245" t="s">
        <v>2218</v>
      </c>
      <c r="AG154" s="240" t="s">
        <v>142</v>
      </c>
      <c r="AH154" s="240" t="s">
        <v>4736</v>
      </c>
      <c r="AI154" s="240" t="s">
        <v>2207</v>
      </c>
      <c r="AJ154" s="240" t="s">
        <v>4737</v>
      </c>
    </row>
    <row r="155" ht="15.0" hidden="1" customHeight="1">
      <c r="A155" s="239" t="s">
        <v>2172</v>
      </c>
      <c r="B155" s="239" t="s">
        <v>1052</v>
      </c>
      <c r="C155" s="239" t="s">
        <v>5023</v>
      </c>
      <c r="D155" s="239" t="s">
        <v>139</v>
      </c>
      <c r="E155" s="239" t="str">
        <f t="array" ref="E155">IFERROR(INDEX(REF_CODES!$B$8:$B$13,MATCH($D155,REF_CODES!$C$8:$C$13,0)),"")</f>
        <v>HB-COL</v>
      </c>
      <c r="F155" s="239" t="s">
        <v>5029</v>
      </c>
      <c r="G155" s="239" t="s">
        <v>4725</v>
      </c>
      <c r="H155" s="240" t="s">
        <v>160</v>
      </c>
      <c r="I155" s="242" t="s">
        <v>4836</v>
      </c>
      <c r="J155" s="239" t="s">
        <v>5031</v>
      </c>
      <c r="K155" s="242" t="s">
        <v>4727</v>
      </c>
      <c r="L155" s="239" t="s">
        <v>2252</v>
      </c>
      <c r="M155" s="241">
        <v>350.0</v>
      </c>
      <c r="N155" s="241">
        <v>500.0</v>
      </c>
      <c r="O155" s="241">
        <v>700.0</v>
      </c>
      <c r="P155" s="241" t="s">
        <v>2204</v>
      </c>
      <c r="Q155" s="241">
        <v>4.0</v>
      </c>
      <c r="R155" s="241">
        <v>450.0</v>
      </c>
      <c r="S155" s="239" t="s">
        <v>2204</v>
      </c>
      <c r="T155" s="239" t="s">
        <v>3637</v>
      </c>
      <c r="U155" s="242" t="s">
        <v>2208</v>
      </c>
      <c r="V155" s="242" t="s">
        <v>4791</v>
      </c>
      <c r="W155" s="242" t="s">
        <v>2340</v>
      </c>
      <c r="X155" s="242" t="s">
        <v>2334</v>
      </c>
      <c r="Y155" s="242" t="s">
        <v>4819</v>
      </c>
      <c r="Z155" s="239" t="s">
        <v>2204</v>
      </c>
      <c r="AA155" s="239" t="s">
        <v>4735</v>
      </c>
      <c r="AB155" s="244" t="s">
        <v>195</v>
      </c>
      <c r="AC155" s="244" t="s">
        <v>90</v>
      </c>
      <c r="AD155" s="215" t="s">
        <v>2217</v>
      </c>
      <c r="AE155" s="244" t="s">
        <v>469</v>
      </c>
      <c r="AF155" s="245" t="s">
        <v>2218</v>
      </c>
      <c r="AG155" s="240" t="s">
        <v>142</v>
      </c>
      <c r="AH155" s="240" t="s">
        <v>4736</v>
      </c>
      <c r="AI155" s="240" t="s">
        <v>2207</v>
      </c>
      <c r="AJ155" s="240" t="s">
        <v>4737</v>
      </c>
    </row>
    <row r="156" ht="15.0" hidden="1" customHeight="1">
      <c r="A156" s="239" t="s">
        <v>2172</v>
      </c>
      <c r="B156" s="239" t="s">
        <v>1052</v>
      </c>
      <c r="C156" s="239" t="s">
        <v>5038</v>
      </c>
      <c r="D156" s="239" t="s">
        <v>139</v>
      </c>
      <c r="E156" s="239" t="str">
        <f t="array" ref="E156">IFERROR(INDEX(REF_CODES!$B$8:$B$13,MATCH($D156,REF_CODES!$C$8:$C$13,0)),"")</f>
        <v>HB-COL</v>
      </c>
      <c r="F156" s="239" t="s">
        <v>5044</v>
      </c>
      <c r="G156" s="239" t="s">
        <v>4725</v>
      </c>
      <c r="H156" s="240" t="s">
        <v>160</v>
      </c>
      <c r="I156" s="242" t="s">
        <v>4836</v>
      </c>
      <c r="J156" s="239" t="s">
        <v>5046</v>
      </c>
      <c r="K156" s="242" t="s">
        <v>4727</v>
      </c>
      <c r="L156" s="239" t="s">
        <v>2252</v>
      </c>
      <c r="M156" s="241">
        <v>600.0</v>
      </c>
      <c r="N156" s="241">
        <v>850.0</v>
      </c>
      <c r="O156" s="241">
        <v>1200.0</v>
      </c>
      <c r="P156" s="241" t="s">
        <v>2204</v>
      </c>
      <c r="Q156" s="241">
        <v>2.0</v>
      </c>
      <c r="R156" s="241">
        <v>450.0</v>
      </c>
      <c r="S156" s="239" t="s">
        <v>2204</v>
      </c>
      <c r="T156" s="239" t="s">
        <v>3637</v>
      </c>
      <c r="U156" s="242" t="s">
        <v>2208</v>
      </c>
      <c r="V156" s="242" t="s">
        <v>4791</v>
      </c>
      <c r="W156" s="242" t="s">
        <v>2340</v>
      </c>
      <c r="X156" s="242" t="s">
        <v>2334</v>
      </c>
      <c r="Y156" s="242" t="s">
        <v>4819</v>
      </c>
      <c r="Z156" s="239" t="s">
        <v>2204</v>
      </c>
      <c r="AA156" s="239" t="s">
        <v>4735</v>
      </c>
      <c r="AB156" s="244" t="s">
        <v>195</v>
      </c>
      <c r="AC156" s="244" t="s">
        <v>90</v>
      </c>
      <c r="AD156" s="215" t="s">
        <v>2217</v>
      </c>
      <c r="AE156" s="244" t="s">
        <v>469</v>
      </c>
      <c r="AF156" s="245" t="s">
        <v>2218</v>
      </c>
      <c r="AG156" s="240" t="s">
        <v>142</v>
      </c>
      <c r="AH156" s="240" t="s">
        <v>4736</v>
      </c>
      <c r="AI156" s="240" t="s">
        <v>2207</v>
      </c>
      <c r="AJ156" s="240" t="s">
        <v>4737</v>
      </c>
    </row>
    <row r="157" ht="15.0" hidden="1" customHeight="1">
      <c r="A157" s="239" t="s">
        <v>2172</v>
      </c>
      <c r="B157" s="239" t="s">
        <v>1052</v>
      </c>
      <c r="C157" s="239" t="s">
        <v>5052</v>
      </c>
      <c r="D157" s="239" t="s">
        <v>139</v>
      </c>
      <c r="E157" s="239" t="str">
        <f t="array" ref="E157">IFERROR(INDEX(REF_CODES!$B$8:$B$13,MATCH($D157,REF_CODES!$C$8:$C$13,0)),"")</f>
        <v>HB-COL</v>
      </c>
      <c r="F157" s="239" t="s">
        <v>5056</v>
      </c>
      <c r="G157" s="239" t="s">
        <v>4725</v>
      </c>
      <c r="H157" s="240" t="s">
        <v>157</v>
      </c>
      <c r="I157" s="239" t="s">
        <v>5057</v>
      </c>
      <c r="J157" s="239" t="s">
        <v>2443</v>
      </c>
      <c r="K157" s="242" t="s">
        <v>4727</v>
      </c>
      <c r="L157" s="239" t="s">
        <v>2252</v>
      </c>
      <c r="M157" s="241">
        <v>380.0</v>
      </c>
      <c r="N157" s="241">
        <v>550.0</v>
      </c>
      <c r="O157" s="241">
        <v>750.0</v>
      </c>
      <c r="P157" s="241" t="s">
        <v>2204</v>
      </c>
      <c r="Q157" s="241">
        <v>6.0</v>
      </c>
      <c r="R157" s="241">
        <v>250.0</v>
      </c>
      <c r="S157" s="239" t="s">
        <v>2204</v>
      </c>
      <c r="T157" s="239" t="s">
        <v>5061</v>
      </c>
      <c r="U157" s="242" t="s">
        <v>2208</v>
      </c>
      <c r="V157" s="242" t="s">
        <v>4791</v>
      </c>
      <c r="W157" s="242" t="s">
        <v>2340</v>
      </c>
      <c r="X157" s="242" t="s">
        <v>2334</v>
      </c>
      <c r="Y157" s="242" t="s">
        <v>4819</v>
      </c>
      <c r="Z157" s="239" t="s">
        <v>2204</v>
      </c>
      <c r="AA157" s="239" t="s">
        <v>4735</v>
      </c>
      <c r="AB157" s="244" t="s">
        <v>188</v>
      </c>
      <c r="AC157" s="244" t="s">
        <v>90</v>
      </c>
      <c r="AD157" s="215" t="s">
        <v>2217</v>
      </c>
      <c r="AE157" s="244" t="s">
        <v>469</v>
      </c>
      <c r="AF157" s="245" t="s">
        <v>2218</v>
      </c>
      <c r="AG157" s="240" t="s">
        <v>142</v>
      </c>
      <c r="AH157" s="240" t="s">
        <v>4736</v>
      </c>
      <c r="AI157" s="240" t="s">
        <v>2207</v>
      </c>
      <c r="AJ157" s="240" t="s">
        <v>4737</v>
      </c>
    </row>
    <row r="158" ht="15.0" hidden="1" customHeight="1">
      <c r="A158" s="239" t="s">
        <v>2172</v>
      </c>
      <c r="B158" s="239" t="s">
        <v>1052</v>
      </c>
      <c r="C158" s="239" t="s">
        <v>5065</v>
      </c>
      <c r="D158" s="239" t="s">
        <v>139</v>
      </c>
      <c r="E158" s="239" t="str">
        <f t="array" ref="E158">IFERROR(INDEX(REF_CODES!$B$8:$B$13,MATCH($D158,REF_CODES!$C$8:$C$13,0)),"")</f>
        <v>HB-COL</v>
      </c>
      <c r="F158" s="239" t="s">
        <v>5069</v>
      </c>
      <c r="G158" s="239" t="s">
        <v>4725</v>
      </c>
      <c r="H158" s="240" t="s">
        <v>157</v>
      </c>
      <c r="I158" s="242" t="s">
        <v>4836</v>
      </c>
      <c r="J158" s="239" t="s">
        <v>2288</v>
      </c>
      <c r="K158" s="242" t="s">
        <v>4727</v>
      </c>
      <c r="L158" s="239" t="s">
        <v>2252</v>
      </c>
      <c r="M158" s="241">
        <v>400.0</v>
      </c>
      <c r="N158" s="241">
        <v>580.0</v>
      </c>
      <c r="O158" s="241">
        <v>800.0</v>
      </c>
      <c r="P158" s="241" t="s">
        <v>2204</v>
      </c>
      <c r="Q158" s="241">
        <v>7.0</v>
      </c>
      <c r="R158" s="241">
        <v>49.0</v>
      </c>
      <c r="S158" s="239" t="s">
        <v>2204</v>
      </c>
      <c r="T158" s="239" t="s">
        <v>3637</v>
      </c>
      <c r="U158" s="242" t="s">
        <v>2208</v>
      </c>
      <c r="V158" s="242" t="s">
        <v>4791</v>
      </c>
      <c r="W158" s="242" t="s">
        <v>2340</v>
      </c>
      <c r="X158" s="242" t="s">
        <v>2334</v>
      </c>
      <c r="Y158" s="242" t="s">
        <v>4819</v>
      </c>
      <c r="Z158" s="239" t="s">
        <v>2204</v>
      </c>
      <c r="AA158" s="239" t="s">
        <v>4735</v>
      </c>
      <c r="AB158" s="244" t="s">
        <v>188</v>
      </c>
      <c r="AC158" s="244" t="s">
        <v>90</v>
      </c>
      <c r="AD158" s="215" t="s">
        <v>2217</v>
      </c>
      <c r="AE158" s="244" t="s">
        <v>469</v>
      </c>
      <c r="AF158" s="245" t="s">
        <v>2218</v>
      </c>
      <c r="AG158" s="240" t="s">
        <v>142</v>
      </c>
      <c r="AH158" s="240" t="s">
        <v>4736</v>
      </c>
      <c r="AI158" s="240" t="s">
        <v>2207</v>
      </c>
      <c r="AJ158" s="240" t="s">
        <v>4737</v>
      </c>
    </row>
    <row r="159" ht="15.0" hidden="1" customHeight="1">
      <c r="A159" s="239" t="s">
        <v>2172</v>
      </c>
      <c r="B159" s="239" t="s">
        <v>1052</v>
      </c>
      <c r="C159" s="239" t="s">
        <v>5075</v>
      </c>
      <c r="D159" s="239" t="s">
        <v>139</v>
      </c>
      <c r="E159" s="239" t="str">
        <f t="array" ref="E159">IFERROR(INDEX(REF_CODES!$B$8:$B$13,MATCH($D159,REF_CODES!$C$8:$C$13,0)),"")</f>
        <v>HB-COL</v>
      </c>
      <c r="F159" s="239" t="s">
        <v>5080</v>
      </c>
      <c r="G159" s="239" t="s">
        <v>4725</v>
      </c>
      <c r="H159" s="240" t="s">
        <v>160</v>
      </c>
      <c r="I159" s="242" t="s">
        <v>4836</v>
      </c>
      <c r="J159" s="239" t="s">
        <v>2519</v>
      </c>
      <c r="K159" s="242" t="s">
        <v>4727</v>
      </c>
      <c r="L159" s="239" t="s">
        <v>2252</v>
      </c>
      <c r="M159" s="241">
        <v>350.0</v>
      </c>
      <c r="N159" s="241">
        <v>500.0</v>
      </c>
      <c r="O159" s="241">
        <v>700.0</v>
      </c>
      <c r="P159" s="241" t="s">
        <v>2204</v>
      </c>
      <c r="Q159" s="241">
        <v>5.0</v>
      </c>
      <c r="R159" s="241">
        <v>400.0</v>
      </c>
      <c r="S159" s="239" t="s">
        <v>2204</v>
      </c>
      <c r="T159" s="239" t="s">
        <v>3637</v>
      </c>
      <c r="U159" s="242" t="s">
        <v>2208</v>
      </c>
      <c r="V159" s="242" t="s">
        <v>4791</v>
      </c>
      <c r="W159" s="242" t="s">
        <v>2340</v>
      </c>
      <c r="X159" s="242" t="s">
        <v>2334</v>
      </c>
      <c r="Y159" s="242" t="s">
        <v>4819</v>
      </c>
      <c r="Z159" s="239" t="s">
        <v>2204</v>
      </c>
      <c r="AA159" s="239" t="s">
        <v>4735</v>
      </c>
      <c r="AB159" s="244" t="s">
        <v>195</v>
      </c>
      <c r="AC159" s="244" t="s">
        <v>90</v>
      </c>
      <c r="AD159" s="215" t="s">
        <v>2217</v>
      </c>
      <c r="AE159" s="244" t="s">
        <v>469</v>
      </c>
      <c r="AF159" s="245" t="s">
        <v>2218</v>
      </c>
      <c r="AG159" s="240" t="s">
        <v>142</v>
      </c>
      <c r="AH159" s="240" t="s">
        <v>4736</v>
      </c>
      <c r="AI159" s="240" t="s">
        <v>2207</v>
      </c>
      <c r="AJ159" s="240" t="s">
        <v>4737</v>
      </c>
    </row>
    <row r="160" ht="15.0" hidden="1" customHeight="1">
      <c r="A160" s="239" t="s">
        <v>2172</v>
      </c>
      <c r="B160" s="239" t="s">
        <v>1052</v>
      </c>
      <c r="C160" s="239" t="s">
        <v>5086</v>
      </c>
      <c r="D160" s="239" t="s">
        <v>139</v>
      </c>
      <c r="E160" s="239" t="str">
        <f t="array" ref="E160">IFERROR(INDEX(REF_CODES!$B$8:$B$13,MATCH($D160,REF_CODES!$C$8:$C$13,0)),"")</f>
        <v>HB-COL</v>
      </c>
      <c r="F160" s="239" t="s">
        <v>5090</v>
      </c>
      <c r="G160" s="239" t="s">
        <v>4725</v>
      </c>
      <c r="H160" s="240" t="s">
        <v>157</v>
      </c>
      <c r="I160" s="242" t="s">
        <v>4836</v>
      </c>
      <c r="J160" s="239" t="s">
        <v>5092</v>
      </c>
      <c r="K160" s="242" t="s">
        <v>4727</v>
      </c>
      <c r="L160" s="239" t="s">
        <v>2252</v>
      </c>
      <c r="M160" s="241">
        <v>420.0</v>
      </c>
      <c r="N160" s="241">
        <v>600.0</v>
      </c>
      <c r="O160" s="241">
        <v>850.0</v>
      </c>
      <c r="P160" s="241" t="s">
        <v>2204</v>
      </c>
      <c r="Q160" s="241">
        <v>5.0</v>
      </c>
      <c r="R160" s="241">
        <v>120.0</v>
      </c>
      <c r="S160" s="239" t="s">
        <v>2204</v>
      </c>
      <c r="T160" s="239" t="s">
        <v>3637</v>
      </c>
      <c r="U160" s="242" t="s">
        <v>2208</v>
      </c>
      <c r="V160" s="242" t="s">
        <v>4791</v>
      </c>
      <c r="W160" s="242" t="s">
        <v>2340</v>
      </c>
      <c r="X160" s="242" t="s">
        <v>2334</v>
      </c>
      <c r="Y160" s="242" t="s">
        <v>4819</v>
      </c>
      <c r="Z160" s="239" t="s">
        <v>2204</v>
      </c>
      <c r="AA160" s="239" t="s">
        <v>4735</v>
      </c>
      <c r="AB160" s="244" t="s">
        <v>188</v>
      </c>
      <c r="AC160" s="244" t="s">
        <v>90</v>
      </c>
      <c r="AD160" s="215" t="s">
        <v>2217</v>
      </c>
      <c r="AE160" s="244" t="s">
        <v>469</v>
      </c>
      <c r="AF160" s="245" t="s">
        <v>2218</v>
      </c>
      <c r="AG160" s="240" t="s">
        <v>142</v>
      </c>
      <c r="AH160" s="240" t="s">
        <v>4736</v>
      </c>
      <c r="AI160" s="240" t="s">
        <v>2207</v>
      </c>
      <c r="AJ160" s="240" t="s">
        <v>4737</v>
      </c>
    </row>
    <row r="161" ht="15.0" hidden="1" customHeight="1">
      <c r="A161" s="239" t="s">
        <v>2172</v>
      </c>
      <c r="B161" s="239" t="s">
        <v>1052</v>
      </c>
      <c r="C161" s="239" t="s">
        <v>5099</v>
      </c>
      <c r="D161" s="239" t="s">
        <v>139</v>
      </c>
      <c r="E161" s="239" t="str">
        <f t="array" ref="E161">IFERROR(INDEX(REF_CODES!$B$8:$B$13,MATCH($D161,REF_CODES!$C$8:$C$13,0)),"")</f>
        <v>HB-COL</v>
      </c>
      <c r="F161" s="239" t="s">
        <v>5102</v>
      </c>
      <c r="G161" s="239" t="s">
        <v>4725</v>
      </c>
      <c r="H161" s="240" t="s">
        <v>170</v>
      </c>
      <c r="I161" s="242" t="s">
        <v>4836</v>
      </c>
      <c r="J161" s="239" t="s">
        <v>2519</v>
      </c>
      <c r="K161" s="242" t="s">
        <v>4727</v>
      </c>
      <c r="L161" s="239" t="s">
        <v>2252</v>
      </c>
      <c r="M161" s="241">
        <v>300.0</v>
      </c>
      <c r="N161" s="241">
        <v>450.0</v>
      </c>
      <c r="O161" s="241">
        <v>650.0</v>
      </c>
      <c r="P161" s="241" t="s">
        <v>2204</v>
      </c>
      <c r="Q161" s="241">
        <v>1.0</v>
      </c>
      <c r="R161" s="241">
        <v>1000.0</v>
      </c>
      <c r="S161" s="239" t="s">
        <v>2204</v>
      </c>
      <c r="T161" s="284" t="s">
        <v>5106</v>
      </c>
      <c r="U161" s="242" t="s">
        <v>2208</v>
      </c>
      <c r="V161" s="242" t="s">
        <v>4791</v>
      </c>
      <c r="W161" s="242" t="s">
        <v>2340</v>
      </c>
      <c r="X161" s="242" t="s">
        <v>2334</v>
      </c>
      <c r="Y161" s="242" t="s">
        <v>4819</v>
      </c>
      <c r="Z161" s="239" t="s">
        <v>2204</v>
      </c>
      <c r="AA161" s="239" t="s">
        <v>4735</v>
      </c>
      <c r="AB161" s="244" t="s">
        <v>195</v>
      </c>
      <c r="AC161" s="244" t="s">
        <v>90</v>
      </c>
      <c r="AD161" s="215" t="s">
        <v>2217</v>
      </c>
      <c r="AE161" s="244" t="s">
        <v>469</v>
      </c>
      <c r="AF161" s="245" t="s">
        <v>2218</v>
      </c>
      <c r="AG161" s="240" t="s">
        <v>142</v>
      </c>
      <c r="AH161" s="240" t="s">
        <v>4736</v>
      </c>
      <c r="AI161" s="240" t="s">
        <v>2207</v>
      </c>
      <c r="AJ161" s="240" t="s">
        <v>4737</v>
      </c>
    </row>
    <row r="162" ht="15.0" hidden="1" customHeight="1">
      <c r="A162" s="239" t="s">
        <v>2172</v>
      </c>
      <c r="B162" s="239" t="s">
        <v>1052</v>
      </c>
      <c r="C162" s="239" t="s">
        <v>5113</v>
      </c>
      <c r="D162" s="239" t="s">
        <v>139</v>
      </c>
      <c r="E162" s="239" t="str">
        <f t="array" ref="E162">IFERROR(INDEX(REF_CODES!$B$8:$B$13,MATCH($D162,REF_CODES!$C$8:$C$13,0)),"")</f>
        <v>HB-COL</v>
      </c>
      <c r="F162" s="239" t="s">
        <v>2628</v>
      </c>
      <c r="G162" s="239" t="s">
        <v>2198</v>
      </c>
      <c r="H162" s="240" t="s">
        <v>160</v>
      </c>
      <c r="I162" s="239" t="s">
        <v>5118</v>
      </c>
      <c r="J162" s="239" t="s">
        <v>2511</v>
      </c>
      <c r="K162" s="239">
        <v>44.0</v>
      </c>
      <c r="L162" s="239" t="s">
        <v>2252</v>
      </c>
      <c r="M162" s="241">
        <v>350.0</v>
      </c>
      <c r="N162" s="241">
        <v>500.0</v>
      </c>
      <c r="O162" s="241">
        <v>700.0</v>
      </c>
      <c r="P162" s="241">
        <v>900.0</v>
      </c>
      <c r="Q162" s="286" t="s">
        <v>4727</v>
      </c>
      <c r="R162" s="241" t="s">
        <v>2204</v>
      </c>
      <c r="S162" s="239" t="s">
        <v>2204</v>
      </c>
      <c r="T162" s="239" t="s">
        <v>2412</v>
      </c>
      <c r="U162" s="242" t="s">
        <v>2208</v>
      </c>
      <c r="V162" s="239" t="s">
        <v>5122</v>
      </c>
      <c r="W162" s="239" t="s">
        <v>5123</v>
      </c>
      <c r="X162" s="239" t="s">
        <v>5124</v>
      </c>
      <c r="Y162" s="239" t="s">
        <v>5125</v>
      </c>
      <c r="Z162" s="239" t="s">
        <v>2204</v>
      </c>
      <c r="AA162" s="239" t="s">
        <v>2612</v>
      </c>
      <c r="AB162" s="244" t="s">
        <v>195</v>
      </c>
      <c r="AC162" s="244" t="s">
        <v>90</v>
      </c>
      <c r="AD162" s="215" t="s">
        <v>2217</v>
      </c>
      <c r="AE162" s="244" t="s">
        <v>2375</v>
      </c>
      <c r="AF162" s="250" t="s">
        <v>2375</v>
      </c>
      <c r="AG162" s="240" t="s">
        <v>142</v>
      </c>
      <c r="AH162" s="240" t="s">
        <v>4736</v>
      </c>
      <c r="AI162" s="240" t="s">
        <v>2207</v>
      </c>
      <c r="AJ162" s="240" t="s">
        <v>4737</v>
      </c>
    </row>
    <row r="163" ht="15.0" hidden="1" customHeight="1">
      <c r="A163" s="239" t="s">
        <v>2172</v>
      </c>
      <c r="B163" s="239" t="s">
        <v>1052</v>
      </c>
      <c r="C163" s="239" t="s">
        <v>5129</v>
      </c>
      <c r="D163" s="239" t="s">
        <v>139</v>
      </c>
      <c r="E163" s="239" t="str">
        <f t="array" ref="E163">IFERROR(INDEX(REF_CODES!$B$8:$B$13,MATCH($D163,REF_CODES!$C$8:$C$13,0)),"")</f>
        <v>HB-COL</v>
      </c>
      <c r="F163" s="239" t="s">
        <v>5133</v>
      </c>
      <c r="G163" s="239" t="s">
        <v>2198</v>
      </c>
      <c r="H163" s="240" t="s">
        <v>160</v>
      </c>
      <c r="I163" s="239" t="s">
        <v>5134</v>
      </c>
      <c r="J163" s="239" t="s">
        <v>2511</v>
      </c>
      <c r="K163" s="239">
        <v>32.0</v>
      </c>
      <c r="L163" s="239" t="s">
        <v>2252</v>
      </c>
      <c r="M163" s="241">
        <v>380.0</v>
      </c>
      <c r="N163" s="241">
        <v>550.0</v>
      </c>
      <c r="O163" s="241">
        <v>780.0</v>
      </c>
      <c r="P163" s="241">
        <v>500.0</v>
      </c>
      <c r="Q163" s="286" t="s">
        <v>4727</v>
      </c>
      <c r="R163" s="241" t="s">
        <v>2204</v>
      </c>
      <c r="S163" s="239" t="s">
        <v>2204</v>
      </c>
      <c r="T163" s="239" t="s">
        <v>5137</v>
      </c>
      <c r="U163" s="242" t="s">
        <v>2208</v>
      </c>
      <c r="V163" s="239" t="s">
        <v>5139</v>
      </c>
      <c r="W163" s="242" t="s">
        <v>2211</v>
      </c>
      <c r="X163" s="239" t="s">
        <v>2288</v>
      </c>
      <c r="Y163" s="242" t="s">
        <v>2211</v>
      </c>
      <c r="Z163" s="239" t="s">
        <v>2204</v>
      </c>
      <c r="AA163" s="239" t="s">
        <v>5140</v>
      </c>
      <c r="AB163" s="244" t="s">
        <v>195</v>
      </c>
      <c r="AC163" s="244" t="s">
        <v>90</v>
      </c>
      <c r="AD163" s="215" t="s">
        <v>2217</v>
      </c>
      <c r="AE163" s="244" t="s">
        <v>469</v>
      </c>
      <c r="AF163" s="245" t="s">
        <v>2218</v>
      </c>
      <c r="AG163" s="240" t="s">
        <v>142</v>
      </c>
      <c r="AH163" s="240" t="s">
        <v>4736</v>
      </c>
      <c r="AI163" s="240" t="s">
        <v>2207</v>
      </c>
      <c r="AJ163" s="240" t="s">
        <v>4737</v>
      </c>
    </row>
    <row r="164" ht="15.0" hidden="1" customHeight="1">
      <c r="A164" s="239" t="s">
        <v>2172</v>
      </c>
      <c r="B164" s="239" t="s">
        <v>1052</v>
      </c>
      <c r="C164" s="239" t="s">
        <v>5141</v>
      </c>
      <c r="D164" s="239" t="s">
        <v>139</v>
      </c>
      <c r="E164" s="239" t="str">
        <f t="array" ref="E164">IFERROR(INDEX(REF_CODES!$B$8:$B$13,MATCH($D164,REF_CODES!$C$8:$C$13,0)),"")</f>
        <v>HB-COL</v>
      </c>
      <c r="F164" s="239" t="s">
        <v>5146</v>
      </c>
      <c r="G164" s="239" t="s">
        <v>4725</v>
      </c>
      <c r="H164" s="240" t="s">
        <v>160</v>
      </c>
      <c r="I164" s="239" t="s">
        <v>3912</v>
      </c>
      <c r="J164" s="239" t="s">
        <v>2306</v>
      </c>
      <c r="K164" s="239" t="s">
        <v>2288</v>
      </c>
      <c r="L164" s="239" t="s">
        <v>2252</v>
      </c>
      <c r="M164" s="241">
        <v>400.0</v>
      </c>
      <c r="N164" s="241">
        <v>580.0</v>
      </c>
      <c r="O164" s="241">
        <v>800.0</v>
      </c>
      <c r="P164" s="241" t="s">
        <v>2204</v>
      </c>
      <c r="Q164" s="286" t="s">
        <v>4727</v>
      </c>
      <c r="R164" s="241" t="s">
        <v>2204</v>
      </c>
      <c r="S164" s="239" t="s">
        <v>2204</v>
      </c>
      <c r="T164" s="284" t="s">
        <v>5149</v>
      </c>
      <c r="U164" s="242" t="s">
        <v>2208</v>
      </c>
      <c r="V164" s="239" t="s">
        <v>2288</v>
      </c>
      <c r="W164" s="242" t="s">
        <v>2211</v>
      </c>
      <c r="X164" s="239" t="s">
        <v>2288</v>
      </c>
      <c r="Y164" s="242" t="s">
        <v>2211</v>
      </c>
      <c r="Z164" s="239" t="s">
        <v>2204</v>
      </c>
      <c r="AA164" s="242" t="s">
        <v>3430</v>
      </c>
      <c r="AB164" s="244" t="s">
        <v>195</v>
      </c>
      <c r="AC164" s="244" t="s">
        <v>90</v>
      </c>
      <c r="AD164" s="215" t="s">
        <v>2217</v>
      </c>
      <c r="AE164" s="244" t="s">
        <v>469</v>
      </c>
      <c r="AF164" s="245" t="s">
        <v>2218</v>
      </c>
      <c r="AG164" s="240" t="s">
        <v>142</v>
      </c>
      <c r="AH164" s="240" t="s">
        <v>4736</v>
      </c>
      <c r="AI164" s="240" t="s">
        <v>2207</v>
      </c>
      <c r="AJ164" s="240" t="s">
        <v>4737</v>
      </c>
    </row>
    <row r="165" ht="15.0" hidden="1" customHeight="1">
      <c r="A165" s="239" t="s">
        <v>2172</v>
      </c>
      <c r="B165" s="239" t="s">
        <v>1052</v>
      </c>
      <c r="C165" s="239" t="s">
        <v>5152</v>
      </c>
      <c r="D165" s="239" t="s">
        <v>139</v>
      </c>
      <c r="E165" s="239" t="str">
        <f t="array" ref="E165">IFERROR(INDEX(REF_CODES!$B$8:$B$13,MATCH($D165,REF_CODES!$C$8:$C$13,0)),"")</f>
        <v>HB-COL</v>
      </c>
      <c r="F165" s="239" t="s">
        <v>5158</v>
      </c>
      <c r="G165" s="239" t="s">
        <v>4725</v>
      </c>
      <c r="H165" s="240" t="s">
        <v>160</v>
      </c>
      <c r="I165" s="239" t="s">
        <v>5159</v>
      </c>
      <c r="J165" s="239" t="s">
        <v>3611</v>
      </c>
      <c r="K165" s="239">
        <v>8.0</v>
      </c>
      <c r="L165" s="239" t="s">
        <v>2252</v>
      </c>
      <c r="M165" s="241">
        <v>320.0</v>
      </c>
      <c r="N165" s="241">
        <v>470.0</v>
      </c>
      <c r="O165" s="241">
        <v>680.0</v>
      </c>
      <c r="P165" s="241" t="s">
        <v>2204</v>
      </c>
      <c r="Q165" s="286" t="s">
        <v>4727</v>
      </c>
      <c r="R165" s="241" t="s">
        <v>2204</v>
      </c>
      <c r="S165" s="239" t="s">
        <v>2204</v>
      </c>
      <c r="T165" s="239" t="s">
        <v>5162</v>
      </c>
      <c r="U165" s="242" t="s">
        <v>2208</v>
      </c>
      <c r="V165" s="239" t="s">
        <v>2288</v>
      </c>
      <c r="W165" s="242" t="s">
        <v>2211</v>
      </c>
      <c r="X165" s="239" t="s">
        <v>5164</v>
      </c>
      <c r="Y165" s="242" t="s">
        <v>2211</v>
      </c>
      <c r="Z165" s="239" t="s">
        <v>2204</v>
      </c>
      <c r="AA165" s="239" t="s">
        <v>5165</v>
      </c>
      <c r="AB165" s="244" t="s">
        <v>195</v>
      </c>
      <c r="AC165" s="244" t="s">
        <v>90</v>
      </c>
      <c r="AD165" s="215" t="s">
        <v>2217</v>
      </c>
      <c r="AE165" s="244" t="s">
        <v>469</v>
      </c>
      <c r="AF165" s="245" t="s">
        <v>2218</v>
      </c>
      <c r="AG165" s="240" t="s">
        <v>142</v>
      </c>
      <c r="AH165" s="240" t="s">
        <v>4736</v>
      </c>
      <c r="AI165" s="240" t="s">
        <v>2207</v>
      </c>
      <c r="AJ165" s="240" t="s">
        <v>4737</v>
      </c>
    </row>
    <row r="166" ht="15.0" hidden="1" customHeight="1">
      <c r="A166" s="239" t="s">
        <v>2172</v>
      </c>
      <c r="B166" s="239" t="s">
        <v>1052</v>
      </c>
      <c r="C166" s="239" t="s">
        <v>5166</v>
      </c>
      <c r="D166" s="239" t="s">
        <v>139</v>
      </c>
      <c r="E166" s="239" t="str">
        <f t="array" ref="E166">IFERROR(INDEX(REF_CODES!$B$8:$B$13,MATCH($D166,REF_CODES!$C$8:$C$13,0)),"")</f>
        <v>HB-COL</v>
      </c>
      <c r="F166" s="239" t="s">
        <v>5170</v>
      </c>
      <c r="G166" s="239" t="s">
        <v>2198</v>
      </c>
      <c r="H166" s="240" t="s">
        <v>160</v>
      </c>
      <c r="I166" s="239" t="s">
        <v>5171</v>
      </c>
      <c r="J166" s="239" t="s">
        <v>2443</v>
      </c>
      <c r="K166" s="239">
        <v>30.0</v>
      </c>
      <c r="L166" s="239" t="s">
        <v>2252</v>
      </c>
      <c r="M166" s="241">
        <v>350.0</v>
      </c>
      <c r="N166" s="241">
        <v>500.0</v>
      </c>
      <c r="O166" s="241">
        <v>720.0</v>
      </c>
      <c r="P166" s="241" t="s">
        <v>2204</v>
      </c>
      <c r="Q166" s="286" t="s">
        <v>4727</v>
      </c>
      <c r="R166" s="241" t="s">
        <v>2204</v>
      </c>
      <c r="S166" s="239" t="s">
        <v>2204</v>
      </c>
      <c r="T166" s="239" t="s">
        <v>2742</v>
      </c>
      <c r="U166" s="242" t="s">
        <v>2208</v>
      </c>
      <c r="V166" s="239" t="s">
        <v>2288</v>
      </c>
      <c r="W166" s="239" t="s">
        <v>5175</v>
      </c>
      <c r="X166" s="239" t="s">
        <v>5176</v>
      </c>
      <c r="Y166" s="239" t="s">
        <v>5177</v>
      </c>
      <c r="Z166" s="239" t="s">
        <v>2204</v>
      </c>
      <c r="AA166" s="239" t="s">
        <v>2612</v>
      </c>
      <c r="AB166" s="244" t="s">
        <v>195</v>
      </c>
      <c r="AC166" s="244" t="s">
        <v>90</v>
      </c>
      <c r="AD166" s="215" t="s">
        <v>2217</v>
      </c>
      <c r="AE166" s="244" t="s">
        <v>4890</v>
      </c>
      <c r="AF166" s="250" t="s">
        <v>4890</v>
      </c>
      <c r="AG166" s="240" t="s">
        <v>142</v>
      </c>
      <c r="AH166" s="240" t="s">
        <v>4736</v>
      </c>
      <c r="AI166" s="240" t="s">
        <v>2207</v>
      </c>
      <c r="AJ166" s="240" t="s">
        <v>4737</v>
      </c>
    </row>
    <row r="167" ht="15.0" hidden="1" customHeight="1">
      <c r="A167" s="239" t="s">
        <v>2172</v>
      </c>
      <c r="B167" s="239" t="s">
        <v>1052</v>
      </c>
      <c r="C167" s="239" t="s">
        <v>5179</v>
      </c>
      <c r="D167" s="239" t="s">
        <v>139</v>
      </c>
      <c r="E167" s="239" t="str">
        <f t="array" ref="E167">IFERROR(INDEX(REF_CODES!$B$8:$B$13,MATCH($D167,REF_CODES!$C$8:$C$13,0)),"")</f>
        <v>HB-COL</v>
      </c>
      <c r="F167" s="239" t="s">
        <v>5182</v>
      </c>
      <c r="G167" s="239" t="s">
        <v>4725</v>
      </c>
      <c r="H167" s="240" t="s">
        <v>157</v>
      </c>
      <c r="I167" s="239" t="s">
        <v>5184</v>
      </c>
      <c r="J167" s="239" t="s">
        <v>2519</v>
      </c>
      <c r="K167" s="239">
        <v>8.0</v>
      </c>
      <c r="L167" s="239" t="s">
        <v>2252</v>
      </c>
      <c r="M167" s="241">
        <v>280.0</v>
      </c>
      <c r="N167" s="241">
        <v>420.0</v>
      </c>
      <c r="O167" s="241">
        <v>600.0</v>
      </c>
      <c r="P167" s="241" t="s">
        <v>2204</v>
      </c>
      <c r="Q167" s="286" t="s">
        <v>4727</v>
      </c>
      <c r="R167" s="241" t="s">
        <v>2204</v>
      </c>
      <c r="S167" s="239" t="s">
        <v>2204</v>
      </c>
      <c r="T167" s="284" t="s">
        <v>5185</v>
      </c>
      <c r="U167" s="242" t="s">
        <v>2208</v>
      </c>
      <c r="V167" s="239" t="s">
        <v>2288</v>
      </c>
      <c r="W167" s="239" t="s">
        <v>5187</v>
      </c>
      <c r="X167" s="239" t="s">
        <v>5188</v>
      </c>
      <c r="Y167" s="242" t="s">
        <v>2211</v>
      </c>
      <c r="Z167" s="239" t="s">
        <v>2204</v>
      </c>
      <c r="AA167" s="242" t="s">
        <v>5190</v>
      </c>
      <c r="AB167" s="244" t="s">
        <v>195</v>
      </c>
      <c r="AC167" s="244" t="s">
        <v>90</v>
      </c>
      <c r="AD167" s="215" t="s">
        <v>2217</v>
      </c>
      <c r="AE167" s="244" t="s">
        <v>469</v>
      </c>
      <c r="AF167" s="245" t="s">
        <v>2218</v>
      </c>
      <c r="AG167" s="240" t="s">
        <v>142</v>
      </c>
      <c r="AH167" s="240" t="s">
        <v>4736</v>
      </c>
      <c r="AI167" s="240" t="s">
        <v>2207</v>
      </c>
      <c r="AJ167" s="240" t="s">
        <v>4737</v>
      </c>
    </row>
    <row r="168" ht="15.0" hidden="1" customHeight="1">
      <c r="A168" s="239" t="s">
        <v>2172</v>
      </c>
      <c r="B168" s="239" t="s">
        <v>1052</v>
      </c>
      <c r="C168" s="239" t="s">
        <v>5193</v>
      </c>
      <c r="D168" s="239" t="s">
        <v>139</v>
      </c>
      <c r="E168" s="239" t="str">
        <f t="array" ref="E168">IFERROR(INDEX(REF_CODES!$B$8:$B$13,MATCH($D168,REF_CODES!$C$8:$C$13,0)),"")</f>
        <v>HB-COL</v>
      </c>
      <c r="F168" s="239" t="s">
        <v>5196</v>
      </c>
      <c r="G168" s="239" t="s">
        <v>4725</v>
      </c>
      <c r="H168" s="240" t="s">
        <v>160</v>
      </c>
      <c r="I168" s="239" t="s">
        <v>3912</v>
      </c>
      <c r="J168" s="239" t="s">
        <v>2288</v>
      </c>
      <c r="K168" s="239">
        <v>10.0</v>
      </c>
      <c r="L168" s="239" t="s">
        <v>2252</v>
      </c>
      <c r="M168" s="241">
        <v>300.0</v>
      </c>
      <c r="N168" s="241">
        <v>450.0</v>
      </c>
      <c r="O168" s="241">
        <v>650.0</v>
      </c>
      <c r="P168" s="241" t="s">
        <v>2204</v>
      </c>
      <c r="Q168" s="286" t="s">
        <v>4727</v>
      </c>
      <c r="R168" s="241" t="s">
        <v>2204</v>
      </c>
      <c r="S168" s="239" t="s">
        <v>2204</v>
      </c>
      <c r="T168" s="239" t="s">
        <v>3637</v>
      </c>
      <c r="U168" s="242" t="s">
        <v>2208</v>
      </c>
      <c r="V168" s="239" t="s">
        <v>2288</v>
      </c>
      <c r="W168" s="239" t="s">
        <v>5202</v>
      </c>
      <c r="X168" s="239" t="s">
        <v>2288</v>
      </c>
      <c r="Y168" s="242" t="s">
        <v>2211</v>
      </c>
      <c r="Z168" s="239" t="s">
        <v>2204</v>
      </c>
      <c r="AA168" s="242" t="s">
        <v>4711</v>
      </c>
      <c r="AB168" s="244" t="s">
        <v>195</v>
      </c>
      <c r="AC168" s="244" t="s">
        <v>90</v>
      </c>
      <c r="AD168" s="215" t="s">
        <v>2217</v>
      </c>
      <c r="AE168" s="244" t="s">
        <v>469</v>
      </c>
      <c r="AF168" s="245" t="s">
        <v>2218</v>
      </c>
      <c r="AG168" s="240" t="s">
        <v>142</v>
      </c>
      <c r="AH168" s="240" t="s">
        <v>4736</v>
      </c>
      <c r="AI168" s="240" t="s">
        <v>2207</v>
      </c>
      <c r="AJ168" s="240" t="s">
        <v>4737</v>
      </c>
    </row>
    <row r="169" ht="15.0" hidden="1" customHeight="1">
      <c r="A169" s="239" t="s">
        <v>2172</v>
      </c>
      <c r="B169" s="239" t="s">
        <v>1052</v>
      </c>
      <c r="C169" s="239" t="s">
        <v>5204</v>
      </c>
      <c r="D169" s="239" t="s">
        <v>139</v>
      </c>
      <c r="E169" s="239" t="str">
        <f t="array" ref="E169">IFERROR(INDEX(REF_CODES!$B$8:$B$13,MATCH($D169,REF_CODES!$C$8:$C$13,0)),"")</f>
        <v>HB-COL</v>
      </c>
      <c r="F169" s="239" t="s">
        <v>5208</v>
      </c>
      <c r="G169" s="239" t="s">
        <v>4725</v>
      </c>
      <c r="H169" s="240" t="s">
        <v>160</v>
      </c>
      <c r="I169" s="239" t="s">
        <v>3912</v>
      </c>
      <c r="J169" s="239" t="s">
        <v>2288</v>
      </c>
      <c r="K169" s="239" t="s">
        <v>2288</v>
      </c>
      <c r="L169" s="239" t="s">
        <v>2252</v>
      </c>
      <c r="M169" s="241">
        <v>380.0</v>
      </c>
      <c r="N169" s="241">
        <v>550.0</v>
      </c>
      <c r="O169" s="241">
        <v>780.0</v>
      </c>
      <c r="P169" s="241" t="s">
        <v>2204</v>
      </c>
      <c r="Q169" s="286" t="s">
        <v>4727</v>
      </c>
      <c r="R169" s="241" t="s">
        <v>2204</v>
      </c>
      <c r="S169" s="239" t="s">
        <v>2204</v>
      </c>
      <c r="T169" s="239" t="s">
        <v>3637</v>
      </c>
      <c r="U169" s="242" t="s">
        <v>2208</v>
      </c>
      <c r="V169" s="239" t="s">
        <v>2288</v>
      </c>
      <c r="W169" s="239" t="s">
        <v>5202</v>
      </c>
      <c r="X169" s="239" t="s">
        <v>2288</v>
      </c>
      <c r="Y169" s="242" t="s">
        <v>2211</v>
      </c>
      <c r="Z169" s="239" t="s">
        <v>2204</v>
      </c>
      <c r="AA169" s="242" t="s">
        <v>4711</v>
      </c>
      <c r="AB169" s="244" t="s">
        <v>195</v>
      </c>
      <c r="AC169" s="244" t="s">
        <v>90</v>
      </c>
      <c r="AD169" s="215" t="s">
        <v>2217</v>
      </c>
      <c r="AE169" s="244" t="s">
        <v>469</v>
      </c>
      <c r="AF169" s="245" t="s">
        <v>2218</v>
      </c>
      <c r="AG169" s="240" t="s">
        <v>142</v>
      </c>
      <c r="AH169" s="240" t="s">
        <v>4736</v>
      </c>
      <c r="AI169" s="240" t="s">
        <v>2207</v>
      </c>
      <c r="AJ169" s="240" t="s">
        <v>4737</v>
      </c>
    </row>
    <row r="170" ht="15.0" hidden="1" customHeight="1">
      <c r="A170" s="239" t="s">
        <v>2172</v>
      </c>
      <c r="B170" s="239" t="s">
        <v>1052</v>
      </c>
      <c r="C170" s="239" t="s">
        <v>5221</v>
      </c>
      <c r="D170" s="239" t="s">
        <v>139</v>
      </c>
      <c r="E170" s="239" t="str">
        <f t="array" ref="E170">IFERROR(INDEX(REF_CODES!$B$8:$B$13,MATCH($D170,REF_CODES!$C$8:$C$13,0)),"")</f>
        <v>HB-COL</v>
      </c>
      <c r="F170" s="239" t="s">
        <v>5231</v>
      </c>
      <c r="G170" s="239" t="s">
        <v>4725</v>
      </c>
      <c r="H170" s="240" t="s">
        <v>160</v>
      </c>
      <c r="I170" s="239" t="s">
        <v>5232</v>
      </c>
      <c r="J170" s="239" t="s">
        <v>4060</v>
      </c>
      <c r="K170" s="239">
        <v>21.0</v>
      </c>
      <c r="L170" s="239" t="s">
        <v>2252</v>
      </c>
      <c r="M170" s="241">
        <v>400.0</v>
      </c>
      <c r="N170" s="241">
        <v>580.0</v>
      </c>
      <c r="O170" s="241">
        <v>820.0</v>
      </c>
      <c r="P170" s="241" t="s">
        <v>2204</v>
      </c>
      <c r="Q170" s="241">
        <v>15.0</v>
      </c>
      <c r="R170" s="241">
        <v>476.0</v>
      </c>
      <c r="S170" s="239" t="s">
        <v>2204</v>
      </c>
      <c r="T170" s="239" t="s">
        <v>5237</v>
      </c>
      <c r="U170" s="239" t="s">
        <v>5238</v>
      </c>
      <c r="V170" s="239" t="s">
        <v>4782</v>
      </c>
      <c r="W170" s="239" t="s">
        <v>2828</v>
      </c>
      <c r="X170" s="239" t="s">
        <v>5239</v>
      </c>
      <c r="Y170" s="239" t="s">
        <v>5240</v>
      </c>
      <c r="Z170" s="239" t="s">
        <v>2204</v>
      </c>
      <c r="AA170" s="239" t="s">
        <v>2781</v>
      </c>
      <c r="AB170" s="244" t="s">
        <v>195</v>
      </c>
      <c r="AC170" s="244" t="s">
        <v>90</v>
      </c>
      <c r="AD170" s="215" t="s">
        <v>2217</v>
      </c>
      <c r="AE170" s="244" t="s">
        <v>469</v>
      </c>
      <c r="AF170" s="245" t="s">
        <v>2218</v>
      </c>
      <c r="AG170" s="240" t="s">
        <v>142</v>
      </c>
      <c r="AH170" s="240" t="s">
        <v>4736</v>
      </c>
      <c r="AI170" s="240" t="s">
        <v>2207</v>
      </c>
      <c r="AJ170" s="240" t="s">
        <v>4737</v>
      </c>
    </row>
    <row r="171" ht="15.0" hidden="1" customHeight="1">
      <c r="A171" s="239" t="s">
        <v>2172</v>
      </c>
      <c r="B171" s="239" t="s">
        <v>1052</v>
      </c>
      <c r="C171" s="239" t="s">
        <v>5243</v>
      </c>
      <c r="D171" s="239" t="s">
        <v>139</v>
      </c>
      <c r="E171" s="239" t="str">
        <f t="array" ref="E171">IFERROR(INDEX(REF_CODES!$B$8:$B$13,MATCH($D171,REF_CODES!$C$8:$C$13,0)),"")</f>
        <v>HB-COL</v>
      </c>
      <c r="F171" s="239" t="s">
        <v>5247</v>
      </c>
      <c r="G171" s="239" t="s">
        <v>4725</v>
      </c>
      <c r="H171" s="240" t="s">
        <v>160</v>
      </c>
      <c r="I171" s="239" t="s">
        <v>3912</v>
      </c>
      <c r="J171" s="239" t="s">
        <v>2288</v>
      </c>
      <c r="K171" s="239" t="s">
        <v>2288</v>
      </c>
      <c r="L171" s="239" t="s">
        <v>2252</v>
      </c>
      <c r="M171" s="241">
        <v>350.0</v>
      </c>
      <c r="N171" s="241">
        <v>500.0</v>
      </c>
      <c r="O171" s="241">
        <v>700.0</v>
      </c>
      <c r="P171" s="241" t="s">
        <v>2204</v>
      </c>
      <c r="Q171" s="286" t="s">
        <v>4727</v>
      </c>
      <c r="R171" s="241" t="s">
        <v>2204</v>
      </c>
      <c r="S171" s="239" t="s">
        <v>2204</v>
      </c>
      <c r="T171" s="239" t="s">
        <v>3637</v>
      </c>
      <c r="U171" s="242" t="s">
        <v>2208</v>
      </c>
      <c r="V171" s="239" t="s">
        <v>2288</v>
      </c>
      <c r="W171" s="239" t="s">
        <v>5251</v>
      </c>
      <c r="X171" s="239" t="s">
        <v>2288</v>
      </c>
      <c r="Y171" s="242" t="s">
        <v>2211</v>
      </c>
      <c r="Z171" s="239" t="s">
        <v>2204</v>
      </c>
      <c r="AA171" s="242" t="s">
        <v>4711</v>
      </c>
      <c r="AB171" s="244" t="s">
        <v>195</v>
      </c>
      <c r="AC171" s="244" t="s">
        <v>90</v>
      </c>
      <c r="AD171" s="215" t="s">
        <v>2217</v>
      </c>
      <c r="AE171" s="244" t="s">
        <v>469</v>
      </c>
      <c r="AF171" s="245" t="s">
        <v>2218</v>
      </c>
      <c r="AG171" s="240" t="s">
        <v>142</v>
      </c>
      <c r="AH171" s="240" t="s">
        <v>4736</v>
      </c>
      <c r="AI171" s="240" t="s">
        <v>2207</v>
      </c>
      <c r="AJ171" s="240" t="s">
        <v>4737</v>
      </c>
    </row>
    <row r="172" ht="15.0" hidden="1" customHeight="1">
      <c r="A172" s="239" t="s">
        <v>2172</v>
      </c>
      <c r="B172" s="239" t="s">
        <v>1052</v>
      </c>
      <c r="C172" s="239" t="s">
        <v>5254</v>
      </c>
      <c r="D172" s="239" t="s">
        <v>139</v>
      </c>
      <c r="E172" s="239" t="str">
        <f t="array" ref="E172">IFERROR(INDEX(REF_CODES!$B$8:$B$13,MATCH($D172,REF_CODES!$C$8:$C$13,0)),"")</f>
        <v>HB-COL</v>
      </c>
      <c r="F172" s="239" t="s">
        <v>5259</v>
      </c>
      <c r="G172" s="239" t="s">
        <v>4725</v>
      </c>
      <c r="H172" s="240" t="s">
        <v>160</v>
      </c>
      <c r="I172" s="239" t="s">
        <v>5260</v>
      </c>
      <c r="J172" s="239" t="s">
        <v>2288</v>
      </c>
      <c r="K172" s="239">
        <v>6.0</v>
      </c>
      <c r="L172" s="239" t="s">
        <v>2252</v>
      </c>
      <c r="M172" s="241">
        <v>420.0</v>
      </c>
      <c r="N172" s="241">
        <v>600.0</v>
      </c>
      <c r="O172" s="241">
        <v>850.0</v>
      </c>
      <c r="P172" s="241" t="s">
        <v>2204</v>
      </c>
      <c r="Q172" s="286" t="s">
        <v>4727</v>
      </c>
      <c r="R172" s="241" t="s">
        <v>2204</v>
      </c>
      <c r="S172" s="239" t="s">
        <v>2204</v>
      </c>
      <c r="T172" s="239" t="s">
        <v>3637</v>
      </c>
      <c r="U172" s="242" t="s">
        <v>2208</v>
      </c>
      <c r="V172" s="239" t="s">
        <v>2288</v>
      </c>
      <c r="W172" s="239" t="s">
        <v>5263</v>
      </c>
      <c r="X172" s="239" t="s">
        <v>5264</v>
      </c>
      <c r="Y172" s="242" t="s">
        <v>2211</v>
      </c>
      <c r="Z172" s="239" t="s">
        <v>2204</v>
      </c>
      <c r="AA172" s="242" t="s">
        <v>5265</v>
      </c>
      <c r="AB172" s="244" t="s">
        <v>195</v>
      </c>
      <c r="AC172" s="244" t="s">
        <v>90</v>
      </c>
      <c r="AD172" s="215" t="s">
        <v>2217</v>
      </c>
      <c r="AE172" s="244" t="s">
        <v>469</v>
      </c>
      <c r="AF172" s="245" t="s">
        <v>2218</v>
      </c>
      <c r="AG172" s="240" t="s">
        <v>142</v>
      </c>
      <c r="AH172" s="240" t="s">
        <v>4736</v>
      </c>
      <c r="AI172" s="240" t="s">
        <v>2207</v>
      </c>
      <c r="AJ172" s="240" t="s">
        <v>4737</v>
      </c>
    </row>
    <row r="173" ht="15.0" hidden="1" customHeight="1">
      <c r="A173" s="239" t="s">
        <v>2172</v>
      </c>
      <c r="B173" s="239" t="s">
        <v>1052</v>
      </c>
      <c r="C173" s="239" t="s">
        <v>5266</v>
      </c>
      <c r="D173" s="239" t="s">
        <v>139</v>
      </c>
      <c r="E173" s="239" t="str">
        <f t="array" ref="E173">IFERROR(INDEX(REF_CODES!$B$8:$B$13,MATCH($D173,REF_CODES!$C$8:$C$13,0)),"")</f>
        <v>HB-COL</v>
      </c>
      <c r="F173" s="239" t="s">
        <v>5270</v>
      </c>
      <c r="G173" s="239" t="s">
        <v>4725</v>
      </c>
      <c r="H173" s="240" t="s">
        <v>160</v>
      </c>
      <c r="I173" s="239" t="s">
        <v>5272</v>
      </c>
      <c r="J173" s="239" t="s">
        <v>4978</v>
      </c>
      <c r="K173" s="239" t="s">
        <v>2288</v>
      </c>
      <c r="L173" s="239" t="s">
        <v>2252</v>
      </c>
      <c r="M173" s="241">
        <v>300.0</v>
      </c>
      <c r="N173" s="241">
        <v>450.0</v>
      </c>
      <c r="O173" s="241">
        <v>650.0</v>
      </c>
      <c r="P173" s="241" t="s">
        <v>2204</v>
      </c>
      <c r="Q173" s="286" t="s">
        <v>4727</v>
      </c>
      <c r="R173" s="241" t="s">
        <v>2204</v>
      </c>
      <c r="S173" s="239" t="s">
        <v>2204</v>
      </c>
      <c r="T173" s="239" t="s">
        <v>5275</v>
      </c>
      <c r="U173" s="239" t="s">
        <v>5276</v>
      </c>
      <c r="V173" s="239" t="s">
        <v>2288</v>
      </c>
      <c r="W173" s="239" t="s">
        <v>5277</v>
      </c>
      <c r="X173" s="239" t="s">
        <v>5278</v>
      </c>
      <c r="Y173" s="242" t="s">
        <v>2211</v>
      </c>
      <c r="Z173" s="239" t="s">
        <v>2204</v>
      </c>
      <c r="AA173" s="242" t="s">
        <v>5280</v>
      </c>
      <c r="AB173" s="244" t="s">
        <v>195</v>
      </c>
      <c r="AC173" s="244" t="s">
        <v>90</v>
      </c>
      <c r="AD173" s="215" t="s">
        <v>2217</v>
      </c>
      <c r="AE173" s="244" t="s">
        <v>469</v>
      </c>
      <c r="AF173" s="245" t="s">
        <v>2218</v>
      </c>
      <c r="AG173" s="240" t="s">
        <v>142</v>
      </c>
      <c r="AH173" s="240" t="s">
        <v>4736</v>
      </c>
      <c r="AI173" s="240" t="s">
        <v>2207</v>
      </c>
      <c r="AJ173" s="240" t="s">
        <v>4737</v>
      </c>
    </row>
    <row r="174" ht="15.0" hidden="1" customHeight="1">
      <c r="A174" s="239" t="s">
        <v>2172</v>
      </c>
      <c r="B174" s="239" t="s">
        <v>1052</v>
      </c>
      <c r="C174" s="239" t="s">
        <v>5282</v>
      </c>
      <c r="D174" s="239" t="s">
        <v>139</v>
      </c>
      <c r="E174" s="239" t="str">
        <f t="array" ref="E174">IFERROR(INDEX(REF_CODES!$B$8:$B$13,MATCH($D174,REF_CODES!$C$8:$C$13,0)),"")</f>
        <v>HB-COL</v>
      </c>
      <c r="F174" s="239" t="s">
        <v>5285</v>
      </c>
      <c r="G174" s="239" t="s">
        <v>4725</v>
      </c>
      <c r="H174" s="240" t="s">
        <v>160</v>
      </c>
      <c r="I174" s="239" t="s">
        <v>5286</v>
      </c>
      <c r="J174" s="239" t="s">
        <v>3689</v>
      </c>
      <c r="K174" s="239">
        <v>7.0</v>
      </c>
      <c r="L174" s="239" t="s">
        <v>2252</v>
      </c>
      <c r="M174" s="241">
        <v>350.0</v>
      </c>
      <c r="N174" s="241">
        <v>500.0</v>
      </c>
      <c r="O174" s="241">
        <v>720.0</v>
      </c>
      <c r="P174" s="241" t="s">
        <v>2204</v>
      </c>
      <c r="Q174" s="286" t="s">
        <v>4727</v>
      </c>
      <c r="R174" s="241" t="s">
        <v>2204</v>
      </c>
      <c r="S174" s="239" t="s">
        <v>2204</v>
      </c>
      <c r="T174" s="239" t="s">
        <v>3637</v>
      </c>
      <c r="U174" s="242" t="s">
        <v>2208</v>
      </c>
      <c r="V174" s="239" t="s">
        <v>2288</v>
      </c>
      <c r="W174" s="239" t="s">
        <v>5292</v>
      </c>
      <c r="X174" s="239" t="s">
        <v>5293</v>
      </c>
      <c r="Y174" s="242" t="s">
        <v>2211</v>
      </c>
      <c r="Z174" s="239" t="s">
        <v>2204</v>
      </c>
      <c r="AA174" s="242" t="s">
        <v>5294</v>
      </c>
      <c r="AB174" s="244" t="s">
        <v>195</v>
      </c>
      <c r="AC174" s="244" t="s">
        <v>90</v>
      </c>
      <c r="AD174" s="215" t="s">
        <v>2217</v>
      </c>
      <c r="AE174" s="244" t="s">
        <v>469</v>
      </c>
      <c r="AF174" s="245" t="s">
        <v>2218</v>
      </c>
      <c r="AG174" s="240" t="s">
        <v>142</v>
      </c>
      <c r="AH174" s="240" t="s">
        <v>4736</v>
      </c>
      <c r="AI174" s="240" t="s">
        <v>2207</v>
      </c>
      <c r="AJ174" s="240" t="s">
        <v>4737</v>
      </c>
    </row>
    <row r="175" ht="15.0" hidden="1" customHeight="1">
      <c r="A175" s="239" t="s">
        <v>2172</v>
      </c>
      <c r="B175" s="239" t="s">
        <v>1052</v>
      </c>
      <c r="C175" s="239" t="s">
        <v>5299</v>
      </c>
      <c r="D175" s="239" t="s">
        <v>139</v>
      </c>
      <c r="E175" s="239" t="str">
        <f t="array" ref="E175">IFERROR(INDEX(REF_CODES!$B$8:$B$13,MATCH($D175,REF_CODES!$C$8:$C$13,0)),"")</f>
        <v>HB-COL</v>
      </c>
      <c r="F175" s="239" t="s">
        <v>5305</v>
      </c>
      <c r="G175" s="239" t="s">
        <v>4725</v>
      </c>
      <c r="H175" s="240" t="s">
        <v>160</v>
      </c>
      <c r="I175" s="239" t="s">
        <v>5306</v>
      </c>
      <c r="J175" s="239" t="s">
        <v>2511</v>
      </c>
      <c r="K175" s="239">
        <v>8.0</v>
      </c>
      <c r="L175" s="239" t="s">
        <v>2252</v>
      </c>
      <c r="M175" s="241">
        <v>380.0</v>
      </c>
      <c r="N175" s="241">
        <v>550.0</v>
      </c>
      <c r="O175" s="241">
        <v>780.0</v>
      </c>
      <c r="P175" s="241" t="s">
        <v>2204</v>
      </c>
      <c r="Q175" s="286" t="s">
        <v>4727</v>
      </c>
      <c r="R175" s="241" t="s">
        <v>2204</v>
      </c>
      <c r="S175" s="239" t="s">
        <v>2204</v>
      </c>
      <c r="T175" s="239" t="s">
        <v>5310</v>
      </c>
      <c r="U175" s="242" t="s">
        <v>2208</v>
      </c>
      <c r="V175" s="239" t="s">
        <v>2288</v>
      </c>
      <c r="W175" s="239" t="s">
        <v>5311</v>
      </c>
      <c r="X175" s="239" t="s">
        <v>5313</v>
      </c>
      <c r="Y175" s="242" t="s">
        <v>2211</v>
      </c>
      <c r="Z175" s="239" t="s">
        <v>2204</v>
      </c>
      <c r="AA175" s="242" t="s">
        <v>5314</v>
      </c>
      <c r="AB175" s="244" t="s">
        <v>195</v>
      </c>
      <c r="AC175" s="244" t="s">
        <v>90</v>
      </c>
      <c r="AD175" s="215" t="s">
        <v>2217</v>
      </c>
      <c r="AE175" s="244" t="s">
        <v>469</v>
      </c>
      <c r="AF175" s="245" t="s">
        <v>2218</v>
      </c>
      <c r="AG175" s="240" t="s">
        <v>142</v>
      </c>
      <c r="AH175" s="240" t="s">
        <v>4736</v>
      </c>
      <c r="AI175" s="240" t="s">
        <v>2207</v>
      </c>
      <c r="AJ175" s="240" t="s">
        <v>4737</v>
      </c>
    </row>
    <row r="176" ht="15.0" hidden="1" customHeight="1">
      <c r="A176" s="239" t="s">
        <v>2172</v>
      </c>
      <c r="B176" s="239" t="s">
        <v>1052</v>
      </c>
      <c r="C176" s="239" t="s">
        <v>5318</v>
      </c>
      <c r="D176" s="239" t="s">
        <v>139</v>
      </c>
      <c r="E176" s="239" t="str">
        <f t="array" ref="E176">IFERROR(INDEX(REF_CODES!$B$8:$B$13,MATCH($D176,REF_CODES!$C$8:$C$13,0)),"")</f>
        <v>HB-COL</v>
      </c>
      <c r="F176" s="239" t="s">
        <v>5330</v>
      </c>
      <c r="G176" s="239" t="s">
        <v>4725</v>
      </c>
      <c r="H176" s="240" t="s">
        <v>160</v>
      </c>
      <c r="I176" s="239" t="s">
        <v>5331</v>
      </c>
      <c r="J176" s="239" t="s">
        <v>2519</v>
      </c>
      <c r="K176" s="239">
        <v>30.0</v>
      </c>
      <c r="L176" s="239" t="s">
        <v>2252</v>
      </c>
      <c r="M176" s="241">
        <v>400.0</v>
      </c>
      <c r="N176" s="241">
        <v>580.0</v>
      </c>
      <c r="O176" s="241">
        <v>820.0</v>
      </c>
      <c r="P176" s="241" t="s">
        <v>2204</v>
      </c>
      <c r="Q176" s="286" t="s">
        <v>4727</v>
      </c>
      <c r="R176" s="241" t="s">
        <v>2204</v>
      </c>
      <c r="S176" s="239" t="s">
        <v>2204</v>
      </c>
      <c r="T176" s="239" t="s">
        <v>3637</v>
      </c>
      <c r="U176" s="242" t="s">
        <v>2208</v>
      </c>
      <c r="V176" s="239" t="s">
        <v>2288</v>
      </c>
      <c r="W176" s="239" t="s">
        <v>5336</v>
      </c>
      <c r="X176" s="239" t="s">
        <v>5337</v>
      </c>
      <c r="Y176" s="242" t="s">
        <v>2211</v>
      </c>
      <c r="Z176" s="239" t="s">
        <v>2204</v>
      </c>
      <c r="AA176" s="242" t="s">
        <v>5340</v>
      </c>
      <c r="AB176" s="244" t="s">
        <v>195</v>
      </c>
      <c r="AC176" s="244" t="s">
        <v>90</v>
      </c>
      <c r="AD176" s="215" t="s">
        <v>2217</v>
      </c>
      <c r="AE176" s="244" t="s">
        <v>469</v>
      </c>
      <c r="AF176" s="245" t="s">
        <v>2218</v>
      </c>
      <c r="AG176" s="240" t="s">
        <v>142</v>
      </c>
      <c r="AH176" s="240" t="s">
        <v>4736</v>
      </c>
      <c r="AI176" s="240" t="s">
        <v>2207</v>
      </c>
      <c r="AJ176" s="240" t="s">
        <v>4737</v>
      </c>
    </row>
    <row r="177" ht="15.0" hidden="1" customHeight="1">
      <c r="A177" s="239" t="s">
        <v>2172</v>
      </c>
      <c r="B177" s="239" t="s">
        <v>1052</v>
      </c>
      <c r="C177" s="239" t="s">
        <v>5344</v>
      </c>
      <c r="D177" s="239" t="s">
        <v>139</v>
      </c>
      <c r="E177" s="239" t="str">
        <f t="array" ref="E177">IFERROR(INDEX(REF_CODES!$B$8:$B$13,MATCH($D177,REF_CODES!$C$8:$C$13,0)),"")</f>
        <v>HB-COL</v>
      </c>
      <c r="F177" s="239" t="s">
        <v>5353</v>
      </c>
      <c r="G177" s="239" t="s">
        <v>4725</v>
      </c>
      <c r="H177" s="240" t="s">
        <v>160</v>
      </c>
      <c r="I177" s="239" t="s">
        <v>5355</v>
      </c>
      <c r="J177" s="239" t="s">
        <v>5031</v>
      </c>
      <c r="K177" s="239">
        <v>6.0</v>
      </c>
      <c r="L177" s="239" t="s">
        <v>2252</v>
      </c>
      <c r="M177" s="241">
        <v>320.0</v>
      </c>
      <c r="N177" s="241">
        <v>470.0</v>
      </c>
      <c r="O177" s="241">
        <v>680.0</v>
      </c>
      <c r="P177" s="241" t="s">
        <v>2204</v>
      </c>
      <c r="Q177" s="286" t="s">
        <v>4727</v>
      </c>
      <c r="R177" s="241" t="s">
        <v>2204</v>
      </c>
      <c r="S177" s="239" t="s">
        <v>2204</v>
      </c>
      <c r="T177" s="239" t="s">
        <v>3637</v>
      </c>
      <c r="U177" s="242" t="s">
        <v>2208</v>
      </c>
      <c r="V177" s="239" t="s">
        <v>2288</v>
      </c>
      <c r="W177" s="239" t="s">
        <v>5359</v>
      </c>
      <c r="X177" s="239" t="s">
        <v>2288</v>
      </c>
      <c r="Y177" s="242" t="s">
        <v>2211</v>
      </c>
      <c r="Z177" s="239" t="s">
        <v>2204</v>
      </c>
      <c r="AA177" s="242" t="s">
        <v>5361</v>
      </c>
      <c r="AB177" s="244" t="s">
        <v>195</v>
      </c>
      <c r="AC177" s="244" t="s">
        <v>90</v>
      </c>
      <c r="AD177" s="215" t="s">
        <v>2217</v>
      </c>
      <c r="AE177" s="244" t="s">
        <v>469</v>
      </c>
      <c r="AF177" s="245" t="s">
        <v>2218</v>
      </c>
      <c r="AG177" s="240" t="s">
        <v>142</v>
      </c>
      <c r="AH177" s="240" t="s">
        <v>4736</v>
      </c>
      <c r="AI177" s="240" t="s">
        <v>2207</v>
      </c>
      <c r="AJ177" s="240" t="s">
        <v>4737</v>
      </c>
    </row>
    <row r="178" ht="15.0" hidden="1" customHeight="1">
      <c r="A178" s="239" t="s">
        <v>2172</v>
      </c>
      <c r="B178" s="239" t="s">
        <v>1052</v>
      </c>
      <c r="C178" s="239" t="s">
        <v>5366</v>
      </c>
      <c r="D178" s="239" t="s">
        <v>139</v>
      </c>
      <c r="E178" s="239" t="str">
        <f t="array" ref="E178">IFERROR(INDEX(REF_CODES!$B$8:$B$13,MATCH($D178,REF_CODES!$C$8:$C$13,0)),"")</f>
        <v>HB-COL</v>
      </c>
      <c r="F178" s="239" t="s">
        <v>5372</v>
      </c>
      <c r="G178" s="239" t="s">
        <v>4725</v>
      </c>
      <c r="H178" s="240" t="s">
        <v>160</v>
      </c>
      <c r="I178" s="242" t="s">
        <v>4836</v>
      </c>
      <c r="J178" s="242" t="s">
        <v>5375</v>
      </c>
      <c r="K178" s="242" t="s">
        <v>4727</v>
      </c>
      <c r="L178" s="239" t="s">
        <v>2252</v>
      </c>
      <c r="M178" s="241">
        <v>350.0</v>
      </c>
      <c r="N178" s="241">
        <v>500.0</v>
      </c>
      <c r="O178" s="241">
        <v>720.0</v>
      </c>
      <c r="P178" s="241" t="s">
        <v>2204</v>
      </c>
      <c r="Q178" s="286" t="s">
        <v>4727</v>
      </c>
      <c r="R178" s="241" t="s">
        <v>2204</v>
      </c>
      <c r="S178" s="239" t="s">
        <v>2204</v>
      </c>
      <c r="T178" s="239" t="s">
        <v>5378</v>
      </c>
      <c r="U178" s="242" t="s">
        <v>2208</v>
      </c>
      <c r="V178" s="242" t="s">
        <v>4791</v>
      </c>
      <c r="W178" s="239" t="s">
        <v>2698</v>
      </c>
      <c r="X178" s="242" t="s">
        <v>2334</v>
      </c>
      <c r="Y178" s="239" t="s">
        <v>5381</v>
      </c>
      <c r="Z178" s="239" t="s">
        <v>2204</v>
      </c>
      <c r="AA178" s="239" t="s">
        <v>5382</v>
      </c>
      <c r="AB178" s="244" t="s">
        <v>195</v>
      </c>
      <c r="AC178" s="244" t="s">
        <v>90</v>
      </c>
      <c r="AD178" s="215" t="s">
        <v>2217</v>
      </c>
      <c r="AE178" s="244" t="s">
        <v>469</v>
      </c>
      <c r="AF178" s="245" t="s">
        <v>2218</v>
      </c>
      <c r="AG178" s="240" t="s">
        <v>142</v>
      </c>
      <c r="AH178" s="240" t="s">
        <v>4736</v>
      </c>
      <c r="AI178" s="240" t="s">
        <v>2207</v>
      </c>
      <c r="AJ178" s="240" t="s">
        <v>4737</v>
      </c>
    </row>
    <row r="179" ht="15.0" hidden="1" customHeight="1">
      <c r="A179" s="239" t="s">
        <v>2172</v>
      </c>
      <c r="B179" s="239" t="s">
        <v>1052</v>
      </c>
      <c r="C179" s="239" t="s">
        <v>5384</v>
      </c>
      <c r="D179" s="239" t="s">
        <v>139</v>
      </c>
      <c r="E179" s="239" t="str">
        <f t="array" ref="E179">IFERROR(INDEX(REF_CODES!$B$8:$B$13,MATCH($D179,REF_CODES!$C$8:$C$13,0)),"")</f>
        <v>HB-COL</v>
      </c>
      <c r="F179" s="239" t="s">
        <v>5390</v>
      </c>
      <c r="G179" s="239" t="s">
        <v>4725</v>
      </c>
      <c r="H179" s="240" t="s">
        <v>157</v>
      </c>
      <c r="I179" s="242" t="s">
        <v>4836</v>
      </c>
      <c r="J179" s="242" t="s">
        <v>5375</v>
      </c>
      <c r="K179" s="242" t="s">
        <v>4727</v>
      </c>
      <c r="L179" s="239" t="s">
        <v>2252</v>
      </c>
      <c r="M179" s="241">
        <v>280.0</v>
      </c>
      <c r="N179" s="241">
        <v>420.0</v>
      </c>
      <c r="O179" s="241">
        <v>600.0</v>
      </c>
      <c r="P179" s="241" t="s">
        <v>2204</v>
      </c>
      <c r="Q179" s="286" t="s">
        <v>4727</v>
      </c>
      <c r="R179" s="241" t="s">
        <v>2204</v>
      </c>
      <c r="S179" s="239" t="s">
        <v>2204</v>
      </c>
      <c r="T179" s="239" t="s">
        <v>5394</v>
      </c>
      <c r="U179" s="242" t="s">
        <v>2208</v>
      </c>
      <c r="V179" s="242" t="s">
        <v>4791</v>
      </c>
      <c r="W179" s="239" t="s">
        <v>5396</v>
      </c>
      <c r="X179" s="242" t="s">
        <v>2334</v>
      </c>
      <c r="Y179" s="239" t="s">
        <v>5397</v>
      </c>
      <c r="Z179" s="239" t="s">
        <v>2204</v>
      </c>
      <c r="AA179" s="239" t="s">
        <v>5399</v>
      </c>
      <c r="AB179" s="244" t="s">
        <v>195</v>
      </c>
      <c r="AC179" s="244" t="s">
        <v>90</v>
      </c>
      <c r="AD179" s="215" t="s">
        <v>2217</v>
      </c>
      <c r="AE179" s="244" t="s">
        <v>469</v>
      </c>
      <c r="AF179" s="245" t="s">
        <v>2218</v>
      </c>
      <c r="AG179" s="240" t="s">
        <v>142</v>
      </c>
      <c r="AH179" s="240" t="s">
        <v>4736</v>
      </c>
      <c r="AI179" s="240" t="s">
        <v>2207</v>
      </c>
      <c r="AJ179" s="240" t="s">
        <v>4737</v>
      </c>
    </row>
    <row r="180" ht="15.0" hidden="1" customHeight="1">
      <c r="A180" s="239" t="s">
        <v>2172</v>
      </c>
      <c r="B180" s="239" t="s">
        <v>1052</v>
      </c>
      <c r="C180" s="239" t="s">
        <v>5402</v>
      </c>
      <c r="D180" s="239" t="s">
        <v>139</v>
      </c>
      <c r="E180" s="239" t="str">
        <f t="array" ref="E180">IFERROR(INDEX(REF_CODES!$B$8:$B$13,MATCH($D180,REF_CODES!$C$8:$C$13,0)),"")</f>
        <v>HB-COL</v>
      </c>
      <c r="F180" s="239" t="s">
        <v>5405</v>
      </c>
      <c r="G180" s="239" t="s">
        <v>4725</v>
      </c>
      <c r="H180" s="240" t="s">
        <v>160</v>
      </c>
      <c r="I180" s="242" t="s">
        <v>4836</v>
      </c>
      <c r="J180" s="242" t="s">
        <v>5375</v>
      </c>
      <c r="K180" s="242" t="s">
        <v>4727</v>
      </c>
      <c r="L180" s="239" t="s">
        <v>2252</v>
      </c>
      <c r="M180" s="241">
        <v>300.0</v>
      </c>
      <c r="N180" s="241">
        <v>450.0</v>
      </c>
      <c r="O180" s="241">
        <v>650.0</v>
      </c>
      <c r="P180" s="241" t="s">
        <v>2204</v>
      </c>
      <c r="Q180" s="286" t="s">
        <v>4727</v>
      </c>
      <c r="R180" s="241" t="s">
        <v>2204</v>
      </c>
      <c r="S180" s="239" t="s">
        <v>2204</v>
      </c>
      <c r="T180" s="239" t="s">
        <v>5412</v>
      </c>
      <c r="U180" s="242" t="s">
        <v>2208</v>
      </c>
      <c r="V180" s="242" t="s">
        <v>4791</v>
      </c>
      <c r="W180" s="242" t="s">
        <v>5414</v>
      </c>
      <c r="X180" s="242" t="s">
        <v>2334</v>
      </c>
      <c r="Y180" s="242" t="s">
        <v>5414</v>
      </c>
      <c r="Z180" s="239" t="s">
        <v>2204</v>
      </c>
      <c r="AA180" s="239" t="s">
        <v>5416</v>
      </c>
      <c r="AB180" s="244" t="s">
        <v>195</v>
      </c>
      <c r="AC180" s="244" t="s">
        <v>90</v>
      </c>
      <c r="AD180" s="215" t="s">
        <v>2217</v>
      </c>
      <c r="AE180" s="244" t="s">
        <v>469</v>
      </c>
      <c r="AF180" s="245" t="s">
        <v>2218</v>
      </c>
      <c r="AG180" s="240" t="s">
        <v>142</v>
      </c>
      <c r="AH180" s="240" t="s">
        <v>4736</v>
      </c>
      <c r="AI180" s="240" t="s">
        <v>2207</v>
      </c>
      <c r="AJ180" s="240" t="s">
        <v>4737</v>
      </c>
    </row>
    <row r="181" ht="15.0" hidden="1" customHeight="1">
      <c r="A181" s="239" t="s">
        <v>2172</v>
      </c>
      <c r="B181" s="239" t="s">
        <v>1052</v>
      </c>
      <c r="C181" s="239" t="s">
        <v>5421</v>
      </c>
      <c r="D181" s="239" t="s">
        <v>139</v>
      </c>
      <c r="E181" s="239" t="str">
        <f t="array" ref="E181">IFERROR(INDEX(REF_CODES!$B$8:$B$13,MATCH($D181,REF_CODES!$C$8:$C$13,0)),"")</f>
        <v>HB-COL</v>
      </c>
      <c r="F181" s="239" t="s">
        <v>5428</v>
      </c>
      <c r="G181" s="239" t="s">
        <v>4725</v>
      </c>
      <c r="H181" s="240" t="s">
        <v>160</v>
      </c>
      <c r="I181" s="242" t="s">
        <v>4836</v>
      </c>
      <c r="J181" s="242" t="s">
        <v>5375</v>
      </c>
      <c r="K181" s="242" t="s">
        <v>4727</v>
      </c>
      <c r="L181" s="239" t="s">
        <v>2252</v>
      </c>
      <c r="M181" s="241">
        <v>320.0</v>
      </c>
      <c r="N181" s="241">
        <v>475.0</v>
      </c>
      <c r="O181" s="241">
        <v>680.0</v>
      </c>
      <c r="P181" s="241" t="s">
        <v>2204</v>
      </c>
      <c r="Q181" s="286" t="s">
        <v>4727</v>
      </c>
      <c r="R181" s="241" t="s">
        <v>2204</v>
      </c>
      <c r="S181" s="239" t="s">
        <v>2204</v>
      </c>
      <c r="T181" s="239" t="s">
        <v>5430</v>
      </c>
      <c r="U181" s="239" t="s">
        <v>5431</v>
      </c>
      <c r="V181" s="242" t="s">
        <v>4791</v>
      </c>
      <c r="W181" s="239" t="s">
        <v>5432</v>
      </c>
      <c r="X181" s="242" t="s">
        <v>2334</v>
      </c>
      <c r="Y181" s="239" t="s">
        <v>5434</v>
      </c>
      <c r="Z181" s="239" t="s">
        <v>2204</v>
      </c>
      <c r="AA181" s="239" t="s">
        <v>5435</v>
      </c>
      <c r="AB181" s="244" t="s">
        <v>195</v>
      </c>
      <c r="AC181" s="244" t="s">
        <v>90</v>
      </c>
      <c r="AD181" s="215" t="s">
        <v>2217</v>
      </c>
      <c r="AE181" s="244" t="s">
        <v>469</v>
      </c>
      <c r="AF181" s="245" t="s">
        <v>2218</v>
      </c>
      <c r="AG181" s="240" t="s">
        <v>142</v>
      </c>
      <c r="AH181" s="240" t="s">
        <v>4736</v>
      </c>
      <c r="AI181" s="240" t="s">
        <v>2207</v>
      </c>
      <c r="AJ181" s="240" t="s">
        <v>4737</v>
      </c>
    </row>
    <row r="182" ht="15.0" hidden="1" customHeight="1">
      <c r="A182" s="239" t="s">
        <v>2172</v>
      </c>
      <c r="B182" s="239" t="s">
        <v>1052</v>
      </c>
      <c r="C182" s="239" t="s">
        <v>5439</v>
      </c>
      <c r="D182" s="239" t="s">
        <v>139</v>
      </c>
      <c r="E182" s="239" t="str">
        <f t="array" ref="E182">IFERROR(INDEX(REF_CODES!$B$8:$B$13,MATCH($D182,REF_CODES!$C$8:$C$13,0)),"")</f>
        <v>HB-COL</v>
      </c>
      <c r="F182" s="239" t="s">
        <v>5444</v>
      </c>
      <c r="G182" s="239" t="s">
        <v>4725</v>
      </c>
      <c r="H182" s="240" t="s">
        <v>160</v>
      </c>
      <c r="I182" s="242" t="s">
        <v>4836</v>
      </c>
      <c r="J182" s="242" t="s">
        <v>5375</v>
      </c>
      <c r="K182" s="242" t="s">
        <v>4727</v>
      </c>
      <c r="L182" s="239" t="s">
        <v>2252</v>
      </c>
      <c r="M182" s="241">
        <v>340.0</v>
      </c>
      <c r="N182" s="241">
        <v>500.0</v>
      </c>
      <c r="O182" s="241">
        <v>710.0</v>
      </c>
      <c r="P182" s="241" t="s">
        <v>2204</v>
      </c>
      <c r="Q182" s="286" t="s">
        <v>4727</v>
      </c>
      <c r="R182" s="241" t="s">
        <v>2204</v>
      </c>
      <c r="S182" s="239" t="s">
        <v>2204</v>
      </c>
      <c r="T182" s="239" t="s">
        <v>3965</v>
      </c>
      <c r="U182" s="242" t="s">
        <v>2208</v>
      </c>
      <c r="V182" s="242" t="s">
        <v>4791</v>
      </c>
      <c r="W182" s="239" t="s">
        <v>3966</v>
      </c>
      <c r="X182" s="242" t="s">
        <v>2334</v>
      </c>
      <c r="Y182" s="239" t="s">
        <v>3968</v>
      </c>
      <c r="Z182" s="239" t="s">
        <v>3969</v>
      </c>
      <c r="AA182" s="239" t="s">
        <v>5382</v>
      </c>
      <c r="AB182" s="244" t="s">
        <v>195</v>
      </c>
      <c r="AC182" s="244" t="s">
        <v>90</v>
      </c>
      <c r="AD182" s="215" t="s">
        <v>2217</v>
      </c>
      <c r="AE182" s="244" t="s">
        <v>469</v>
      </c>
      <c r="AF182" s="245" t="s">
        <v>2218</v>
      </c>
      <c r="AG182" s="240" t="s">
        <v>142</v>
      </c>
      <c r="AH182" s="240" t="s">
        <v>4736</v>
      </c>
      <c r="AI182" s="240" t="s">
        <v>2207</v>
      </c>
      <c r="AJ182" s="240" t="s">
        <v>4737</v>
      </c>
    </row>
    <row r="183" ht="15.0" hidden="1" customHeight="1">
      <c r="A183" s="239" t="s">
        <v>2172</v>
      </c>
      <c r="B183" s="239" t="s">
        <v>1052</v>
      </c>
      <c r="C183" s="239" t="s">
        <v>5454</v>
      </c>
      <c r="D183" s="239" t="s">
        <v>139</v>
      </c>
      <c r="E183" s="239" t="str">
        <f t="array" ref="E183">IFERROR(INDEX(REF_CODES!$B$8:$B$13,MATCH($D183,REF_CODES!$C$8:$C$13,0)),"")</f>
        <v>HB-COL</v>
      </c>
      <c r="F183" s="239" t="s">
        <v>5460</v>
      </c>
      <c r="G183" s="239" t="s">
        <v>4725</v>
      </c>
      <c r="H183" s="240" t="s">
        <v>160</v>
      </c>
      <c r="I183" s="242" t="s">
        <v>4836</v>
      </c>
      <c r="J183" s="242" t="s">
        <v>5375</v>
      </c>
      <c r="K183" s="242" t="s">
        <v>4727</v>
      </c>
      <c r="L183" s="239" t="s">
        <v>2252</v>
      </c>
      <c r="M183" s="241">
        <v>360.0</v>
      </c>
      <c r="N183" s="241">
        <v>525.0</v>
      </c>
      <c r="O183" s="241">
        <v>740.0</v>
      </c>
      <c r="P183" s="241" t="s">
        <v>2204</v>
      </c>
      <c r="Q183" s="286" t="s">
        <v>4727</v>
      </c>
      <c r="R183" s="241" t="s">
        <v>2204</v>
      </c>
      <c r="S183" s="239" t="s">
        <v>2204</v>
      </c>
      <c r="T183" s="239" t="s">
        <v>5464</v>
      </c>
      <c r="U183" s="242" t="s">
        <v>2208</v>
      </c>
      <c r="V183" s="242" t="s">
        <v>4791</v>
      </c>
      <c r="W183" s="239" t="s">
        <v>2828</v>
      </c>
      <c r="X183" s="242" t="s">
        <v>2334</v>
      </c>
      <c r="Y183" s="239" t="s">
        <v>5467</v>
      </c>
      <c r="Z183" s="239" t="s">
        <v>2204</v>
      </c>
      <c r="AA183" s="239" t="s">
        <v>5382</v>
      </c>
      <c r="AB183" s="244" t="s">
        <v>195</v>
      </c>
      <c r="AC183" s="244" t="s">
        <v>90</v>
      </c>
      <c r="AD183" s="215" t="s">
        <v>2217</v>
      </c>
      <c r="AE183" s="244" t="s">
        <v>2375</v>
      </c>
      <c r="AF183" s="250" t="s">
        <v>2375</v>
      </c>
      <c r="AG183" s="240" t="s">
        <v>142</v>
      </c>
      <c r="AH183" s="240" t="s">
        <v>4736</v>
      </c>
      <c r="AI183" s="240" t="s">
        <v>2207</v>
      </c>
      <c r="AJ183" s="240" t="s">
        <v>4737</v>
      </c>
    </row>
    <row r="184" ht="15.0" hidden="1" customHeight="1">
      <c r="A184" s="239" t="s">
        <v>2172</v>
      </c>
      <c r="B184" s="239" t="s">
        <v>1052</v>
      </c>
      <c r="C184" s="239" t="s">
        <v>5470</v>
      </c>
      <c r="D184" s="239" t="s">
        <v>139</v>
      </c>
      <c r="E184" s="239" t="str">
        <f t="array" ref="E184">IFERROR(INDEX(REF_CODES!$B$8:$B$13,MATCH($D184,REF_CODES!$C$8:$C$13,0)),"")</f>
        <v>HB-COL</v>
      </c>
      <c r="F184" s="239" t="s">
        <v>5477</v>
      </c>
      <c r="G184" s="239" t="s">
        <v>4725</v>
      </c>
      <c r="H184" s="240" t="s">
        <v>160</v>
      </c>
      <c r="I184" s="242" t="s">
        <v>4836</v>
      </c>
      <c r="J184" s="242" t="s">
        <v>5375</v>
      </c>
      <c r="K184" s="242" t="s">
        <v>4727</v>
      </c>
      <c r="L184" s="239" t="s">
        <v>2252</v>
      </c>
      <c r="M184" s="241">
        <v>380.0</v>
      </c>
      <c r="N184" s="241">
        <v>550.0</v>
      </c>
      <c r="O184" s="241">
        <v>770.0</v>
      </c>
      <c r="P184" s="241" t="s">
        <v>2204</v>
      </c>
      <c r="Q184" s="286" t="s">
        <v>4727</v>
      </c>
      <c r="R184" s="241" t="s">
        <v>2204</v>
      </c>
      <c r="S184" s="239" t="s">
        <v>2204</v>
      </c>
      <c r="T184" s="239" t="s">
        <v>5483</v>
      </c>
      <c r="U184" s="242" t="s">
        <v>2208</v>
      </c>
      <c r="V184" s="242" t="s">
        <v>4791</v>
      </c>
      <c r="W184" s="239" t="s">
        <v>2828</v>
      </c>
      <c r="X184" s="242" t="s">
        <v>2334</v>
      </c>
      <c r="Y184" s="239" t="s">
        <v>5397</v>
      </c>
      <c r="Z184" s="239" t="s">
        <v>2204</v>
      </c>
      <c r="AA184" s="239" t="s">
        <v>5382</v>
      </c>
      <c r="AB184" s="244" t="s">
        <v>195</v>
      </c>
      <c r="AC184" s="244" t="s">
        <v>90</v>
      </c>
      <c r="AD184" s="215" t="s">
        <v>2217</v>
      </c>
      <c r="AE184" s="244" t="s">
        <v>469</v>
      </c>
      <c r="AF184" s="245" t="s">
        <v>2218</v>
      </c>
      <c r="AG184" s="240" t="s">
        <v>142</v>
      </c>
      <c r="AH184" s="240" t="s">
        <v>4736</v>
      </c>
      <c r="AI184" s="240" t="s">
        <v>2207</v>
      </c>
      <c r="AJ184" s="240" t="s">
        <v>4737</v>
      </c>
    </row>
    <row r="185" ht="15.0" hidden="1" customHeight="1">
      <c r="A185" s="239" t="s">
        <v>2172</v>
      </c>
      <c r="B185" s="239" t="s">
        <v>1052</v>
      </c>
      <c r="C185" s="239" t="s">
        <v>5485</v>
      </c>
      <c r="D185" s="239" t="s">
        <v>139</v>
      </c>
      <c r="E185" s="239" t="str">
        <f t="array" ref="E185">IFERROR(INDEX(REF_CODES!$B$8:$B$13,MATCH($D185,REF_CODES!$C$8:$C$13,0)),"")</f>
        <v>HB-COL</v>
      </c>
      <c r="F185" s="239" t="s">
        <v>5488</v>
      </c>
      <c r="G185" s="239" t="s">
        <v>4725</v>
      </c>
      <c r="H185" s="240" t="s">
        <v>160</v>
      </c>
      <c r="I185" s="242" t="s">
        <v>4836</v>
      </c>
      <c r="J185" s="242" t="s">
        <v>5375</v>
      </c>
      <c r="K185" s="242" t="s">
        <v>4727</v>
      </c>
      <c r="L185" s="239" t="s">
        <v>2252</v>
      </c>
      <c r="M185" s="241">
        <v>400.0</v>
      </c>
      <c r="N185" s="241">
        <v>575.0</v>
      </c>
      <c r="O185" s="241">
        <v>800.0</v>
      </c>
      <c r="P185" s="241" t="s">
        <v>2204</v>
      </c>
      <c r="Q185" s="286" t="s">
        <v>4727</v>
      </c>
      <c r="R185" s="241" t="s">
        <v>2204</v>
      </c>
      <c r="S185" s="239" t="s">
        <v>2204</v>
      </c>
      <c r="T185" s="239" t="s">
        <v>3637</v>
      </c>
      <c r="U185" s="242" t="s">
        <v>2208</v>
      </c>
      <c r="V185" s="242" t="s">
        <v>4791</v>
      </c>
      <c r="W185" s="242" t="s">
        <v>2340</v>
      </c>
      <c r="X185" s="242" t="s">
        <v>2334</v>
      </c>
      <c r="Y185" s="242" t="s">
        <v>4819</v>
      </c>
      <c r="Z185" s="239" t="s">
        <v>2204</v>
      </c>
      <c r="AA185" s="239" t="s">
        <v>1229</v>
      </c>
      <c r="AB185" s="244" t="s">
        <v>195</v>
      </c>
      <c r="AC185" s="244" t="s">
        <v>90</v>
      </c>
      <c r="AD185" s="215" t="s">
        <v>2217</v>
      </c>
      <c r="AE185" s="244" t="s">
        <v>469</v>
      </c>
      <c r="AF185" s="245" t="s">
        <v>2218</v>
      </c>
      <c r="AG185" s="240" t="s">
        <v>142</v>
      </c>
      <c r="AH185" s="240" t="s">
        <v>4736</v>
      </c>
      <c r="AI185" s="240" t="s">
        <v>2207</v>
      </c>
      <c r="AJ185" s="240" t="s">
        <v>4737</v>
      </c>
    </row>
    <row r="186" ht="15.0" hidden="1" customHeight="1">
      <c r="A186" s="239" t="s">
        <v>2172</v>
      </c>
      <c r="B186" s="239" t="s">
        <v>1052</v>
      </c>
      <c r="C186" s="239" t="s">
        <v>5495</v>
      </c>
      <c r="D186" s="239" t="s">
        <v>139</v>
      </c>
      <c r="E186" s="239" t="str">
        <f t="array" ref="E186">IFERROR(INDEX(REF_CODES!$B$8:$B$13,MATCH($D186,REF_CODES!$C$8:$C$13,0)),"")</f>
        <v>HB-COL</v>
      </c>
      <c r="F186" s="239" t="s">
        <v>5498</v>
      </c>
      <c r="G186" s="239" t="s">
        <v>4725</v>
      </c>
      <c r="H186" s="240" t="s">
        <v>160</v>
      </c>
      <c r="I186" s="242" t="s">
        <v>4836</v>
      </c>
      <c r="J186" s="242" t="s">
        <v>5375</v>
      </c>
      <c r="K186" s="242" t="s">
        <v>4727</v>
      </c>
      <c r="L186" s="239" t="s">
        <v>2252</v>
      </c>
      <c r="M186" s="241">
        <v>420.0</v>
      </c>
      <c r="N186" s="241">
        <v>600.0</v>
      </c>
      <c r="O186" s="241">
        <v>830.0</v>
      </c>
      <c r="P186" s="241" t="s">
        <v>2204</v>
      </c>
      <c r="Q186" s="286" t="s">
        <v>4727</v>
      </c>
      <c r="R186" s="241" t="s">
        <v>2204</v>
      </c>
      <c r="S186" s="239" t="s">
        <v>2204</v>
      </c>
      <c r="T186" s="239" t="s">
        <v>3637</v>
      </c>
      <c r="U186" s="242" t="s">
        <v>2208</v>
      </c>
      <c r="V186" s="242" t="s">
        <v>4791</v>
      </c>
      <c r="W186" s="242" t="s">
        <v>2340</v>
      </c>
      <c r="X186" s="242" t="s">
        <v>2334</v>
      </c>
      <c r="Y186" s="242" t="s">
        <v>4819</v>
      </c>
      <c r="Z186" s="239" t="s">
        <v>2204</v>
      </c>
      <c r="AA186" s="239" t="s">
        <v>1229</v>
      </c>
      <c r="AB186" s="244" t="s">
        <v>195</v>
      </c>
      <c r="AC186" s="244" t="s">
        <v>90</v>
      </c>
      <c r="AD186" s="215" t="s">
        <v>2217</v>
      </c>
      <c r="AE186" s="244" t="s">
        <v>469</v>
      </c>
      <c r="AF186" s="245" t="s">
        <v>2218</v>
      </c>
      <c r="AG186" s="240" t="s">
        <v>142</v>
      </c>
      <c r="AH186" s="240" t="s">
        <v>4736</v>
      </c>
      <c r="AI186" s="240" t="s">
        <v>2207</v>
      </c>
      <c r="AJ186" s="240" t="s">
        <v>4737</v>
      </c>
    </row>
    <row r="187" ht="15.0" hidden="1" customHeight="1">
      <c r="A187" s="239" t="s">
        <v>2172</v>
      </c>
      <c r="B187" s="239" t="s">
        <v>1052</v>
      </c>
      <c r="C187" s="239" t="s">
        <v>5505</v>
      </c>
      <c r="D187" s="239" t="s">
        <v>139</v>
      </c>
      <c r="E187" s="239" t="str">
        <f t="array" ref="E187">IFERROR(INDEX(REF_CODES!$B$8:$B$13,MATCH($D187,REF_CODES!$C$8:$C$13,0)),"")</f>
        <v>HB-COL</v>
      </c>
      <c r="F187" s="239" t="s">
        <v>5511</v>
      </c>
      <c r="G187" s="239" t="s">
        <v>4725</v>
      </c>
      <c r="H187" s="240" t="s">
        <v>160</v>
      </c>
      <c r="I187" s="242" t="s">
        <v>4836</v>
      </c>
      <c r="J187" s="242" t="s">
        <v>5375</v>
      </c>
      <c r="K187" s="242" t="s">
        <v>4727</v>
      </c>
      <c r="L187" s="239" t="s">
        <v>2252</v>
      </c>
      <c r="M187" s="241">
        <v>440.0</v>
      </c>
      <c r="N187" s="241">
        <v>625.0</v>
      </c>
      <c r="O187" s="241">
        <v>860.0</v>
      </c>
      <c r="P187" s="241" t="s">
        <v>2204</v>
      </c>
      <c r="Q187" s="286" t="s">
        <v>4727</v>
      </c>
      <c r="R187" s="241" t="s">
        <v>2204</v>
      </c>
      <c r="S187" s="239" t="s">
        <v>2204</v>
      </c>
      <c r="T187" s="239" t="s">
        <v>3637</v>
      </c>
      <c r="U187" s="242" t="s">
        <v>2208</v>
      </c>
      <c r="V187" s="242" t="s">
        <v>4791</v>
      </c>
      <c r="W187" s="242" t="s">
        <v>2340</v>
      </c>
      <c r="X187" s="242" t="s">
        <v>2334</v>
      </c>
      <c r="Y187" s="242" t="s">
        <v>4819</v>
      </c>
      <c r="Z187" s="239" t="s">
        <v>2204</v>
      </c>
      <c r="AA187" s="239" t="s">
        <v>1229</v>
      </c>
      <c r="AB187" s="244" t="s">
        <v>195</v>
      </c>
      <c r="AC187" s="244" t="s">
        <v>90</v>
      </c>
      <c r="AD187" s="215" t="s">
        <v>2217</v>
      </c>
      <c r="AE187" s="244" t="s">
        <v>469</v>
      </c>
      <c r="AF187" s="245" t="s">
        <v>2218</v>
      </c>
      <c r="AG187" s="240" t="s">
        <v>142</v>
      </c>
      <c r="AH187" s="240" t="s">
        <v>4736</v>
      </c>
      <c r="AI187" s="240" t="s">
        <v>2207</v>
      </c>
      <c r="AJ187" s="240" t="s">
        <v>4737</v>
      </c>
    </row>
    <row r="188" ht="15.0" hidden="1" customHeight="1">
      <c r="A188" s="239" t="s">
        <v>2172</v>
      </c>
      <c r="B188" s="239" t="s">
        <v>1052</v>
      </c>
      <c r="C188" s="239" t="s">
        <v>5521</v>
      </c>
      <c r="D188" s="239" t="s">
        <v>139</v>
      </c>
      <c r="E188" s="239" t="str">
        <f t="array" ref="E188">IFERROR(INDEX(REF_CODES!$B$8:$B$13,MATCH($D188,REF_CODES!$C$8:$C$13,0)),"")</f>
        <v>HB-COL</v>
      </c>
      <c r="F188" s="239" t="s">
        <v>5528</v>
      </c>
      <c r="G188" s="239" t="s">
        <v>4725</v>
      </c>
      <c r="H188" s="240" t="s">
        <v>160</v>
      </c>
      <c r="I188" s="242" t="s">
        <v>4836</v>
      </c>
      <c r="J188" s="242" t="s">
        <v>5375</v>
      </c>
      <c r="K188" s="242" t="s">
        <v>4727</v>
      </c>
      <c r="L188" s="239" t="s">
        <v>2252</v>
      </c>
      <c r="M188" s="241">
        <v>460.0</v>
      </c>
      <c r="N188" s="241">
        <v>650.0</v>
      </c>
      <c r="O188" s="241">
        <v>890.0</v>
      </c>
      <c r="P188" s="241" t="s">
        <v>2204</v>
      </c>
      <c r="Q188" s="286" t="s">
        <v>4727</v>
      </c>
      <c r="R188" s="241" t="s">
        <v>2204</v>
      </c>
      <c r="S188" s="239" t="s">
        <v>2204</v>
      </c>
      <c r="T188" s="284" t="s">
        <v>5534</v>
      </c>
      <c r="U188" s="242" t="s">
        <v>2208</v>
      </c>
      <c r="V188" s="242" t="s">
        <v>4791</v>
      </c>
      <c r="W188" s="242" t="s">
        <v>2340</v>
      </c>
      <c r="X188" s="242" t="s">
        <v>2334</v>
      </c>
      <c r="Y188" s="242" t="s">
        <v>4819</v>
      </c>
      <c r="Z188" s="239" t="s">
        <v>2204</v>
      </c>
      <c r="AA188" s="239" t="s">
        <v>1229</v>
      </c>
      <c r="AB188" s="244" t="s">
        <v>195</v>
      </c>
      <c r="AC188" s="244" t="s">
        <v>90</v>
      </c>
      <c r="AD188" s="215" t="s">
        <v>2217</v>
      </c>
      <c r="AE188" s="244" t="s">
        <v>469</v>
      </c>
      <c r="AF188" s="245" t="s">
        <v>2218</v>
      </c>
      <c r="AG188" s="240" t="s">
        <v>142</v>
      </c>
      <c r="AH188" s="240" t="s">
        <v>4736</v>
      </c>
      <c r="AI188" s="240" t="s">
        <v>2207</v>
      </c>
      <c r="AJ188" s="240" t="s">
        <v>4737</v>
      </c>
    </row>
    <row r="189" ht="15.0" hidden="1" customHeight="1">
      <c r="A189" s="239" t="s">
        <v>2172</v>
      </c>
      <c r="B189" s="239" t="s">
        <v>1052</v>
      </c>
      <c r="C189" s="239" t="s">
        <v>5540</v>
      </c>
      <c r="D189" s="239" t="s">
        <v>139</v>
      </c>
      <c r="E189" s="239" t="str">
        <f t="array" ref="E189">IFERROR(INDEX(REF_CODES!$B$8:$B$13,MATCH($D189,REF_CODES!$C$8:$C$13,0)),"")</f>
        <v>HB-COL</v>
      </c>
      <c r="F189" s="239" t="s">
        <v>5544</v>
      </c>
      <c r="G189" s="239" t="s">
        <v>4725</v>
      </c>
      <c r="H189" s="240" t="s">
        <v>160</v>
      </c>
      <c r="I189" s="242" t="s">
        <v>4836</v>
      </c>
      <c r="J189" s="242" t="s">
        <v>5375</v>
      </c>
      <c r="K189" s="242" t="s">
        <v>4727</v>
      </c>
      <c r="L189" s="239" t="s">
        <v>2252</v>
      </c>
      <c r="M189" s="241">
        <v>480.0</v>
      </c>
      <c r="N189" s="241">
        <v>675.0</v>
      </c>
      <c r="O189" s="241">
        <v>920.0</v>
      </c>
      <c r="P189" s="241" t="s">
        <v>2204</v>
      </c>
      <c r="Q189" s="286" t="s">
        <v>4727</v>
      </c>
      <c r="R189" s="241" t="s">
        <v>2204</v>
      </c>
      <c r="S189" s="239" t="s">
        <v>2204</v>
      </c>
      <c r="T189" s="239" t="s">
        <v>3637</v>
      </c>
      <c r="U189" s="242" t="s">
        <v>2208</v>
      </c>
      <c r="V189" s="242" t="s">
        <v>4791</v>
      </c>
      <c r="W189" s="242" t="s">
        <v>2340</v>
      </c>
      <c r="X189" s="242" t="s">
        <v>2334</v>
      </c>
      <c r="Y189" s="242" t="s">
        <v>4819</v>
      </c>
      <c r="Z189" s="239" t="s">
        <v>2204</v>
      </c>
      <c r="AA189" s="239" t="s">
        <v>1229</v>
      </c>
      <c r="AB189" s="244" t="s">
        <v>195</v>
      </c>
      <c r="AC189" s="244" t="s">
        <v>90</v>
      </c>
      <c r="AD189" s="215" t="s">
        <v>2217</v>
      </c>
      <c r="AE189" s="244" t="s">
        <v>469</v>
      </c>
      <c r="AF189" s="245" t="s">
        <v>2218</v>
      </c>
      <c r="AG189" s="240" t="s">
        <v>142</v>
      </c>
      <c r="AH189" s="240" t="s">
        <v>4736</v>
      </c>
      <c r="AI189" s="240" t="s">
        <v>2207</v>
      </c>
      <c r="AJ189" s="240" t="s">
        <v>4737</v>
      </c>
    </row>
    <row r="190" ht="15.0" hidden="1" customHeight="1">
      <c r="A190" s="239" t="s">
        <v>2172</v>
      </c>
      <c r="B190" s="239" t="s">
        <v>1052</v>
      </c>
      <c r="C190" s="239" t="s">
        <v>5554</v>
      </c>
      <c r="D190" s="239" t="s">
        <v>139</v>
      </c>
      <c r="E190" s="239" t="str">
        <f t="array" ref="E190">IFERROR(INDEX(REF_CODES!$B$8:$B$13,MATCH($D190,REF_CODES!$C$8:$C$13,0)),"")</f>
        <v>HB-COL</v>
      </c>
      <c r="F190" s="239" t="s">
        <v>5557</v>
      </c>
      <c r="G190" s="239" t="s">
        <v>4725</v>
      </c>
      <c r="H190" s="240" t="s">
        <v>160</v>
      </c>
      <c r="I190" s="242" t="s">
        <v>4836</v>
      </c>
      <c r="J190" s="242" t="s">
        <v>5375</v>
      </c>
      <c r="K190" s="242" t="s">
        <v>4727</v>
      </c>
      <c r="L190" s="239" t="s">
        <v>2252</v>
      </c>
      <c r="M190" s="241">
        <v>300.0</v>
      </c>
      <c r="N190" s="241">
        <v>450.0</v>
      </c>
      <c r="O190" s="241">
        <v>650.0</v>
      </c>
      <c r="P190" s="241" t="s">
        <v>2204</v>
      </c>
      <c r="Q190" s="286" t="s">
        <v>4727</v>
      </c>
      <c r="R190" s="241" t="s">
        <v>2204</v>
      </c>
      <c r="S190" s="239" t="s">
        <v>2204</v>
      </c>
      <c r="T190" s="239" t="s">
        <v>3637</v>
      </c>
      <c r="U190" s="242" t="s">
        <v>2208</v>
      </c>
      <c r="V190" s="242" t="s">
        <v>4791</v>
      </c>
      <c r="W190" s="242" t="s">
        <v>2340</v>
      </c>
      <c r="X190" s="242" t="s">
        <v>2334</v>
      </c>
      <c r="Y190" s="242" t="s">
        <v>4819</v>
      </c>
      <c r="Z190" s="239" t="s">
        <v>2204</v>
      </c>
      <c r="AA190" s="239" t="s">
        <v>1229</v>
      </c>
      <c r="AB190" s="244" t="s">
        <v>195</v>
      </c>
      <c r="AC190" s="244" t="s">
        <v>90</v>
      </c>
      <c r="AD190" s="215" t="s">
        <v>2217</v>
      </c>
      <c r="AE190" s="244" t="s">
        <v>469</v>
      </c>
      <c r="AF190" s="245" t="s">
        <v>2218</v>
      </c>
      <c r="AG190" s="240" t="s">
        <v>142</v>
      </c>
      <c r="AH190" s="240" t="s">
        <v>4736</v>
      </c>
      <c r="AI190" s="240" t="s">
        <v>2207</v>
      </c>
      <c r="AJ190" s="240" t="s">
        <v>4737</v>
      </c>
    </row>
    <row r="191" ht="15.0" hidden="1" customHeight="1">
      <c r="A191" s="239" t="s">
        <v>2172</v>
      </c>
      <c r="B191" s="239" t="s">
        <v>1052</v>
      </c>
      <c r="C191" s="239" t="s">
        <v>5561</v>
      </c>
      <c r="D191" s="239" t="s">
        <v>139</v>
      </c>
      <c r="E191" s="239" t="str">
        <f t="array" ref="E191">IFERROR(INDEX(REF_CODES!$B$8:$B$13,MATCH($D191,REF_CODES!$C$8:$C$13,0)),"")</f>
        <v>HB-COL</v>
      </c>
      <c r="F191" s="239" t="s">
        <v>5568</v>
      </c>
      <c r="G191" s="239" t="s">
        <v>4725</v>
      </c>
      <c r="H191" s="240" t="s">
        <v>160</v>
      </c>
      <c r="I191" s="242" t="s">
        <v>4836</v>
      </c>
      <c r="J191" s="242" t="s">
        <v>5375</v>
      </c>
      <c r="K191" s="242" t="s">
        <v>4727</v>
      </c>
      <c r="L191" s="239" t="s">
        <v>2252</v>
      </c>
      <c r="M191" s="241">
        <v>320.0</v>
      </c>
      <c r="N191" s="241">
        <v>475.0</v>
      </c>
      <c r="O191" s="241">
        <v>680.0</v>
      </c>
      <c r="P191" s="241" t="s">
        <v>2204</v>
      </c>
      <c r="Q191" s="286" t="s">
        <v>4727</v>
      </c>
      <c r="R191" s="241" t="s">
        <v>2204</v>
      </c>
      <c r="S191" s="239" t="s">
        <v>2204</v>
      </c>
      <c r="T191" s="284" t="s">
        <v>5576</v>
      </c>
      <c r="U191" s="242" t="s">
        <v>2208</v>
      </c>
      <c r="V191" s="242" t="s">
        <v>4791</v>
      </c>
      <c r="W191" s="242" t="s">
        <v>2340</v>
      </c>
      <c r="X191" s="242" t="s">
        <v>2334</v>
      </c>
      <c r="Y191" s="242" t="s">
        <v>4819</v>
      </c>
      <c r="Z191" s="239" t="s">
        <v>2204</v>
      </c>
      <c r="AA191" s="239" t="s">
        <v>1229</v>
      </c>
      <c r="AB191" s="244" t="s">
        <v>195</v>
      </c>
      <c r="AC191" s="244" t="s">
        <v>90</v>
      </c>
      <c r="AD191" s="215" t="s">
        <v>2217</v>
      </c>
      <c r="AE191" s="244" t="s">
        <v>469</v>
      </c>
      <c r="AF191" s="245" t="s">
        <v>2218</v>
      </c>
      <c r="AG191" s="240" t="s">
        <v>142</v>
      </c>
      <c r="AH191" s="240" t="s">
        <v>4736</v>
      </c>
      <c r="AI191" s="240" t="s">
        <v>2207</v>
      </c>
      <c r="AJ191" s="240" t="s">
        <v>4737</v>
      </c>
    </row>
    <row r="192" ht="15.0" hidden="1" customHeight="1">
      <c r="A192" s="239" t="s">
        <v>2172</v>
      </c>
      <c r="B192" s="239" t="s">
        <v>1052</v>
      </c>
      <c r="C192" s="239" t="s">
        <v>5582</v>
      </c>
      <c r="D192" s="239" t="s">
        <v>139</v>
      </c>
      <c r="E192" s="239" t="str">
        <f t="array" ref="E192">IFERROR(INDEX(REF_CODES!$B$8:$B$13,MATCH($D192,REF_CODES!$C$8:$C$13,0)),"")</f>
        <v>HB-COL</v>
      </c>
      <c r="F192" s="239" t="s">
        <v>5586</v>
      </c>
      <c r="G192" s="239" t="s">
        <v>4725</v>
      </c>
      <c r="H192" s="240" t="s">
        <v>160</v>
      </c>
      <c r="I192" s="242" t="s">
        <v>4836</v>
      </c>
      <c r="J192" s="242" t="s">
        <v>5375</v>
      </c>
      <c r="K192" s="242" t="s">
        <v>4727</v>
      </c>
      <c r="L192" s="239" t="s">
        <v>2252</v>
      </c>
      <c r="M192" s="241">
        <v>340.0</v>
      </c>
      <c r="N192" s="241">
        <v>500.0</v>
      </c>
      <c r="O192" s="241">
        <v>710.0</v>
      </c>
      <c r="P192" s="241" t="s">
        <v>2204</v>
      </c>
      <c r="Q192" s="286" t="s">
        <v>4727</v>
      </c>
      <c r="R192" s="241" t="s">
        <v>2204</v>
      </c>
      <c r="S192" s="239" t="s">
        <v>2204</v>
      </c>
      <c r="T192" s="239" t="s">
        <v>3637</v>
      </c>
      <c r="U192" s="242" t="s">
        <v>2208</v>
      </c>
      <c r="V192" s="242" t="s">
        <v>4791</v>
      </c>
      <c r="W192" s="242" t="s">
        <v>2340</v>
      </c>
      <c r="X192" s="242" t="s">
        <v>2334</v>
      </c>
      <c r="Y192" s="242" t="s">
        <v>4819</v>
      </c>
      <c r="Z192" s="239" t="s">
        <v>2204</v>
      </c>
      <c r="AA192" s="239" t="s">
        <v>1229</v>
      </c>
      <c r="AB192" s="244" t="s">
        <v>195</v>
      </c>
      <c r="AC192" s="244" t="s">
        <v>90</v>
      </c>
      <c r="AD192" s="215" t="s">
        <v>2217</v>
      </c>
      <c r="AE192" s="244" t="s">
        <v>469</v>
      </c>
      <c r="AF192" s="245" t="s">
        <v>2218</v>
      </c>
      <c r="AG192" s="240" t="s">
        <v>142</v>
      </c>
      <c r="AH192" s="240" t="s">
        <v>4736</v>
      </c>
      <c r="AI192" s="240" t="s">
        <v>2207</v>
      </c>
      <c r="AJ192" s="240" t="s">
        <v>4737</v>
      </c>
    </row>
    <row r="193" ht="15.0" hidden="1" customHeight="1">
      <c r="A193" s="239" t="s">
        <v>2172</v>
      </c>
      <c r="B193" s="239" t="s">
        <v>1052</v>
      </c>
      <c r="C193" s="239" t="s">
        <v>5595</v>
      </c>
      <c r="D193" s="239" t="s">
        <v>139</v>
      </c>
      <c r="E193" s="239" t="str">
        <f t="array" ref="E193">IFERROR(INDEX(REF_CODES!$B$8:$B$13,MATCH($D193,REF_CODES!$C$8:$C$13,0)),"")</f>
        <v>HB-COL</v>
      </c>
      <c r="F193" s="239" t="s">
        <v>5600</v>
      </c>
      <c r="G193" s="239" t="s">
        <v>4725</v>
      </c>
      <c r="H193" s="240" t="s">
        <v>160</v>
      </c>
      <c r="I193" s="242" t="s">
        <v>4836</v>
      </c>
      <c r="J193" s="242" t="s">
        <v>5375</v>
      </c>
      <c r="K193" s="242" t="s">
        <v>4727</v>
      </c>
      <c r="L193" s="239" t="s">
        <v>2252</v>
      </c>
      <c r="M193" s="241">
        <v>360.0</v>
      </c>
      <c r="N193" s="241">
        <v>525.0</v>
      </c>
      <c r="O193" s="241">
        <v>740.0</v>
      </c>
      <c r="P193" s="241" t="s">
        <v>2204</v>
      </c>
      <c r="Q193" s="286" t="s">
        <v>4727</v>
      </c>
      <c r="R193" s="241" t="s">
        <v>2204</v>
      </c>
      <c r="S193" s="239" t="s">
        <v>2204</v>
      </c>
      <c r="T193" s="239" t="s">
        <v>3637</v>
      </c>
      <c r="U193" s="242" t="s">
        <v>2208</v>
      </c>
      <c r="V193" s="242" t="s">
        <v>4791</v>
      </c>
      <c r="W193" s="242" t="s">
        <v>2340</v>
      </c>
      <c r="X193" s="242" t="s">
        <v>2334</v>
      </c>
      <c r="Y193" s="242" t="s">
        <v>4819</v>
      </c>
      <c r="Z193" s="239" t="s">
        <v>2204</v>
      </c>
      <c r="AA193" s="239" t="s">
        <v>1229</v>
      </c>
      <c r="AB193" s="244" t="s">
        <v>195</v>
      </c>
      <c r="AC193" s="244" t="s">
        <v>90</v>
      </c>
      <c r="AD193" s="215" t="s">
        <v>2217</v>
      </c>
      <c r="AE193" s="244" t="s">
        <v>469</v>
      </c>
      <c r="AF193" s="245" t="s">
        <v>2218</v>
      </c>
      <c r="AG193" s="240" t="s">
        <v>142</v>
      </c>
      <c r="AH193" s="240" t="s">
        <v>4736</v>
      </c>
      <c r="AI193" s="240" t="s">
        <v>2207</v>
      </c>
      <c r="AJ193" s="240" t="s">
        <v>4737</v>
      </c>
    </row>
    <row r="194" ht="15.0" hidden="1" customHeight="1">
      <c r="A194" s="239" t="s">
        <v>2172</v>
      </c>
      <c r="B194" s="239" t="s">
        <v>1052</v>
      </c>
      <c r="C194" s="239" t="s">
        <v>5609</v>
      </c>
      <c r="D194" s="239" t="s">
        <v>139</v>
      </c>
      <c r="E194" s="239" t="str">
        <f t="array" ref="E194">IFERROR(INDEX(REF_CODES!$B$8:$B$13,MATCH($D194,REF_CODES!$C$8:$C$13,0)),"")</f>
        <v>HB-COL</v>
      </c>
      <c r="F194" s="239" t="s">
        <v>5612</v>
      </c>
      <c r="G194" s="239" t="s">
        <v>4725</v>
      </c>
      <c r="H194" s="240" t="s">
        <v>160</v>
      </c>
      <c r="I194" s="242" t="s">
        <v>4836</v>
      </c>
      <c r="J194" s="242" t="s">
        <v>5375</v>
      </c>
      <c r="K194" s="242" t="s">
        <v>4727</v>
      </c>
      <c r="L194" s="239" t="s">
        <v>2252</v>
      </c>
      <c r="M194" s="241">
        <v>380.0</v>
      </c>
      <c r="N194" s="241">
        <v>550.0</v>
      </c>
      <c r="O194" s="241">
        <v>770.0</v>
      </c>
      <c r="P194" s="241" t="s">
        <v>2204</v>
      </c>
      <c r="Q194" s="286" t="s">
        <v>4727</v>
      </c>
      <c r="R194" s="241" t="s">
        <v>2204</v>
      </c>
      <c r="S194" s="239" t="s">
        <v>2204</v>
      </c>
      <c r="T194" s="239" t="s">
        <v>3637</v>
      </c>
      <c r="U194" s="242" t="s">
        <v>2208</v>
      </c>
      <c r="V194" s="242" t="s">
        <v>4791</v>
      </c>
      <c r="W194" s="242" t="s">
        <v>2340</v>
      </c>
      <c r="X194" s="242" t="s">
        <v>2334</v>
      </c>
      <c r="Y194" s="242" t="s">
        <v>4819</v>
      </c>
      <c r="Z194" s="239" t="s">
        <v>2204</v>
      </c>
      <c r="AA194" s="239" t="s">
        <v>1229</v>
      </c>
      <c r="AB194" s="244" t="s">
        <v>195</v>
      </c>
      <c r="AC194" s="244" t="s">
        <v>90</v>
      </c>
      <c r="AD194" s="215" t="s">
        <v>2217</v>
      </c>
      <c r="AE194" s="244" t="s">
        <v>469</v>
      </c>
      <c r="AF194" s="245" t="s">
        <v>2218</v>
      </c>
      <c r="AG194" s="240" t="s">
        <v>142</v>
      </c>
      <c r="AH194" s="240" t="s">
        <v>4736</v>
      </c>
      <c r="AI194" s="240" t="s">
        <v>2207</v>
      </c>
      <c r="AJ194" s="240" t="s">
        <v>4737</v>
      </c>
    </row>
    <row r="195" ht="15.0" hidden="1" customHeight="1">
      <c r="A195" s="239" t="s">
        <v>2172</v>
      </c>
      <c r="B195" s="239" t="s">
        <v>1052</v>
      </c>
      <c r="C195" s="239" t="s">
        <v>5618</v>
      </c>
      <c r="D195" s="239" t="s">
        <v>139</v>
      </c>
      <c r="E195" s="239" t="str">
        <f t="array" ref="E195">IFERROR(INDEX(REF_CODES!$B$8:$B$13,MATCH($D195,REF_CODES!$C$8:$C$13,0)),"")</f>
        <v>HB-COL</v>
      </c>
      <c r="F195" s="239" t="s">
        <v>5625</v>
      </c>
      <c r="G195" s="239" t="s">
        <v>4725</v>
      </c>
      <c r="H195" s="240" t="s">
        <v>160</v>
      </c>
      <c r="I195" s="242" t="s">
        <v>4836</v>
      </c>
      <c r="J195" s="242" t="s">
        <v>5375</v>
      </c>
      <c r="K195" s="242" t="s">
        <v>4727</v>
      </c>
      <c r="L195" s="239" t="s">
        <v>2252</v>
      </c>
      <c r="M195" s="241">
        <v>400.0</v>
      </c>
      <c r="N195" s="241">
        <v>575.0</v>
      </c>
      <c r="O195" s="241">
        <v>800.0</v>
      </c>
      <c r="P195" s="241" t="s">
        <v>2204</v>
      </c>
      <c r="Q195" s="286" t="s">
        <v>4727</v>
      </c>
      <c r="R195" s="241" t="s">
        <v>2204</v>
      </c>
      <c r="S195" s="239" t="s">
        <v>2204</v>
      </c>
      <c r="T195" s="239" t="s">
        <v>3637</v>
      </c>
      <c r="U195" s="242" t="s">
        <v>2208</v>
      </c>
      <c r="V195" s="242" t="s">
        <v>4791</v>
      </c>
      <c r="W195" s="242" t="s">
        <v>2340</v>
      </c>
      <c r="X195" s="242" t="s">
        <v>2334</v>
      </c>
      <c r="Y195" s="242" t="s">
        <v>4819</v>
      </c>
      <c r="Z195" s="239" t="s">
        <v>2204</v>
      </c>
      <c r="AA195" s="239" t="s">
        <v>1229</v>
      </c>
      <c r="AB195" s="244" t="s">
        <v>195</v>
      </c>
      <c r="AC195" s="244" t="s">
        <v>90</v>
      </c>
      <c r="AD195" s="215" t="s">
        <v>2217</v>
      </c>
      <c r="AE195" s="244" t="s">
        <v>469</v>
      </c>
      <c r="AF195" s="245" t="s">
        <v>2218</v>
      </c>
      <c r="AG195" s="240" t="s">
        <v>142</v>
      </c>
      <c r="AH195" s="240" t="s">
        <v>4736</v>
      </c>
      <c r="AI195" s="240" t="s">
        <v>2207</v>
      </c>
      <c r="AJ195" s="240" t="s">
        <v>4737</v>
      </c>
    </row>
    <row r="196" ht="15.0" hidden="1" customHeight="1">
      <c r="A196" s="239" t="s">
        <v>2172</v>
      </c>
      <c r="B196" s="239" t="s">
        <v>1052</v>
      </c>
      <c r="C196" s="239" t="s">
        <v>5633</v>
      </c>
      <c r="D196" s="239" t="s">
        <v>139</v>
      </c>
      <c r="E196" s="239" t="str">
        <f t="array" ref="E196">IFERROR(INDEX(REF_CODES!$B$8:$B$13,MATCH($D196,REF_CODES!$C$8:$C$13,0)),"")</f>
        <v>HB-COL</v>
      </c>
      <c r="F196" s="239" t="s">
        <v>5639</v>
      </c>
      <c r="G196" s="239" t="s">
        <v>4725</v>
      </c>
      <c r="H196" s="240" t="s">
        <v>160</v>
      </c>
      <c r="I196" s="242" t="s">
        <v>4836</v>
      </c>
      <c r="J196" s="242" t="s">
        <v>5375</v>
      </c>
      <c r="K196" s="242" t="s">
        <v>4727</v>
      </c>
      <c r="L196" s="239" t="s">
        <v>2252</v>
      </c>
      <c r="M196" s="241">
        <v>420.0</v>
      </c>
      <c r="N196" s="241">
        <v>600.0</v>
      </c>
      <c r="O196" s="241">
        <v>830.0</v>
      </c>
      <c r="P196" s="241" t="s">
        <v>2204</v>
      </c>
      <c r="Q196" s="286" t="s">
        <v>4727</v>
      </c>
      <c r="R196" s="241" t="s">
        <v>2204</v>
      </c>
      <c r="S196" s="239" t="s">
        <v>2204</v>
      </c>
      <c r="T196" s="239" t="s">
        <v>3637</v>
      </c>
      <c r="U196" s="242" t="s">
        <v>2208</v>
      </c>
      <c r="V196" s="242" t="s">
        <v>4791</v>
      </c>
      <c r="W196" s="242" t="s">
        <v>2340</v>
      </c>
      <c r="X196" s="242" t="s">
        <v>2334</v>
      </c>
      <c r="Y196" s="242" t="s">
        <v>4819</v>
      </c>
      <c r="Z196" s="239" t="s">
        <v>2204</v>
      </c>
      <c r="AA196" s="239" t="s">
        <v>1229</v>
      </c>
      <c r="AB196" s="244" t="s">
        <v>195</v>
      </c>
      <c r="AC196" s="244" t="s">
        <v>90</v>
      </c>
      <c r="AD196" s="215" t="s">
        <v>2217</v>
      </c>
      <c r="AE196" s="244" t="s">
        <v>469</v>
      </c>
      <c r="AF196" s="245" t="s">
        <v>2218</v>
      </c>
      <c r="AG196" s="240" t="s">
        <v>142</v>
      </c>
      <c r="AH196" s="240" t="s">
        <v>4736</v>
      </c>
      <c r="AI196" s="240" t="s">
        <v>2207</v>
      </c>
      <c r="AJ196" s="240" t="s">
        <v>4737</v>
      </c>
    </row>
    <row r="197" ht="15.0" hidden="1" customHeight="1">
      <c r="A197" s="239" t="s">
        <v>2172</v>
      </c>
      <c r="B197" s="239" t="s">
        <v>1052</v>
      </c>
      <c r="C197" s="239" t="s">
        <v>5650</v>
      </c>
      <c r="D197" s="239" t="s">
        <v>139</v>
      </c>
      <c r="E197" s="239" t="str">
        <f t="array" ref="E197">IFERROR(INDEX(REF_CODES!$B$8:$B$13,MATCH($D197,REF_CODES!$C$8:$C$13,0)),"")</f>
        <v>HB-COL</v>
      </c>
      <c r="F197" s="239" t="s">
        <v>5655</v>
      </c>
      <c r="G197" s="239" t="s">
        <v>4725</v>
      </c>
      <c r="H197" s="240" t="s">
        <v>160</v>
      </c>
      <c r="I197" s="242" t="s">
        <v>4836</v>
      </c>
      <c r="J197" s="242" t="s">
        <v>5375</v>
      </c>
      <c r="K197" s="242" t="s">
        <v>4727</v>
      </c>
      <c r="L197" s="239" t="s">
        <v>2252</v>
      </c>
      <c r="M197" s="241">
        <v>440.0</v>
      </c>
      <c r="N197" s="241">
        <v>625.0</v>
      </c>
      <c r="O197" s="241">
        <v>860.0</v>
      </c>
      <c r="P197" s="241" t="s">
        <v>2204</v>
      </c>
      <c r="Q197" s="286" t="s">
        <v>4727</v>
      </c>
      <c r="R197" s="241" t="s">
        <v>2204</v>
      </c>
      <c r="S197" s="239" t="s">
        <v>2204</v>
      </c>
      <c r="T197" s="239" t="s">
        <v>3637</v>
      </c>
      <c r="U197" s="242" t="s">
        <v>2208</v>
      </c>
      <c r="V197" s="242" t="s">
        <v>4791</v>
      </c>
      <c r="W197" s="242" t="s">
        <v>2340</v>
      </c>
      <c r="X197" s="242" t="s">
        <v>2334</v>
      </c>
      <c r="Y197" s="242" t="s">
        <v>4819</v>
      </c>
      <c r="Z197" s="239" t="s">
        <v>2204</v>
      </c>
      <c r="AA197" s="239" t="s">
        <v>1229</v>
      </c>
      <c r="AB197" s="244" t="s">
        <v>195</v>
      </c>
      <c r="AC197" s="244" t="s">
        <v>90</v>
      </c>
      <c r="AD197" s="215" t="s">
        <v>2217</v>
      </c>
      <c r="AE197" s="244" t="s">
        <v>469</v>
      </c>
      <c r="AF197" s="245" t="s">
        <v>2218</v>
      </c>
      <c r="AG197" s="240" t="s">
        <v>142</v>
      </c>
      <c r="AH197" s="240" t="s">
        <v>4736</v>
      </c>
      <c r="AI197" s="240" t="s">
        <v>2207</v>
      </c>
      <c r="AJ197" s="240" t="s">
        <v>4737</v>
      </c>
    </row>
    <row r="198" ht="15.0" hidden="1" customHeight="1">
      <c r="A198" s="239" t="s">
        <v>2172</v>
      </c>
      <c r="B198" s="239" t="s">
        <v>1052</v>
      </c>
      <c r="C198" s="239" t="s">
        <v>5666</v>
      </c>
      <c r="D198" s="239" t="s">
        <v>139</v>
      </c>
      <c r="E198" s="239" t="str">
        <f t="array" ref="E198">IFERROR(INDEX(REF_CODES!$B$8:$B$13,MATCH($D198,REF_CODES!$C$8:$C$13,0)),"")</f>
        <v>HB-COL</v>
      </c>
      <c r="F198" s="239" t="s">
        <v>5672</v>
      </c>
      <c r="G198" s="239" t="s">
        <v>4725</v>
      </c>
      <c r="H198" s="240" t="s">
        <v>160</v>
      </c>
      <c r="I198" s="242" t="s">
        <v>4836</v>
      </c>
      <c r="J198" s="242" t="s">
        <v>5375</v>
      </c>
      <c r="K198" s="242" t="s">
        <v>4727</v>
      </c>
      <c r="L198" s="239" t="s">
        <v>2252</v>
      </c>
      <c r="M198" s="241">
        <v>460.0</v>
      </c>
      <c r="N198" s="241">
        <v>650.0</v>
      </c>
      <c r="O198" s="241">
        <v>890.0</v>
      </c>
      <c r="P198" s="241" t="s">
        <v>2204</v>
      </c>
      <c r="Q198" s="286" t="s">
        <v>4727</v>
      </c>
      <c r="R198" s="241" t="s">
        <v>2204</v>
      </c>
      <c r="S198" s="239" t="s">
        <v>2204</v>
      </c>
      <c r="T198" s="239" t="s">
        <v>3637</v>
      </c>
      <c r="U198" s="242" t="s">
        <v>2208</v>
      </c>
      <c r="V198" s="242" t="s">
        <v>4791</v>
      </c>
      <c r="W198" s="242" t="s">
        <v>2340</v>
      </c>
      <c r="X198" s="242" t="s">
        <v>2334</v>
      </c>
      <c r="Y198" s="242" t="s">
        <v>4819</v>
      </c>
      <c r="Z198" s="239" t="s">
        <v>2204</v>
      </c>
      <c r="AA198" s="239" t="s">
        <v>1229</v>
      </c>
      <c r="AB198" s="244" t="s">
        <v>195</v>
      </c>
      <c r="AC198" s="244" t="s">
        <v>90</v>
      </c>
      <c r="AD198" s="215" t="s">
        <v>2217</v>
      </c>
      <c r="AE198" s="244" t="s">
        <v>469</v>
      </c>
      <c r="AF198" s="245" t="s">
        <v>2218</v>
      </c>
      <c r="AG198" s="240" t="s">
        <v>142</v>
      </c>
      <c r="AH198" s="240" t="s">
        <v>4736</v>
      </c>
      <c r="AI198" s="240" t="s">
        <v>2207</v>
      </c>
      <c r="AJ198" s="240" t="s">
        <v>4737</v>
      </c>
    </row>
    <row r="199" ht="15.0" hidden="1" customHeight="1">
      <c r="A199" s="239" t="s">
        <v>2172</v>
      </c>
      <c r="B199" s="239" t="s">
        <v>1052</v>
      </c>
      <c r="C199" s="239" t="s">
        <v>5685</v>
      </c>
      <c r="D199" s="239" t="s">
        <v>139</v>
      </c>
      <c r="E199" s="239" t="str">
        <f t="array" ref="E199">IFERROR(INDEX(REF_CODES!$B$8:$B$13,MATCH($D199,REF_CODES!$C$8:$C$13,0)),"")</f>
        <v>HB-COL</v>
      </c>
      <c r="F199" s="239" t="s">
        <v>5688</v>
      </c>
      <c r="G199" s="239" t="s">
        <v>4725</v>
      </c>
      <c r="H199" s="240" t="s">
        <v>160</v>
      </c>
      <c r="I199" s="242" t="s">
        <v>4836</v>
      </c>
      <c r="J199" s="242" t="s">
        <v>5375</v>
      </c>
      <c r="K199" s="242" t="s">
        <v>4727</v>
      </c>
      <c r="L199" s="239" t="s">
        <v>2252</v>
      </c>
      <c r="M199" s="241">
        <v>480.0</v>
      </c>
      <c r="N199" s="241">
        <v>675.0</v>
      </c>
      <c r="O199" s="241">
        <v>920.0</v>
      </c>
      <c r="P199" s="241" t="s">
        <v>2204</v>
      </c>
      <c r="Q199" s="286" t="s">
        <v>4727</v>
      </c>
      <c r="R199" s="241" t="s">
        <v>2204</v>
      </c>
      <c r="S199" s="239" t="s">
        <v>2204</v>
      </c>
      <c r="T199" s="239" t="s">
        <v>3637</v>
      </c>
      <c r="U199" s="242" t="s">
        <v>2208</v>
      </c>
      <c r="V199" s="242" t="s">
        <v>4791</v>
      </c>
      <c r="W199" s="242" t="s">
        <v>2340</v>
      </c>
      <c r="X199" s="242" t="s">
        <v>2334</v>
      </c>
      <c r="Y199" s="242" t="s">
        <v>4819</v>
      </c>
      <c r="Z199" s="239" t="s">
        <v>2204</v>
      </c>
      <c r="AA199" s="239" t="s">
        <v>1229</v>
      </c>
      <c r="AB199" s="244" t="s">
        <v>195</v>
      </c>
      <c r="AC199" s="244" t="s">
        <v>90</v>
      </c>
      <c r="AD199" s="215" t="s">
        <v>2217</v>
      </c>
      <c r="AE199" s="244" t="s">
        <v>469</v>
      </c>
      <c r="AF199" s="245" t="s">
        <v>2218</v>
      </c>
      <c r="AG199" s="240" t="s">
        <v>142</v>
      </c>
      <c r="AH199" s="240" t="s">
        <v>4736</v>
      </c>
      <c r="AI199" s="240" t="s">
        <v>2207</v>
      </c>
      <c r="AJ199" s="240" t="s">
        <v>4737</v>
      </c>
    </row>
    <row r="200" ht="15.0" hidden="1" customHeight="1">
      <c r="A200" s="239" t="s">
        <v>2172</v>
      </c>
      <c r="B200" s="239" t="s">
        <v>1052</v>
      </c>
      <c r="C200" s="239" t="s">
        <v>5696</v>
      </c>
      <c r="D200" s="239" t="s">
        <v>139</v>
      </c>
      <c r="E200" s="239" t="str">
        <f t="array" ref="E200">IFERROR(INDEX(REF_CODES!$B$8:$B$13,MATCH($D200,REF_CODES!$C$8:$C$13,0)),"")</f>
        <v>HB-COL</v>
      </c>
      <c r="F200" s="239" t="s">
        <v>5700</v>
      </c>
      <c r="G200" s="239" t="s">
        <v>4725</v>
      </c>
      <c r="H200" s="240" t="s">
        <v>160</v>
      </c>
      <c r="I200" s="242" t="s">
        <v>4836</v>
      </c>
      <c r="J200" s="242" t="s">
        <v>5375</v>
      </c>
      <c r="K200" s="242" t="s">
        <v>4727</v>
      </c>
      <c r="L200" s="239" t="s">
        <v>2252</v>
      </c>
      <c r="M200" s="241">
        <v>300.0</v>
      </c>
      <c r="N200" s="241">
        <v>450.0</v>
      </c>
      <c r="O200" s="241">
        <v>650.0</v>
      </c>
      <c r="P200" s="241" t="s">
        <v>2204</v>
      </c>
      <c r="Q200" s="286" t="s">
        <v>4727</v>
      </c>
      <c r="R200" s="241" t="s">
        <v>2204</v>
      </c>
      <c r="S200" s="239" t="s">
        <v>2204</v>
      </c>
      <c r="T200" s="239" t="s">
        <v>3637</v>
      </c>
      <c r="U200" s="242" t="s">
        <v>2208</v>
      </c>
      <c r="V200" s="242" t="s">
        <v>4791</v>
      </c>
      <c r="W200" s="242" t="s">
        <v>2340</v>
      </c>
      <c r="X200" s="242" t="s">
        <v>2334</v>
      </c>
      <c r="Y200" s="242" t="s">
        <v>4819</v>
      </c>
      <c r="Z200" s="239" t="s">
        <v>2204</v>
      </c>
      <c r="AA200" s="239" t="s">
        <v>1229</v>
      </c>
      <c r="AB200" s="244" t="s">
        <v>195</v>
      </c>
      <c r="AC200" s="244" t="s">
        <v>90</v>
      </c>
      <c r="AD200" s="215" t="s">
        <v>2217</v>
      </c>
      <c r="AE200" s="244" t="s">
        <v>469</v>
      </c>
      <c r="AF200" s="245" t="s">
        <v>2218</v>
      </c>
      <c r="AG200" s="240" t="s">
        <v>142</v>
      </c>
      <c r="AH200" s="240" t="s">
        <v>4736</v>
      </c>
      <c r="AI200" s="240" t="s">
        <v>2207</v>
      </c>
      <c r="AJ200" s="240" t="s">
        <v>4737</v>
      </c>
    </row>
    <row r="201" ht="15.0" hidden="1" customHeight="1">
      <c r="A201" s="239" t="s">
        <v>2172</v>
      </c>
      <c r="B201" s="239" t="s">
        <v>1052</v>
      </c>
      <c r="C201" s="239" t="s">
        <v>5707</v>
      </c>
      <c r="D201" s="239" t="s">
        <v>139</v>
      </c>
      <c r="E201" s="239" t="str">
        <f t="array" ref="E201">IFERROR(INDEX(REF_CODES!$B$8:$B$13,MATCH($D201,REF_CODES!$C$8:$C$13,0)),"")</f>
        <v>HB-COL</v>
      </c>
      <c r="F201" s="239" t="s">
        <v>5712</v>
      </c>
      <c r="G201" s="239" t="s">
        <v>4725</v>
      </c>
      <c r="H201" s="240" t="s">
        <v>160</v>
      </c>
      <c r="I201" s="242" t="s">
        <v>4836</v>
      </c>
      <c r="J201" s="242" t="s">
        <v>5375</v>
      </c>
      <c r="K201" s="242" t="s">
        <v>4727</v>
      </c>
      <c r="L201" s="239" t="s">
        <v>2252</v>
      </c>
      <c r="M201" s="241">
        <v>320.0</v>
      </c>
      <c r="N201" s="241">
        <v>475.0</v>
      </c>
      <c r="O201" s="241">
        <v>680.0</v>
      </c>
      <c r="P201" s="241" t="s">
        <v>2204</v>
      </c>
      <c r="Q201" s="286" t="s">
        <v>4727</v>
      </c>
      <c r="R201" s="241" t="s">
        <v>2204</v>
      </c>
      <c r="S201" s="239" t="s">
        <v>2204</v>
      </c>
      <c r="T201" s="239" t="s">
        <v>3637</v>
      </c>
      <c r="U201" s="242" t="s">
        <v>2208</v>
      </c>
      <c r="V201" s="242" t="s">
        <v>4791</v>
      </c>
      <c r="W201" s="242" t="s">
        <v>2340</v>
      </c>
      <c r="X201" s="242" t="s">
        <v>2334</v>
      </c>
      <c r="Y201" s="242" t="s">
        <v>4819</v>
      </c>
      <c r="Z201" s="239" t="s">
        <v>2204</v>
      </c>
      <c r="AA201" s="239" t="s">
        <v>1229</v>
      </c>
      <c r="AB201" s="244" t="s">
        <v>195</v>
      </c>
      <c r="AC201" s="244" t="s">
        <v>90</v>
      </c>
      <c r="AD201" s="215" t="s">
        <v>2217</v>
      </c>
      <c r="AE201" s="244" t="s">
        <v>469</v>
      </c>
      <c r="AF201" s="245" t="s">
        <v>2218</v>
      </c>
      <c r="AG201" s="240" t="s">
        <v>142</v>
      </c>
      <c r="AH201" s="240" t="s">
        <v>4736</v>
      </c>
      <c r="AI201" s="240" t="s">
        <v>2207</v>
      </c>
      <c r="AJ201" s="240" t="s">
        <v>4737</v>
      </c>
    </row>
    <row r="202" ht="15.0" hidden="1" customHeight="1">
      <c r="A202" s="239" t="s">
        <v>2172</v>
      </c>
      <c r="B202" s="239" t="s">
        <v>1052</v>
      </c>
      <c r="C202" s="239" t="s">
        <v>5720</v>
      </c>
      <c r="D202" s="239" t="s">
        <v>139</v>
      </c>
      <c r="E202" s="239" t="str">
        <f t="array" ref="E202">IFERROR(INDEX(REF_CODES!$B$8:$B$13,MATCH($D202,REF_CODES!$C$8:$C$13,0)),"")</f>
        <v>HB-COL</v>
      </c>
      <c r="F202" s="239" t="s">
        <v>5725</v>
      </c>
      <c r="G202" s="239" t="s">
        <v>4725</v>
      </c>
      <c r="H202" s="240" t="s">
        <v>160</v>
      </c>
      <c r="I202" s="242" t="s">
        <v>4836</v>
      </c>
      <c r="J202" s="242" t="s">
        <v>5375</v>
      </c>
      <c r="K202" s="242" t="s">
        <v>4727</v>
      </c>
      <c r="L202" s="239" t="s">
        <v>2252</v>
      </c>
      <c r="M202" s="241">
        <v>340.0</v>
      </c>
      <c r="N202" s="241">
        <v>500.0</v>
      </c>
      <c r="O202" s="241">
        <v>710.0</v>
      </c>
      <c r="P202" s="241" t="s">
        <v>2204</v>
      </c>
      <c r="Q202" s="286" t="s">
        <v>4727</v>
      </c>
      <c r="R202" s="241" t="s">
        <v>2204</v>
      </c>
      <c r="S202" s="239" t="s">
        <v>2204</v>
      </c>
      <c r="T202" s="239" t="s">
        <v>3637</v>
      </c>
      <c r="U202" s="242" t="s">
        <v>2208</v>
      </c>
      <c r="V202" s="242" t="s">
        <v>4791</v>
      </c>
      <c r="W202" s="242" t="s">
        <v>2340</v>
      </c>
      <c r="X202" s="242" t="s">
        <v>2334</v>
      </c>
      <c r="Y202" s="242" t="s">
        <v>4819</v>
      </c>
      <c r="Z202" s="239" t="s">
        <v>2204</v>
      </c>
      <c r="AA202" s="239" t="s">
        <v>1229</v>
      </c>
      <c r="AB202" s="244" t="s">
        <v>195</v>
      </c>
      <c r="AC202" s="244" t="s">
        <v>90</v>
      </c>
      <c r="AD202" s="215" t="s">
        <v>2217</v>
      </c>
      <c r="AE202" s="244" t="s">
        <v>469</v>
      </c>
      <c r="AF202" s="245" t="s">
        <v>2218</v>
      </c>
      <c r="AG202" s="240" t="s">
        <v>142</v>
      </c>
      <c r="AH202" s="240" t="s">
        <v>4736</v>
      </c>
      <c r="AI202" s="240" t="s">
        <v>2207</v>
      </c>
      <c r="AJ202" s="240" t="s">
        <v>4737</v>
      </c>
    </row>
    <row r="203" ht="15.0" hidden="1" customHeight="1">
      <c r="A203" s="239" t="s">
        <v>2172</v>
      </c>
      <c r="B203" s="239" t="s">
        <v>1052</v>
      </c>
      <c r="C203" s="239" t="s">
        <v>5733</v>
      </c>
      <c r="D203" s="239" t="s">
        <v>139</v>
      </c>
      <c r="E203" s="239" t="str">
        <f t="array" ref="E203">IFERROR(INDEX(REF_CODES!$B$8:$B$13,MATCH($D203,REF_CODES!$C$8:$C$13,0)),"")</f>
        <v>HB-COL</v>
      </c>
      <c r="F203" s="239" t="s">
        <v>5741</v>
      </c>
      <c r="G203" s="239" t="s">
        <v>4725</v>
      </c>
      <c r="H203" s="240" t="s">
        <v>160</v>
      </c>
      <c r="I203" s="242" t="s">
        <v>4836</v>
      </c>
      <c r="J203" s="242" t="s">
        <v>5375</v>
      </c>
      <c r="K203" s="242" t="s">
        <v>4727</v>
      </c>
      <c r="L203" s="239" t="s">
        <v>2252</v>
      </c>
      <c r="M203" s="241">
        <v>360.0</v>
      </c>
      <c r="N203" s="241">
        <v>525.0</v>
      </c>
      <c r="O203" s="241">
        <v>740.0</v>
      </c>
      <c r="P203" s="241" t="s">
        <v>2204</v>
      </c>
      <c r="Q203" s="286" t="s">
        <v>4727</v>
      </c>
      <c r="R203" s="241" t="s">
        <v>2204</v>
      </c>
      <c r="S203" s="239" t="s">
        <v>2204</v>
      </c>
      <c r="T203" s="239" t="s">
        <v>3637</v>
      </c>
      <c r="U203" s="242" t="s">
        <v>2208</v>
      </c>
      <c r="V203" s="242" t="s">
        <v>4791</v>
      </c>
      <c r="W203" s="242" t="s">
        <v>2340</v>
      </c>
      <c r="X203" s="242" t="s">
        <v>2334</v>
      </c>
      <c r="Y203" s="242" t="s">
        <v>4819</v>
      </c>
      <c r="Z203" s="239" t="s">
        <v>2204</v>
      </c>
      <c r="AA203" s="239" t="s">
        <v>1229</v>
      </c>
      <c r="AB203" s="244" t="s">
        <v>195</v>
      </c>
      <c r="AC203" s="244" t="s">
        <v>90</v>
      </c>
      <c r="AD203" s="215" t="s">
        <v>2217</v>
      </c>
      <c r="AE203" s="244" t="s">
        <v>469</v>
      </c>
      <c r="AF203" s="245" t="s">
        <v>2218</v>
      </c>
      <c r="AG203" s="240" t="s">
        <v>142</v>
      </c>
      <c r="AH203" s="240" t="s">
        <v>4736</v>
      </c>
      <c r="AI203" s="240" t="s">
        <v>2207</v>
      </c>
      <c r="AJ203" s="240" t="s">
        <v>4737</v>
      </c>
    </row>
    <row r="204" ht="15.0" hidden="1" customHeight="1">
      <c r="A204" s="239" t="s">
        <v>2172</v>
      </c>
      <c r="B204" s="239" t="s">
        <v>1052</v>
      </c>
      <c r="C204" s="239" t="s">
        <v>5763</v>
      </c>
      <c r="D204" s="239" t="s">
        <v>139</v>
      </c>
      <c r="E204" s="239" t="str">
        <f t="array" ref="E204">IFERROR(INDEX(REF_CODES!$B$8:$B$13,MATCH($D204,REF_CODES!$C$8:$C$13,0)),"")</f>
        <v>HB-COL</v>
      </c>
      <c r="F204" s="239" t="s">
        <v>5771</v>
      </c>
      <c r="G204" s="239" t="s">
        <v>4725</v>
      </c>
      <c r="H204" s="240" t="s">
        <v>160</v>
      </c>
      <c r="I204" s="242" t="s">
        <v>4836</v>
      </c>
      <c r="J204" s="242" t="s">
        <v>5375</v>
      </c>
      <c r="K204" s="242" t="s">
        <v>4727</v>
      </c>
      <c r="L204" s="239" t="s">
        <v>2252</v>
      </c>
      <c r="M204" s="241">
        <v>380.0</v>
      </c>
      <c r="N204" s="241">
        <v>550.0</v>
      </c>
      <c r="O204" s="241">
        <v>770.0</v>
      </c>
      <c r="P204" s="241" t="s">
        <v>2204</v>
      </c>
      <c r="Q204" s="286" t="s">
        <v>4727</v>
      </c>
      <c r="R204" s="241" t="s">
        <v>2204</v>
      </c>
      <c r="S204" s="239" t="s">
        <v>2204</v>
      </c>
      <c r="T204" s="239" t="s">
        <v>3637</v>
      </c>
      <c r="U204" s="242" t="s">
        <v>2208</v>
      </c>
      <c r="V204" s="242" t="s">
        <v>4791</v>
      </c>
      <c r="W204" s="242" t="s">
        <v>2340</v>
      </c>
      <c r="X204" s="242" t="s">
        <v>2334</v>
      </c>
      <c r="Y204" s="242" t="s">
        <v>4819</v>
      </c>
      <c r="Z204" s="239" t="s">
        <v>2204</v>
      </c>
      <c r="AA204" s="239" t="s">
        <v>1229</v>
      </c>
      <c r="AB204" s="244" t="s">
        <v>195</v>
      </c>
      <c r="AC204" s="244" t="s">
        <v>90</v>
      </c>
      <c r="AD204" s="215" t="s">
        <v>2217</v>
      </c>
      <c r="AE204" s="244" t="s">
        <v>469</v>
      </c>
      <c r="AF204" s="245" t="s">
        <v>2218</v>
      </c>
      <c r="AG204" s="240" t="s">
        <v>142</v>
      </c>
      <c r="AH204" s="240" t="s">
        <v>4736</v>
      </c>
      <c r="AI204" s="240" t="s">
        <v>2207</v>
      </c>
      <c r="AJ204" s="240" t="s">
        <v>4737</v>
      </c>
    </row>
    <row r="205" ht="15.0" hidden="1" customHeight="1">
      <c r="A205" s="239" t="s">
        <v>2172</v>
      </c>
      <c r="B205" s="239" t="s">
        <v>1052</v>
      </c>
      <c r="C205" s="239" t="s">
        <v>5783</v>
      </c>
      <c r="D205" s="239" t="s">
        <v>139</v>
      </c>
      <c r="E205" s="239" t="str">
        <f t="array" ref="E205">IFERROR(INDEX(REF_CODES!$B$8:$B$13,MATCH($D205,REF_CODES!$C$8:$C$13,0)),"")</f>
        <v>HB-COL</v>
      </c>
      <c r="F205" s="239" t="s">
        <v>5786</v>
      </c>
      <c r="G205" s="239" t="s">
        <v>4725</v>
      </c>
      <c r="H205" s="240" t="s">
        <v>160</v>
      </c>
      <c r="I205" s="242" t="s">
        <v>4836</v>
      </c>
      <c r="J205" s="242" t="s">
        <v>5375</v>
      </c>
      <c r="K205" s="242" t="s">
        <v>4727</v>
      </c>
      <c r="L205" s="239" t="s">
        <v>2252</v>
      </c>
      <c r="M205" s="241">
        <v>400.0</v>
      </c>
      <c r="N205" s="241">
        <v>575.0</v>
      </c>
      <c r="O205" s="241">
        <v>800.0</v>
      </c>
      <c r="P205" s="241" t="s">
        <v>2204</v>
      </c>
      <c r="Q205" s="286" t="s">
        <v>4727</v>
      </c>
      <c r="R205" s="241" t="s">
        <v>2204</v>
      </c>
      <c r="S205" s="239" t="s">
        <v>2204</v>
      </c>
      <c r="T205" s="239" t="s">
        <v>3637</v>
      </c>
      <c r="U205" s="242" t="s">
        <v>2208</v>
      </c>
      <c r="V205" s="242" t="s">
        <v>4791</v>
      </c>
      <c r="W205" s="242" t="s">
        <v>2340</v>
      </c>
      <c r="X205" s="242" t="s">
        <v>2334</v>
      </c>
      <c r="Y205" s="242" t="s">
        <v>4819</v>
      </c>
      <c r="Z205" s="239" t="s">
        <v>2204</v>
      </c>
      <c r="AA205" s="239" t="s">
        <v>1229</v>
      </c>
      <c r="AB205" s="244" t="s">
        <v>195</v>
      </c>
      <c r="AC205" s="244" t="s">
        <v>90</v>
      </c>
      <c r="AD205" s="215" t="s">
        <v>2217</v>
      </c>
      <c r="AE205" s="244" t="s">
        <v>469</v>
      </c>
      <c r="AF205" s="245" t="s">
        <v>2218</v>
      </c>
      <c r="AG205" s="240" t="s">
        <v>142</v>
      </c>
      <c r="AH205" s="240" t="s">
        <v>4736</v>
      </c>
      <c r="AI205" s="240" t="s">
        <v>2207</v>
      </c>
      <c r="AJ205" s="240" t="s">
        <v>4737</v>
      </c>
    </row>
    <row r="206" ht="15.0" hidden="1" customHeight="1">
      <c r="A206" s="239" t="s">
        <v>2172</v>
      </c>
      <c r="B206" s="239" t="s">
        <v>1052</v>
      </c>
      <c r="C206" s="239" t="s">
        <v>5795</v>
      </c>
      <c r="D206" s="239" t="s">
        <v>139</v>
      </c>
      <c r="E206" s="239" t="str">
        <f t="array" ref="E206">IFERROR(INDEX(REF_CODES!$B$8:$B$13,MATCH($D206,REF_CODES!$C$8:$C$13,0)),"")</f>
        <v>HB-COL</v>
      </c>
      <c r="F206" s="239" t="s">
        <v>5807</v>
      </c>
      <c r="G206" s="239" t="s">
        <v>4725</v>
      </c>
      <c r="H206" s="240" t="s">
        <v>160</v>
      </c>
      <c r="I206" s="242" t="s">
        <v>4836</v>
      </c>
      <c r="J206" s="242" t="s">
        <v>5375</v>
      </c>
      <c r="K206" s="242" t="s">
        <v>4727</v>
      </c>
      <c r="L206" s="239" t="s">
        <v>2252</v>
      </c>
      <c r="M206" s="241">
        <v>420.0</v>
      </c>
      <c r="N206" s="241">
        <v>600.0</v>
      </c>
      <c r="O206" s="241">
        <v>830.0</v>
      </c>
      <c r="P206" s="241" t="s">
        <v>2204</v>
      </c>
      <c r="Q206" s="286" t="s">
        <v>4727</v>
      </c>
      <c r="R206" s="241" t="s">
        <v>2204</v>
      </c>
      <c r="S206" s="239" t="s">
        <v>2204</v>
      </c>
      <c r="T206" s="239" t="s">
        <v>3637</v>
      </c>
      <c r="U206" s="242" t="s">
        <v>2208</v>
      </c>
      <c r="V206" s="242" t="s">
        <v>4791</v>
      </c>
      <c r="W206" s="242" t="s">
        <v>2340</v>
      </c>
      <c r="X206" s="242" t="s">
        <v>2334</v>
      </c>
      <c r="Y206" s="242" t="s">
        <v>4819</v>
      </c>
      <c r="Z206" s="239" t="s">
        <v>2204</v>
      </c>
      <c r="AA206" s="239" t="s">
        <v>1229</v>
      </c>
      <c r="AB206" s="244" t="s">
        <v>195</v>
      </c>
      <c r="AC206" s="244" t="s">
        <v>90</v>
      </c>
      <c r="AD206" s="215" t="s">
        <v>2217</v>
      </c>
      <c r="AE206" s="244" t="s">
        <v>469</v>
      </c>
      <c r="AF206" s="245" t="s">
        <v>2218</v>
      </c>
      <c r="AG206" s="240" t="s">
        <v>142</v>
      </c>
      <c r="AH206" s="240" t="s">
        <v>4736</v>
      </c>
      <c r="AI206" s="240" t="s">
        <v>2207</v>
      </c>
      <c r="AJ206" s="240" t="s">
        <v>4737</v>
      </c>
    </row>
    <row r="207" ht="15.0" hidden="1" customHeight="1">
      <c r="A207" s="239" t="s">
        <v>2172</v>
      </c>
      <c r="B207" s="239" t="s">
        <v>1052</v>
      </c>
      <c r="C207" s="239" t="s">
        <v>5818</v>
      </c>
      <c r="D207" s="239" t="s">
        <v>139</v>
      </c>
      <c r="E207" s="239" t="str">
        <f t="array" ref="E207">IFERROR(INDEX(REF_CODES!$B$8:$B$13,MATCH($D207,REF_CODES!$C$8:$C$13,0)),"")</f>
        <v>HB-COL</v>
      </c>
      <c r="F207" s="239" t="s">
        <v>5824</v>
      </c>
      <c r="G207" s="239" t="s">
        <v>4725</v>
      </c>
      <c r="H207" s="240" t="s">
        <v>160</v>
      </c>
      <c r="I207" s="242" t="s">
        <v>4836</v>
      </c>
      <c r="J207" s="242" t="s">
        <v>5375</v>
      </c>
      <c r="K207" s="242" t="s">
        <v>4727</v>
      </c>
      <c r="L207" s="239" t="s">
        <v>2252</v>
      </c>
      <c r="M207" s="241">
        <v>440.0</v>
      </c>
      <c r="N207" s="241">
        <v>625.0</v>
      </c>
      <c r="O207" s="241">
        <v>860.0</v>
      </c>
      <c r="P207" s="241" t="s">
        <v>2204</v>
      </c>
      <c r="Q207" s="286" t="s">
        <v>4727</v>
      </c>
      <c r="R207" s="241" t="s">
        <v>2204</v>
      </c>
      <c r="S207" s="239" t="s">
        <v>2204</v>
      </c>
      <c r="T207" s="239" t="s">
        <v>3637</v>
      </c>
      <c r="U207" s="242" t="s">
        <v>2208</v>
      </c>
      <c r="V207" s="242" t="s">
        <v>4791</v>
      </c>
      <c r="W207" s="242" t="s">
        <v>2340</v>
      </c>
      <c r="X207" s="242" t="s">
        <v>2334</v>
      </c>
      <c r="Y207" s="242" t="s">
        <v>4819</v>
      </c>
      <c r="Z207" s="239" t="s">
        <v>2204</v>
      </c>
      <c r="AA207" s="239" t="s">
        <v>1229</v>
      </c>
      <c r="AB207" s="244" t="s">
        <v>195</v>
      </c>
      <c r="AC207" s="244" t="s">
        <v>90</v>
      </c>
      <c r="AD207" s="215" t="s">
        <v>2217</v>
      </c>
      <c r="AE207" s="244" t="s">
        <v>469</v>
      </c>
      <c r="AF207" s="245" t="s">
        <v>2218</v>
      </c>
      <c r="AG207" s="240" t="s">
        <v>142</v>
      </c>
      <c r="AH207" s="240" t="s">
        <v>4736</v>
      </c>
      <c r="AI207" s="240" t="s">
        <v>2207</v>
      </c>
      <c r="AJ207" s="240" t="s">
        <v>4737</v>
      </c>
    </row>
    <row r="208" ht="15.0" hidden="1" customHeight="1">
      <c r="A208" s="239" t="s">
        <v>2172</v>
      </c>
      <c r="B208" s="239" t="s">
        <v>5839</v>
      </c>
      <c r="C208" s="239" t="s">
        <v>5841</v>
      </c>
      <c r="D208" s="239" t="s">
        <v>135</v>
      </c>
      <c r="E208" s="239" t="str">
        <f t="array" ref="E208">IFERROR(INDEX(REF_CODES!$B$8:$B$13,MATCH($D208,REF_CODES!$C$8:$C$13,0)),"")</f>
        <v>HB-RIA</v>
      </c>
      <c r="F208" s="239" t="s">
        <v>5849</v>
      </c>
      <c r="G208" s="262" t="s">
        <v>5850</v>
      </c>
      <c r="H208" s="250" t="s">
        <v>165</v>
      </c>
      <c r="I208" s="242" t="s">
        <v>4836</v>
      </c>
      <c r="J208" s="242" t="s">
        <v>5375</v>
      </c>
      <c r="K208" s="262">
        <v>28.0</v>
      </c>
      <c r="L208" s="239" t="s">
        <v>2252</v>
      </c>
      <c r="M208" s="241">
        <v>460.0</v>
      </c>
      <c r="N208" s="241">
        <v>650.0</v>
      </c>
      <c r="O208" s="241">
        <v>890.0</v>
      </c>
      <c r="P208" s="241" t="s">
        <v>2204</v>
      </c>
      <c r="Q208" s="241" t="s">
        <v>2204</v>
      </c>
      <c r="R208" s="241" t="s">
        <v>2204</v>
      </c>
      <c r="S208" s="239" t="s">
        <v>2204</v>
      </c>
      <c r="T208" s="239" t="s">
        <v>5858</v>
      </c>
      <c r="U208" s="242" t="s">
        <v>2208</v>
      </c>
      <c r="V208" s="242" t="s">
        <v>5859</v>
      </c>
      <c r="W208" s="262" t="s">
        <v>5860</v>
      </c>
      <c r="X208" s="262" t="s">
        <v>5862</v>
      </c>
      <c r="Y208" s="239" t="s">
        <v>5864</v>
      </c>
      <c r="Z208" s="239" t="s">
        <v>2204</v>
      </c>
      <c r="AA208" s="239" t="s">
        <v>5382</v>
      </c>
      <c r="AB208" s="244" t="s">
        <v>202</v>
      </c>
      <c r="AC208" s="244" t="s">
        <v>97</v>
      </c>
      <c r="AD208" s="215" t="s">
        <v>2217</v>
      </c>
      <c r="AE208" s="244" t="s">
        <v>5867</v>
      </c>
      <c r="AF208" s="250" t="s">
        <v>5867</v>
      </c>
      <c r="AG208" s="240" t="s">
        <v>138</v>
      </c>
      <c r="AH208" s="240" t="s">
        <v>41</v>
      </c>
      <c r="AI208" s="240" t="s">
        <v>2207</v>
      </c>
      <c r="AJ208" s="240" t="s">
        <v>2587</v>
      </c>
    </row>
    <row r="209" ht="15.0" hidden="1" customHeight="1">
      <c r="A209" s="239" t="s">
        <v>2172</v>
      </c>
      <c r="B209" s="239" t="s">
        <v>5839</v>
      </c>
      <c r="C209" s="239" t="s">
        <v>5871</v>
      </c>
      <c r="D209" s="239" t="s">
        <v>135</v>
      </c>
      <c r="E209" s="239" t="str">
        <f t="array" ref="E209">IFERROR(INDEX(REF_CODES!$B$8:$B$13,MATCH($D209,REF_CODES!$C$8:$C$13,0)),"")</f>
        <v>HB-RIA</v>
      </c>
      <c r="F209" s="239" t="s">
        <v>5879</v>
      </c>
      <c r="G209" s="262" t="s">
        <v>5880</v>
      </c>
      <c r="H209" s="250" t="s">
        <v>160</v>
      </c>
      <c r="I209" s="242" t="s">
        <v>4836</v>
      </c>
      <c r="J209" s="242" t="s">
        <v>5375</v>
      </c>
      <c r="K209" s="262">
        <v>8.0</v>
      </c>
      <c r="L209" s="239" t="s">
        <v>2252</v>
      </c>
      <c r="M209" s="241">
        <v>480.0</v>
      </c>
      <c r="N209" s="241">
        <v>675.0</v>
      </c>
      <c r="O209" s="241">
        <v>920.0</v>
      </c>
      <c r="P209" s="241" t="s">
        <v>2204</v>
      </c>
      <c r="Q209" s="241" t="s">
        <v>2204</v>
      </c>
      <c r="R209" s="241" t="s">
        <v>2204</v>
      </c>
      <c r="S209" s="239" t="s">
        <v>2204</v>
      </c>
      <c r="T209" s="239" t="s">
        <v>5886</v>
      </c>
      <c r="U209" s="242" t="s">
        <v>2208</v>
      </c>
      <c r="V209" s="242" t="s">
        <v>4791</v>
      </c>
      <c r="W209" s="262" t="s">
        <v>5888</v>
      </c>
      <c r="X209" s="242" t="s">
        <v>2940</v>
      </c>
      <c r="Y209" s="239" t="s">
        <v>5891</v>
      </c>
      <c r="Z209" s="239" t="s">
        <v>2204</v>
      </c>
      <c r="AA209" s="239" t="s">
        <v>5892</v>
      </c>
      <c r="AB209" s="244" t="s">
        <v>188</v>
      </c>
      <c r="AC209" s="244" t="s">
        <v>97</v>
      </c>
      <c r="AD209" s="215" t="s">
        <v>2217</v>
      </c>
      <c r="AE209" s="244" t="s">
        <v>463</v>
      </c>
      <c r="AF209" s="250" t="s">
        <v>2375</v>
      </c>
      <c r="AG209" s="240" t="s">
        <v>138</v>
      </c>
      <c r="AH209" s="240" t="s">
        <v>41</v>
      </c>
      <c r="AI209" s="240" t="s">
        <v>2207</v>
      </c>
      <c r="AJ209" s="240" t="s">
        <v>2587</v>
      </c>
    </row>
    <row r="210" ht="15.0" hidden="1" customHeight="1">
      <c r="A210" s="239" t="s">
        <v>2172</v>
      </c>
      <c r="B210" s="239" t="s">
        <v>5839</v>
      </c>
      <c r="C210" s="239" t="s">
        <v>5894</v>
      </c>
      <c r="D210" s="239" t="s">
        <v>141</v>
      </c>
      <c r="E210" s="239" t="str">
        <f t="array" ref="E210">IFERROR(INDEX(REF_CODES!$B$8:$B$13,MATCH($D210,REF_CODES!$C$8:$C$13,0)),"")</f>
        <v>HB-NAT</v>
      </c>
      <c r="F210" s="239" t="s">
        <v>5901</v>
      </c>
      <c r="G210" s="262" t="s">
        <v>5902</v>
      </c>
      <c r="H210" s="250" t="s">
        <v>160</v>
      </c>
      <c r="I210" s="242" t="s">
        <v>4836</v>
      </c>
      <c r="J210" s="242" t="s">
        <v>5375</v>
      </c>
      <c r="K210" s="242" t="s">
        <v>4727</v>
      </c>
      <c r="L210" s="239" t="s">
        <v>2252</v>
      </c>
      <c r="M210" s="241">
        <v>300.0</v>
      </c>
      <c r="N210" s="241">
        <v>450.0</v>
      </c>
      <c r="O210" s="241">
        <v>650.0</v>
      </c>
      <c r="P210" s="241" t="s">
        <v>2204</v>
      </c>
      <c r="Q210" s="241" t="s">
        <v>2204</v>
      </c>
      <c r="R210" s="241" t="s">
        <v>2204</v>
      </c>
      <c r="S210" s="239" t="s">
        <v>2204</v>
      </c>
      <c r="T210" s="239" t="s">
        <v>5908</v>
      </c>
      <c r="U210" s="242" t="s">
        <v>2208</v>
      </c>
      <c r="V210" s="242" t="s">
        <v>4791</v>
      </c>
      <c r="W210" s="262" t="s">
        <v>5910</v>
      </c>
      <c r="X210" s="262" t="s">
        <v>5912</v>
      </c>
      <c r="Y210" s="239" t="s">
        <v>5914</v>
      </c>
      <c r="Z210" s="239" t="s">
        <v>2204</v>
      </c>
      <c r="AA210" s="239" t="s">
        <v>5382</v>
      </c>
      <c r="AB210" s="244" t="s">
        <v>188</v>
      </c>
      <c r="AC210" s="244" t="s">
        <v>97</v>
      </c>
      <c r="AD210" s="215" t="s">
        <v>2217</v>
      </c>
      <c r="AE210" s="244" t="s">
        <v>469</v>
      </c>
      <c r="AF210" s="245" t="s">
        <v>2218</v>
      </c>
      <c r="AG210" s="240" t="s">
        <v>133</v>
      </c>
      <c r="AH210" s="240" t="s">
        <v>41</v>
      </c>
      <c r="AI210" s="240" t="s">
        <v>2207</v>
      </c>
      <c r="AJ210" s="240" t="s">
        <v>4057</v>
      </c>
    </row>
    <row r="211" ht="15.0" hidden="1" customHeight="1">
      <c r="A211" s="239" t="s">
        <v>2172</v>
      </c>
      <c r="B211" s="239" t="s">
        <v>5839</v>
      </c>
      <c r="C211" s="239" t="s">
        <v>5917</v>
      </c>
      <c r="D211" s="239" t="s">
        <v>141</v>
      </c>
      <c r="E211" s="239" t="str">
        <f t="array" ref="E211">IFERROR(INDEX(REF_CODES!$B$8:$B$13,MATCH($D211,REF_CODES!$C$8:$C$13,0)),"")</f>
        <v>HB-NAT</v>
      </c>
      <c r="F211" s="239" t="s">
        <v>5923</v>
      </c>
      <c r="G211" s="262" t="s">
        <v>2541</v>
      </c>
      <c r="H211" s="250" t="s">
        <v>160</v>
      </c>
      <c r="I211" s="242" t="s">
        <v>4836</v>
      </c>
      <c r="J211" s="242" t="s">
        <v>5375</v>
      </c>
      <c r="K211" s="242" t="s">
        <v>4727</v>
      </c>
      <c r="L211" s="239" t="s">
        <v>2252</v>
      </c>
      <c r="M211" s="241">
        <v>320.0</v>
      </c>
      <c r="N211" s="241">
        <v>475.0</v>
      </c>
      <c r="O211" s="241">
        <v>680.0</v>
      </c>
      <c r="P211" s="241" t="s">
        <v>2204</v>
      </c>
      <c r="Q211" s="241" t="s">
        <v>2204</v>
      </c>
      <c r="R211" s="241" t="s">
        <v>2204</v>
      </c>
      <c r="S211" s="239" t="s">
        <v>2204</v>
      </c>
      <c r="T211" s="239" t="s">
        <v>5928</v>
      </c>
      <c r="U211" s="239" t="s">
        <v>5931</v>
      </c>
      <c r="V211" s="242" t="s">
        <v>4791</v>
      </c>
      <c r="W211" s="262" t="s">
        <v>5934</v>
      </c>
      <c r="X211" s="262" t="s">
        <v>5935</v>
      </c>
      <c r="Y211" s="239" t="s">
        <v>5936</v>
      </c>
      <c r="Z211" s="239" t="s">
        <v>2204</v>
      </c>
      <c r="AA211" s="239" t="s">
        <v>5382</v>
      </c>
      <c r="AB211" s="244" t="s">
        <v>188</v>
      </c>
      <c r="AC211" s="244" t="s">
        <v>97</v>
      </c>
      <c r="AD211" s="215" t="s">
        <v>2217</v>
      </c>
      <c r="AE211" s="244" t="s">
        <v>469</v>
      </c>
      <c r="AF211" s="245" t="s">
        <v>2218</v>
      </c>
      <c r="AG211" s="240" t="s">
        <v>133</v>
      </c>
      <c r="AH211" s="240" t="s">
        <v>41</v>
      </c>
      <c r="AI211" s="240" t="s">
        <v>2207</v>
      </c>
      <c r="AJ211" s="240" t="s">
        <v>4057</v>
      </c>
    </row>
    <row r="212" ht="15.0" hidden="1" customHeight="1">
      <c r="A212" s="239" t="s">
        <v>2172</v>
      </c>
      <c r="B212" s="239" t="s">
        <v>5839</v>
      </c>
      <c r="C212" s="239" t="s">
        <v>5939</v>
      </c>
      <c r="D212" s="239" t="s">
        <v>141</v>
      </c>
      <c r="E212" s="239" t="str">
        <f t="array" ref="E212">IFERROR(INDEX(REF_CODES!$B$8:$B$13,MATCH($D212,REF_CODES!$C$8:$C$13,0)),"")</f>
        <v>HB-NAT</v>
      </c>
      <c r="F212" s="239" t="s">
        <v>5946</v>
      </c>
      <c r="G212" s="262" t="s">
        <v>5947</v>
      </c>
      <c r="H212" s="250" t="s">
        <v>165</v>
      </c>
      <c r="I212" s="242" t="s">
        <v>4836</v>
      </c>
      <c r="J212" s="242" t="s">
        <v>5375</v>
      </c>
      <c r="K212" s="262">
        <v>42.0</v>
      </c>
      <c r="L212" s="239" t="s">
        <v>2252</v>
      </c>
      <c r="M212" s="241">
        <v>340.0</v>
      </c>
      <c r="N212" s="241">
        <v>500.0</v>
      </c>
      <c r="O212" s="241">
        <v>710.0</v>
      </c>
      <c r="P212" s="241" t="s">
        <v>2204</v>
      </c>
      <c r="Q212" s="241" t="s">
        <v>2204</v>
      </c>
      <c r="R212" s="241" t="s">
        <v>2204</v>
      </c>
      <c r="S212" s="239" t="s">
        <v>2204</v>
      </c>
      <c r="T212" s="239" t="s">
        <v>5950</v>
      </c>
      <c r="U212" s="242" t="s">
        <v>2208</v>
      </c>
      <c r="V212" s="242" t="s">
        <v>4791</v>
      </c>
      <c r="W212" s="262" t="s">
        <v>5951</v>
      </c>
      <c r="X212" s="262" t="s">
        <v>5952</v>
      </c>
      <c r="Y212" s="239" t="s">
        <v>5953</v>
      </c>
      <c r="Z212" s="239" t="s">
        <v>2204</v>
      </c>
      <c r="AA212" s="239" t="s">
        <v>5382</v>
      </c>
      <c r="AB212" s="244" t="s">
        <v>188</v>
      </c>
      <c r="AC212" s="244" t="s">
        <v>97</v>
      </c>
      <c r="AD212" s="215" t="s">
        <v>2217</v>
      </c>
      <c r="AE212" s="244" t="s">
        <v>5956</v>
      </c>
      <c r="AF212" s="250" t="s">
        <v>5956</v>
      </c>
      <c r="AG212" s="240" t="s">
        <v>133</v>
      </c>
      <c r="AH212" s="240" t="s">
        <v>41</v>
      </c>
      <c r="AI212" s="240" t="s">
        <v>2207</v>
      </c>
      <c r="AJ212" s="240" t="s">
        <v>4057</v>
      </c>
    </row>
    <row r="213" ht="15.0" hidden="1" customHeight="1">
      <c r="A213" s="239" t="s">
        <v>2172</v>
      </c>
      <c r="B213" s="239" t="s">
        <v>5839</v>
      </c>
      <c r="C213" s="239" t="s">
        <v>5960</v>
      </c>
      <c r="D213" s="239" t="s">
        <v>141</v>
      </c>
      <c r="E213" s="239" t="str">
        <f t="array" ref="E213">IFERROR(INDEX(REF_CODES!$B$8:$B$13,MATCH($D213,REF_CODES!$C$8:$C$13,0)),"")</f>
        <v>HB-NAT</v>
      </c>
      <c r="F213" s="239" t="s">
        <v>4239</v>
      </c>
      <c r="G213" s="262" t="s">
        <v>5964</v>
      </c>
      <c r="H213" s="250" t="s">
        <v>160</v>
      </c>
      <c r="I213" s="242" t="s">
        <v>4836</v>
      </c>
      <c r="J213" s="242" t="s">
        <v>5375</v>
      </c>
      <c r="K213" s="242" t="s">
        <v>4727</v>
      </c>
      <c r="L213" s="239" t="s">
        <v>2252</v>
      </c>
      <c r="M213" s="241">
        <v>360.0</v>
      </c>
      <c r="N213" s="241">
        <v>525.0</v>
      </c>
      <c r="O213" s="241">
        <v>740.0</v>
      </c>
      <c r="P213" s="241" t="s">
        <v>2204</v>
      </c>
      <c r="Q213" s="241" t="s">
        <v>2204</v>
      </c>
      <c r="R213" s="241" t="s">
        <v>2204</v>
      </c>
      <c r="S213" s="239" t="s">
        <v>2204</v>
      </c>
      <c r="T213" s="239" t="s">
        <v>5965</v>
      </c>
      <c r="U213" s="239" t="s">
        <v>5967</v>
      </c>
      <c r="V213" s="242" t="s">
        <v>4791</v>
      </c>
      <c r="W213" s="262" t="s">
        <v>5969</v>
      </c>
      <c r="X213" s="262" t="s">
        <v>5970</v>
      </c>
      <c r="Y213" s="239" t="s">
        <v>5971</v>
      </c>
      <c r="Z213" s="239" t="s">
        <v>2204</v>
      </c>
      <c r="AA213" s="239" t="s">
        <v>5382</v>
      </c>
      <c r="AB213" s="244" t="s">
        <v>188</v>
      </c>
      <c r="AC213" s="244" t="s">
        <v>97</v>
      </c>
      <c r="AD213" s="215" t="s">
        <v>2217</v>
      </c>
      <c r="AE213" s="244" t="s">
        <v>469</v>
      </c>
      <c r="AF213" s="245" t="s">
        <v>2218</v>
      </c>
      <c r="AG213" s="240" t="s">
        <v>133</v>
      </c>
      <c r="AH213" s="240" t="s">
        <v>41</v>
      </c>
      <c r="AI213" s="240" t="s">
        <v>2207</v>
      </c>
      <c r="AJ213" s="240" t="s">
        <v>4057</v>
      </c>
    </row>
    <row r="214" ht="15.0" hidden="1" customHeight="1">
      <c r="A214" s="239" t="s">
        <v>2172</v>
      </c>
      <c r="B214" s="239" t="s">
        <v>5839</v>
      </c>
      <c r="C214" s="239" t="s">
        <v>5973</v>
      </c>
      <c r="D214" s="239" t="s">
        <v>141</v>
      </c>
      <c r="E214" s="239" t="str">
        <f t="array" ref="E214">IFERROR(INDEX(REF_CODES!$B$8:$B$13,MATCH($D214,REF_CODES!$C$8:$C$13,0)),"")</f>
        <v>HB-NAT</v>
      </c>
      <c r="F214" s="239" t="s">
        <v>4254</v>
      </c>
      <c r="G214" s="262" t="s">
        <v>5975</v>
      </c>
      <c r="H214" s="250" t="s">
        <v>160</v>
      </c>
      <c r="I214" s="242" t="s">
        <v>4836</v>
      </c>
      <c r="J214" s="242" t="s">
        <v>5375</v>
      </c>
      <c r="K214" s="242" t="s">
        <v>4727</v>
      </c>
      <c r="L214" s="239" t="s">
        <v>2252</v>
      </c>
      <c r="M214" s="241">
        <v>380.0</v>
      </c>
      <c r="N214" s="241">
        <v>550.0</v>
      </c>
      <c r="O214" s="241">
        <v>770.0</v>
      </c>
      <c r="P214" s="241" t="s">
        <v>2204</v>
      </c>
      <c r="Q214" s="241" t="s">
        <v>2204</v>
      </c>
      <c r="R214" s="241" t="s">
        <v>2204</v>
      </c>
      <c r="S214" s="239" t="s">
        <v>2204</v>
      </c>
      <c r="T214" s="239" t="s">
        <v>4260</v>
      </c>
      <c r="U214" s="242" t="s">
        <v>2208</v>
      </c>
      <c r="V214" s="242" t="s">
        <v>4791</v>
      </c>
      <c r="W214" s="262" t="s">
        <v>5978</v>
      </c>
      <c r="X214" s="262" t="s">
        <v>5979</v>
      </c>
      <c r="Y214" s="239" t="s">
        <v>5980</v>
      </c>
      <c r="Z214" s="239" t="s">
        <v>2204</v>
      </c>
      <c r="AA214" s="239" t="s">
        <v>5382</v>
      </c>
      <c r="AB214" s="244" t="s">
        <v>188</v>
      </c>
      <c r="AC214" s="244" t="s">
        <v>97</v>
      </c>
      <c r="AD214" s="215" t="s">
        <v>2217</v>
      </c>
      <c r="AE214" s="244" t="s">
        <v>469</v>
      </c>
      <c r="AF214" s="245" t="s">
        <v>2218</v>
      </c>
      <c r="AG214" s="240" t="s">
        <v>133</v>
      </c>
      <c r="AH214" s="240" t="s">
        <v>41</v>
      </c>
      <c r="AI214" s="240" t="s">
        <v>2207</v>
      </c>
      <c r="AJ214" s="240" t="s">
        <v>4057</v>
      </c>
    </row>
    <row r="215" ht="15.0" hidden="1" customHeight="1">
      <c r="A215" s="239" t="s">
        <v>2172</v>
      </c>
      <c r="B215" s="239" t="s">
        <v>5839</v>
      </c>
      <c r="C215" s="239" t="s">
        <v>5981</v>
      </c>
      <c r="D215" s="239" t="s">
        <v>127</v>
      </c>
      <c r="E215" s="239" t="str">
        <f t="array" ref="E215">IFERROR(INDEX(REF_CODES!$B$8:$B$13,MATCH($D215,REF_CODES!$C$8:$C$13,0)),"")</f>
        <v>HB-HOT</v>
      </c>
      <c r="F215" s="239" t="s">
        <v>5985</v>
      </c>
      <c r="G215" s="262" t="s">
        <v>5986</v>
      </c>
      <c r="H215" s="250" t="s">
        <v>160</v>
      </c>
      <c r="I215" s="242" t="s">
        <v>4836</v>
      </c>
      <c r="J215" s="242" t="s">
        <v>5375</v>
      </c>
      <c r="K215" s="242" t="s">
        <v>4727</v>
      </c>
      <c r="L215" s="239" t="s">
        <v>2252</v>
      </c>
      <c r="M215" s="241">
        <v>400.0</v>
      </c>
      <c r="N215" s="241">
        <v>575.0</v>
      </c>
      <c r="O215" s="241">
        <v>800.0</v>
      </c>
      <c r="P215" s="241" t="s">
        <v>2204</v>
      </c>
      <c r="Q215" s="241" t="s">
        <v>2204</v>
      </c>
      <c r="R215" s="241" t="s">
        <v>2204</v>
      </c>
      <c r="S215" s="239" t="s">
        <v>2204</v>
      </c>
      <c r="T215" s="239" t="s">
        <v>2736</v>
      </c>
      <c r="U215" s="242" t="s">
        <v>2208</v>
      </c>
      <c r="V215" s="242" t="s">
        <v>2737</v>
      </c>
      <c r="W215" s="262" t="s">
        <v>5988</v>
      </c>
      <c r="X215" s="262" t="s">
        <v>5989</v>
      </c>
      <c r="Y215" s="239" t="s">
        <v>2740</v>
      </c>
      <c r="Z215" s="239" t="s">
        <v>2740</v>
      </c>
      <c r="AA215" s="239" t="s">
        <v>5382</v>
      </c>
      <c r="AB215" s="244" t="s">
        <v>202</v>
      </c>
      <c r="AC215" s="244" t="s">
        <v>90</v>
      </c>
      <c r="AD215" s="215" t="s">
        <v>2238</v>
      </c>
      <c r="AE215" s="244" t="s">
        <v>2293</v>
      </c>
      <c r="AF215" s="250" t="s">
        <v>2293</v>
      </c>
      <c r="AG215" s="240" t="s">
        <v>138</v>
      </c>
      <c r="AH215" s="240" t="s">
        <v>41</v>
      </c>
      <c r="AI215" s="240" t="s">
        <v>2207</v>
      </c>
      <c r="AJ215" s="240" t="s">
        <v>2219</v>
      </c>
    </row>
    <row r="216" ht="15.0" hidden="1" customHeight="1">
      <c r="A216" s="239" t="s">
        <v>2172</v>
      </c>
      <c r="B216" s="239" t="s">
        <v>5839</v>
      </c>
      <c r="C216" s="239" t="s">
        <v>5991</v>
      </c>
      <c r="D216" s="239" t="s">
        <v>127</v>
      </c>
      <c r="E216" s="239" t="str">
        <f t="array" ref="E216">IFERROR(INDEX(REF_CODES!$B$8:$B$13,MATCH($D216,REF_CODES!$C$8:$C$13,0)),"")</f>
        <v>HB-HOT</v>
      </c>
      <c r="F216" s="239" t="s">
        <v>5995</v>
      </c>
      <c r="G216" s="262" t="s">
        <v>5996</v>
      </c>
      <c r="H216" s="250" t="s">
        <v>160</v>
      </c>
      <c r="I216" s="242" t="s">
        <v>4836</v>
      </c>
      <c r="J216" s="242" t="s">
        <v>5375</v>
      </c>
      <c r="K216" s="242" t="s">
        <v>4727</v>
      </c>
      <c r="L216" s="239" t="s">
        <v>2252</v>
      </c>
      <c r="M216" s="241">
        <v>420.0</v>
      </c>
      <c r="N216" s="241">
        <v>600.0</v>
      </c>
      <c r="O216" s="241">
        <v>830.0</v>
      </c>
      <c r="P216" s="241" t="s">
        <v>2204</v>
      </c>
      <c r="Q216" s="241" t="s">
        <v>2204</v>
      </c>
      <c r="R216" s="241" t="s">
        <v>2204</v>
      </c>
      <c r="S216" s="239" t="s">
        <v>2204</v>
      </c>
      <c r="T216" s="239" t="s">
        <v>5999</v>
      </c>
      <c r="U216" s="242" t="s">
        <v>2208</v>
      </c>
      <c r="V216" s="242" t="s">
        <v>4791</v>
      </c>
      <c r="W216" s="262" t="s">
        <v>6000</v>
      </c>
      <c r="X216" s="262" t="s">
        <v>6001</v>
      </c>
      <c r="Y216" s="239" t="s">
        <v>6002</v>
      </c>
      <c r="Z216" s="239" t="s">
        <v>2235</v>
      </c>
      <c r="AA216" s="239" t="s">
        <v>5382</v>
      </c>
      <c r="AB216" s="244" t="s">
        <v>202</v>
      </c>
      <c r="AC216" s="244" t="s">
        <v>90</v>
      </c>
      <c r="AD216" s="215" t="s">
        <v>2238</v>
      </c>
      <c r="AE216" s="244" t="s">
        <v>477</v>
      </c>
      <c r="AF216" s="245" t="s">
        <v>2218</v>
      </c>
      <c r="AG216" s="240" t="s">
        <v>138</v>
      </c>
      <c r="AH216" s="240" t="s">
        <v>41</v>
      </c>
      <c r="AI216" s="240" t="s">
        <v>2207</v>
      </c>
      <c r="AJ216" s="240" t="s">
        <v>2219</v>
      </c>
    </row>
    <row r="217" ht="15.0" hidden="1" customHeight="1">
      <c r="A217" s="239" t="s">
        <v>2172</v>
      </c>
      <c r="B217" s="239" t="s">
        <v>5839</v>
      </c>
      <c r="C217" s="239" t="s">
        <v>6006</v>
      </c>
      <c r="D217" s="239" t="s">
        <v>130</v>
      </c>
      <c r="E217" s="239" t="str">
        <f t="array" ref="E217">IFERROR(INDEX(REF_CODES!$B$8:$B$13,MATCH($D217,REF_CODES!$C$8:$C$13,0)),"")</f>
        <v>HB-INC</v>
      </c>
      <c r="F217" s="239" t="s">
        <v>6010</v>
      </c>
      <c r="G217" s="262" t="s">
        <v>6011</v>
      </c>
      <c r="H217" s="250" t="s">
        <v>160</v>
      </c>
      <c r="I217" s="242" t="s">
        <v>4836</v>
      </c>
      <c r="J217" s="242" t="s">
        <v>5375</v>
      </c>
      <c r="K217" s="242" t="s">
        <v>4727</v>
      </c>
      <c r="L217" s="239" t="s">
        <v>2252</v>
      </c>
      <c r="M217" s="241">
        <v>440.0</v>
      </c>
      <c r="N217" s="241">
        <v>625.0</v>
      </c>
      <c r="O217" s="241">
        <v>860.0</v>
      </c>
      <c r="P217" s="241" t="s">
        <v>2204</v>
      </c>
      <c r="Q217" s="241" t="s">
        <v>2204</v>
      </c>
      <c r="R217" s="241" t="s">
        <v>2204</v>
      </c>
      <c r="S217" s="239" t="s">
        <v>2204</v>
      </c>
      <c r="T217" s="239" t="s">
        <v>6016</v>
      </c>
      <c r="U217" s="242" t="s">
        <v>2208</v>
      </c>
      <c r="V217" s="242" t="s">
        <v>4791</v>
      </c>
      <c r="W217" s="262" t="s">
        <v>6017</v>
      </c>
      <c r="X217" s="242" t="s">
        <v>2940</v>
      </c>
      <c r="Y217" s="239" t="s">
        <v>6018</v>
      </c>
      <c r="Z217" s="239" t="s">
        <v>2204</v>
      </c>
      <c r="AA217" s="239" t="s">
        <v>5382</v>
      </c>
      <c r="AB217" s="244" t="s">
        <v>202</v>
      </c>
      <c r="AC217" s="244" t="s">
        <v>90</v>
      </c>
      <c r="AD217" s="215" t="s">
        <v>2217</v>
      </c>
      <c r="AE217" s="244" t="s">
        <v>477</v>
      </c>
      <c r="AF217" s="250" t="s">
        <v>4890</v>
      </c>
      <c r="AG217" s="240" t="s">
        <v>138</v>
      </c>
      <c r="AH217" s="240" t="s">
        <v>41</v>
      </c>
      <c r="AI217" s="240" t="s">
        <v>2207</v>
      </c>
      <c r="AJ217" s="240" t="s">
        <v>2913</v>
      </c>
    </row>
    <row r="218" ht="15.0" hidden="1" customHeight="1">
      <c r="A218" s="239" t="s">
        <v>2172</v>
      </c>
      <c r="B218" s="239" t="s">
        <v>5839</v>
      </c>
      <c r="C218" s="239" t="s">
        <v>6021</v>
      </c>
      <c r="D218" s="239" t="s">
        <v>139</v>
      </c>
      <c r="E218" s="239" t="str">
        <f t="array" ref="E218">IFERROR(INDEX(REF_CODES!$B$8:$B$13,MATCH($D218,REF_CODES!$C$8:$C$13,0)),"")</f>
        <v>HB-COL</v>
      </c>
      <c r="F218" s="239" t="s">
        <v>6023</v>
      </c>
      <c r="G218" s="262" t="s">
        <v>6024</v>
      </c>
      <c r="H218" s="250" t="s">
        <v>160</v>
      </c>
      <c r="I218" s="242" t="s">
        <v>4836</v>
      </c>
      <c r="J218" s="242" t="s">
        <v>5375</v>
      </c>
      <c r="K218" s="242" t="s">
        <v>4727</v>
      </c>
      <c r="L218" s="239" t="s">
        <v>2252</v>
      </c>
      <c r="M218" s="241">
        <v>460.0</v>
      </c>
      <c r="N218" s="241">
        <v>650.0</v>
      </c>
      <c r="O218" s="241">
        <v>890.0</v>
      </c>
      <c r="P218" s="241" t="s">
        <v>2204</v>
      </c>
      <c r="Q218" s="241" t="s">
        <v>2204</v>
      </c>
      <c r="R218" s="241" t="s">
        <v>2204</v>
      </c>
      <c r="S218" s="239" t="s">
        <v>2204</v>
      </c>
      <c r="T218" s="239" t="s">
        <v>6026</v>
      </c>
      <c r="U218" s="239" t="s">
        <v>6027</v>
      </c>
      <c r="V218" s="242" t="s">
        <v>4791</v>
      </c>
      <c r="W218" s="262" t="s">
        <v>6028</v>
      </c>
      <c r="X218" s="242" t="s">
        <v>2940</v>
      </c>
      <c r="Y218" s="239" t="s">
        <v>6029</v>
      </c>
      <c r="Z218" s="239" t="s">
        <v>2204</v>
      </c>
      <c r="AA218" s="239" t="s">
        <v>5382</v>
      </c>
      <c r="AB218" s="244" t="s">
        <v>202</v>
      </c>
      <c r="AC218" s="244" t="s">
        <v>90</v>
      </c>
      <c r="AD218" s="215" t="s">
        <v>2217</v>
      </c>
      <c r="AE218" s="244" t="s">
        <v>477</v>
      </c>
      <c r="AF218" s="245" t="s">
        <v>2218</v>
      </c>
      <c r="AG218" s="240" t="s">
        <v>138</v>
      </c>
      <c r="AH218" s="240" t="s">
        <v>41</v>
      </c>
      <c r="AI218" s="240" t="s">
        <v>2207</v>
      </c>
      <c r="AJ218" s="240" t="s">
        <v>2913</v>
      </c>
    </row>
    <row r="219" ht="15.0" hidden="1" customHeight="1">
      <c r="A219" s="239" t="s">
        <v>2172</v>
      </c>
      <c r="B219" s="239" t="s">
        <v>5839</v>
      </c>
      <c r="C219" s="239" t="s">
        <v>6032</v>
      </c>
      <c r="D219" s="239" t="s">
        <v>130</v>
      </c>
      <c r="E219" s="239" t="str">
        <f t="array" ref="E219">IFERROR(INDEX(REF_CODES!$B$8:$B$13,MATCH($D219,REF_CODES!$C$8:$C$13,0)),"")</f>
        <v>HB-INC</v>
      </c>
      <c r="F219" s="239" t="s">
        <v>6037</v>
      </c>
      <c r="G219" s="262" t="s">
        <v>6038</v>
      </c>
      <c r="H219" s="250" t="s">
        <v>160</v>
      </c>
      <c r="I219" s="242" t="s">
        <v>4836</v>
      </c>
      <c r="J219" s="242" t="s">
        <v>5375</v>
      </c>
      <c r="K219" s="242" t="s">
        <v>4727</v>
      </c>
      <c r="L219" s="239" t="s">
        <v>2252</v>
      </c>
      <c r="M219" s="241">
        <v>300.0</v>
      </c>
      <c r="N219" s="241">
        <v>450.0</v>
      </c>
      <c r="O219" s="241">
        <v>650.0</v>
      </c>
      <c r="P219" s="241" t="s">
        <v>2204</v>
      </c>
      <c r="Q219" s="241" t="s">
        <v>2204</v>
      </c>
      <c r="R219" s="241" t="s">
        <v>2204</v>
      </c>
      <c r="S219" s="239" t="s">
        <v>2204</v>
      </c>
      <c r="T219" s="239" t="s">
        <v>2710</v>
      </c>
      <c r="U219" s="242" t="s">
        <v>2208</v>
      </c>
      <c r="V219" s="262" t="s">
        <v>6040</v>
      </c>
      <c r="W219" s="262" t="s">
        <v>6041</v>
      </c>
      <c r="X219" s="262" t="s">
        <v>5309</v>
      </c>
      <c r="Y219" s="239" t="s">
        <v>6043</v>
      </c>
      <c r="Z219" s="239" t="s">
        <v>6044</v>
      </c>
      <c r="AA219" s="239" t="s">
        <v>5382</v>
      </c>
      <c r="AB219" s="244" t="s">
        <v>202</v>
      </c>
      <c r="AC219" s="244" t="s">
        <v>90</v>
      </c>
      <c r="AD219" s="215" t="s">
        <v>2217</v>
      </c>
      <c r="AE219" s="244" t="s">
        <v>477</v>
      </c>
      <c r="AF219" s="250" t="s">
        <v>2293</v>
      </c>
      <c r="AG219" s="240" t="s">
        <v>138</v>
      </c>
      <c r="AH219" s="240" t="s">
        <v>41</v>
      </c>
      <c r="AI219" s="240" t="s">
        <v>2207</v>
      </c>
      <c r="AJ219" s="240" t="s">
        <v>2219</v>
      </c>
    </row>
    <row r="220" ht="15.0" hidden="1" customHeight="1">
      <c r="A220" s="239" t="s">
        <v>2172</v>
      </c>
      <c r="B220" s="239" t="s">
        <v>5839</v>
      </c>
      <c r="C220" s="239" t="s">
        <v>6046</v>
      </c>
      <c r="D220" s="239" t="s">
        <v>130</v>
      </c>
      <c r="E220" s="239" t="str">
        <f t="array" ref="E220">IFERROR(INDEX(REF_CODES!$B$8:$B$13,MATCH($D220,REF_CODES!$C$8:$C$13,0)),"")</f>
        <v>HB-INC</v>
      </c>
      <c r="F220" s="239" t="s">
        <v>6050</v>
      </c>
      <c r="G220" s="262" t="s">
        <v>6051</v>
      </c>
      <c r="H220" s="250" t="s">
        <v>160</v>
      </c>
      <c r="I220" s="242" t="s">
        <v>4836</v>
      </c>
      <c r="J220" s="242" t="s">
        <v>5375</v>
      </c>
      <c r="K220" s="242" t="s">
        <v>4727</v>
      </c>
      <c r="L220" s="239" t="s">
        <v>2252</v>
      </c>
      <c r="M220" s="241">
        <v>320.0</v>
      </c>
      <c r="N220" s="241">
        <v>475.0</v>
      </c>
      <c r="O220" s="241">
        <v>680.0</v>
      </c>
      <c r="P220" s="241" t="s">
        <v>2204</v>
      </c>
      <c r="Q220" s="241" t="s">
        <v>2204</v>
      </c>
      <c r="R220" s="241" t="s">
        <v>2204</v>
      </c>
      <c r="S220" s="239" t="s">
        <v>2204</v>
      </c>
      <c r="T220" s="239" t="s">
        <v>4142</v>
      </c>
      <c r="U220" s="242" t="s">
        <v>2208</v>
      </c>
      <c r="V220" s="262" t="s">
        <v>6054</v>
      </c>
      <c r="W220" s="262" t="s">
        <v>6055</v>
      </c>
      <c r="X220" s="262" t="s">
        <v>5303</v>
      </c>
      <c r="Y220" s="239" t="s">
        <v>2325</v>
      </c>
      <c r="Z220" s="239" t="s">
        <v>2326</v>
      </c>
      <c r="AA220" s="239" t="s">
        <v>5382</v>
      </c>
      <c r="AB220" s="244" t="s">
        <v>202</v>
      </c>
      <c r="AC220" s="244" t="s">
        <v>90</v>
      </c>
      <c r="AD220" s="215" t="s">
        <v>2217</v>
      </c>
      <c r="AE220" s="244" t="s">
        <v>477</v>
      </c>
      <c r="AF220" s="250" t="s">
        <v>2293</v>
      </c>
      <c r="AG220" s="240" t="s">
        <v>138</v>
      </c>
      <c r="AH220" s="240" t="s">
        <v>41</v>
      </c>
      <c r="AI220" s="240" t="s">
        <v>2207</v>
      </c>
      <c r="AJ220" s="240" t="s">
        <v>2219</v>
      </c>
    </row>
    <row r="221" ht="15.0" hidden="1" customHeight="1">
      <c r="A221" s="239" t="s">
        <v>2172</v>
      </c>
      <c r="B221" s="239" t="s">
        <v>5839</v>
      </c>
      <c r="C221" s="239" t="s">
        <v>6057</v>
      </c>
      <c r="D221" s="239" t="s">
        <v>135</v>
      </c>
      <c r="E221" s="239" t="str">
        <f t="array" ref="E221">IFERROR(INDEX(REF_CODES!$B$8:$B$13,MATCH($D221,REF_CODES!$C$8:$C$13,0)),"")</f>
        <v>HB-RIA</v>
      </c>
      <c r="F221" s="239" t="s">
        <v>6059</v>
      </c>
      <c r="G221" s="262" t="s">
        <v>6060</v>
      </c>
      <c r="H221" s="250" t="s">
        <v>160</v>
      </c>
      <c r="I221" s="242" t="s">
        <v>4836</v>
      </c>
      <c r="J221" s="242" t="s">
        <v>5375</v>
      </c>
      <c r="K221" s="242" t="s">
        <v>4727</v>
      </c>
      <c r="L221" s="239" t="s">
        <v>2252</v>
      </c>
      <c r="M221" s="241">
        <v>340.0</v>
      </c>
      <c r="N221" s="241">
        <v>500.0</v>
      </c>
      <c r="O221" s="241">
        <v>710.0</v>
      </c>
      <c r="P221" s="241" t="s">
        <v>2204</v>
      </c>
      <c r="Q221" s="241" t="s">
        <v>2204</v>
      </c>
      <c r="R221" s="241" t="s">
        <v>2204</v>
      </c>
      <c r="S221" s="239" t="s">
        <v>2204</v>
      </c>
      <c r="T221" s="239" t="s">
        <v>6066</v>
      </c>
      <c r="U221" s="239" t="s">
        <v>6067</v>
      </c>
      <c r="V221" s="262" t="s">
        <v>6068</v>
      </c>
      <c r="W221" s="262" t="s">
        <v>6069</v>
      </c>
      <c r="X221" s="262" t="s">
        <v>6070</v>
      </c>
      <c r="Y221" s="239" t="s">
        <v>6071</v>
      </c>
      <c r="Z221" s="239" t="s">
        <v>6072</v>
      </c>
      <c r="AA221" s="239" t="s">
        <v>5382</v>
      </c>
      <c r="AB221" s="244" t="s">
        <v>188</v>
      </c>
      <c r="AC221" s="244" t="s">
        <v>97</v>
      </c>
      <c r="AD221" s="215" t="s">
        <v>2217</v>
      </c>
      <c r="AE221" s="244" t="s">
        <v>463</v>
      </c>
      <c r="AF221" s="245" t="s">
        <v>2218</v>
      </c>
      <c r="AG221" s="240" t="s">
        <v>138</v>
      </c>
      <c r="AH221" s="240" t="s">
        <v>41</v>
      </c>
      <c r="AI221" s="240" t="s">
        <v>2207</v>
      </c>
      <c r="AJ221" s="240" t="s">
        <v>2587</v>
      </c>
    </row>
    <row r="222" ht="15.0" hidden="1" customHeight="1">
      <c r="A222" s="239" t="s">
        <v>2172</v>
      </c>
      <c r="B222" s="239" t="s">
        <v>5839</v>
      </c>
      <c r="C222" s="239" t="s">
        <v>6075</v>
      </c>
      <c r="D222" s="239" t="s">
        <v>135</v>
      </c>
      <c r="E222" s="239" t="str">
        <f t="array" ref="E222">IFERROR(INDEX(REF_CODES!$B$8:$B$13,MATCH($D222,REF_CODES!$C$8:$C$13,0)),"")</f>
        <v>HB-RIA</v>
      </c>
      <c r="F222" s="239" t="s">
        <v>6077</v>
      </c>
      <c r="G222" s="262" t="s">
        <v>6078</v>
      </c>
      <c r="H222" s="250" t="s">
        <v>160</v>
      </c>
      <c r="I222" s="242" t="s">
        <v>6080</v>
      </c>
      <c r="J222" s="242" t="s">
        <v>2443</v>
      </c>
      <c r="K222" s="262">
        <v>28.0</v>
      </c>
      <c r="L222" s="239" t="s">
        <v>2252</v>
      </c>
      <c r="M222" s="241">
        <v>360.0</v>
      </c>
      <c r="N222" s="241">
        <v>525.0</v>
      </c>
      <c r="O222" s="241">
        <v>740.0</v>
      </c>
      <c r="P222" s="241" t="s">
        <v>2204</v>
      </c>
      <c r="Q222" s="241" t="s">
        <v>2204</v>
      </c>
      <c r="R222" s="241" t="s">
        <v>2204</v>
      </c>
      <c r="S222" s="239" t="s">
        <v>2204</v>
      </c>
      <c r="T222" s="239" t="s">
        <v>5858</v>
      </c>
      <c r="U222" s="242" t="s">
        <v>2208</v>
      </c>
      <c r="V222" s="262" t="s">
        <v>5859</v>
      </c>
      <c r="W222" s="262" t="s">
        <v>6081</v>
      </c>
      <c r="X222" s="262" t="s">
        <v>5862</v>
      </c>
      <c r="Y222" s="239" t="s">
        <v>6083</v>
      </c>
      <c r="Z222" s="239" t="s">
        <v>2204</v>
      </c>
      <c r="AA222" s="239" t="s">
        <v>5382</v>
      </c>
      <c r="AB222" s="244" t="s">
        <v>202</v>
      </c>
      <c r="AC222" s="244" t="s">
        <v>97</v>
      </c>
      <c r="AD222" s="215" t="s">
        <v>2217</v>
      </c>
      <c r="AE222" s="244" t="s">
        <v>477</v>
      </c>
      <c r="AF222" s="250" t="s">
        <v>5867</v>
      </c>
      <c r="AG222" s="240" t="s">
        <v>138</v>
      </c>
      <c r="AH222" s="240" t="s">
        <v>41</v>
      </c>
      <c r="AI222" s="240" t="s">
        <v>2207</v>
      </c>
      <c r="AJ222" s="240" t="s">
        <v>2587</v>
      </c>
    </row>
    <row r="223" ht="15.0" hidden="1" customHeight="1">
      <c r="A223" s="239" t="s">
        <v>2172</v>
      </c>
      <c r="B223" s="239" t="s">
        <v>5839</v>
      </c>
      <c r="C223" s="239" t="s">
        <v>6086</v>
      </c>
      <c r="D223" s="239" t="s">
        <v>135</v>
      </c>
      <c r="E223" s="239" t="str">
        <f t="array" ref="E223">IFERROR(INDEX(REF_CODES!$B$8:$B$13,MATCH($D223,REF_CODES!$C$8:$C$13,0)),"")</f>
        <v>HB-RIA</v>
      </c>
      <c r="F223" s="239" t="s">
        <v>6092</v>
      </c>
      <c r="G223" s="262" t="s">
        <v>6093</v>
      </c>
      <c r="H223" s="250" t="s">
        <v>160</v>
      </c>
      <c r="I223" s="242" t="s">
        <v>2662</v>
      </c>
      <c r="J223" s="242" t="s">
        <v>2306</v>
      </c>
      <c r="K223" s="242">
        <v>10.0</v>
      </c>
      <c r="L223" s="239" t="s">
        <v>2252</v>
      </c>
      <c r="M223" s="241">
        <v>380.0</v>
      </c>
      <c r="N223" s="241">
        <v>550.0</v>
      </c>
      <c r="O223" s="241">
        <v>770.0</v>
      </c>
      <c r="P223" s="241" t="s">
        <v>2204</v>
      </c>
      <c r="Q223" s="241" t="s">
        <v>2204</v>
      </c>
      <c r="R223" s="241" t="s">
        <v>2204</v>
      </c>
      <c r="S223" s="239" t="s">
        <v>2204</v>
      </c>
      <c r="T223" s="239" t="s">
        <v>6097</v>
      </c>
      <c r="U223" s="242" t="s">
        <v>2208</v>
      </c>
      <c r="V223" s="262" t="s">
        <v>6098</v>
      </c>
      <c r="W223" s="262" t="s">
        <v>6099</v>
      </c>
      <c r="X223" s="262" t="s">
        <v>6100</v>
      </c>
      <c r="Y223" s="239" t="s">
        <v>6101</v>
      </c>
      <c r="Z223" s="239" t="s">
        <v>6102</v>
      </c>
      <c r="AA223" s="239" t="s">
        <v>5382</v>
      </c>
      <c r="AB223" s="244" t="s">
        <v>188</v>
      </c>
      <c r="AC223" s="244" t="s">
        <v>97</v>
      </c>
      <c r="AD223" s="215" t="s">
        <v>2217</v>
      </c>
      <c r="AE223" s="244" t="s">
        <v>463</v>
      </c>
      <c r="AF223" s="245" t="s">
        <v>2218</v>
      </c>
      <c r="AG223" s="240" t="s">
        <v>138</v>
      </c>
      <c r="AH223" s="240" t="s">
        <v>41</v>
      </c>
      <c r="AI223" s="240" t="s">
        <v>2207</v>
      </c>
      <c r="AJ223" s="240" t="s">
        <v>2587</v>
      </c>
    </row>
    <row r="224" ht="15.0" hidden="1" customHeight="1">
      <c r="A224" s="239" t="s">
        <v>2172</v>
      </c>
      <c r="B224" s="239" t="s">
        <v>5839</v>
      </c>
      <c r="C224" s="239" t="s">
        <v>6109</v>
      </c>
      <c r="D224" s="239" t="s">
        <v>141</v>
      </c>
      <c r="E224" s="239" t="str">
        <f t="array" ref="E224">IFERROR(INDEX(REF_CODES!$B$8:$B$13,MATCH($D224,REF_CODES!$C$8:$C$13,0)),"")</f>
        <v>HB-NAT</v>
      </c>
      <c r="F224" s="239" t="s">
        <v>6031</v>
      </c>
      <c r="G224" s="262" t="s">
        <v>6117</v>
      </c>
      <c r="H224" s="250" t="s">
        <v>160</v>
      </c>
      <c r="I224" s="242" t="s">
        <v>3817</v>
      </c>
      <c r="J224" s="242" t="s">
        <v>2543</v>
      </c>
      <c r="K224" s="242">
        <v>19.0</v>
      </c>
      <c r="L224" s="239" t="s">
        <v>2252</v>
      </c>
      <c r="M224" s="241">
        <v>400.0</v>
      </c>
      <c r="N224" s="241">
        <v>575.0</v>
      </c>
      <c r="O224" s="241">
        <v>800.0</v>
      </c>
      <c r="P224" s="241" t="s">
        <v>2204</v>
      </c>
      <c r="Q224" s="241" t="s">
        <v>2204</v>
      </c>
      <c r="R224" s="241" t="s">
        <v>2204</v>
      </c>
      <c r="S224" s="239" t="s">
        <v>2204</v>
      </c>
      <c r="T224" s="239" t="s">
        <v>5641</v>
      </c>
      <c r="U224" s="242" t="s">
        <v>2208</v>
      </c>
      <c r="V224" s="262" t="s">
        <v>3822</v>
      </c>
      <c r="W224" s="262" t="s">
        <v>6123</v>
      </c>
      <c r="X224" s="262" t="s">
        <v>6124</v>
      </c>
      <c r="Y224" s="239" t="s">
        <v>5642</v>
      </c>
      <c r="Z224" s="239" t="s">
        <v>2204</v>
      </c>
      <c r="AA224" s="239" t="s">
        <v>5382</v>
      </c>
      <c r="AB224" s="244" t="s">
        <v>188</v>
      </c>
      <c r="AC224" s="244" t="s">
        <v>97</v>
      </c>
      <c r="AD224" s="215" t="s">
        <v>2217</v>
      </c>
      <c r="AE224" s="244" t="s">
        <v>469</v>
      </c>
      <c r="AF224" s="245" t="s">
        <v>2218</v>
      </c>
      <c r="AG224" s="240" t="s">
        <v>133</v>
      </c>
      <c r="AH224" s="240" t="s">
        <v>41</v>
      </c>
      <c r="AI224" s="240" t="s">
        <v>2207</v>
      </c>
      <c r="AJ224" s="240" t="s">
        <v>4057</v>
      </c>
    </row>
    <row r="225" ht="15.0" hidden="1" customHeight="1">
      <c r="A225" s="239" t="s">
        <v>2172</v>
      </c>
      <c r="B225" s="239" t="s">
        <v>5839</v>
      </c>
      <c r="C225" s="239" t="s">
        <v>6129</v>
      </c>
      <c r="D225" s="239" t="s">
        <v>127</v>
      </c>
      <c r="E225" s="239" t="str">
        <f t="array" ref="E225">IFERROR(INDEX(REF_CODES!$B$8:$B$13,MATCH($D225,REF_CODES!$C$8:$C$13,0)),"")</f>
        <v>HB-HOT</v>
      </c>
      <c r="F225" s="239" t="s">
        <v>6134</v>
      </c>
      <c r="G225" s="262" t="s">
        <v>6136</v>
      </c>
      <c r="H225" s="250" t="s">
        <v>160</v>
      </c>
      <c r="I225" s="242" t="s">
        <v>6137</v>
      </c>
      <c r="J225" s="242" t="s">
        <v>2224</v>
      </c>
      <c r="K225" s="242">
        <v>141.0</v>
      </c>
      <c r="L225" s="239" t="s">
        <v>2252</v>
      </c>
      <c r="M225" s="241">
        <v>420.0</v>
      </c>
      <c r="N225" s="241">
        <v>600.0</v>
      </c>
      <c r="O225" s="241">
        <v>830.0</v>
      </c>
      <c r="P225" s="241" t="s">
        <v>2204</v>
      </c>
      <c r="Q225" s="241" t="s">
        <v>2204</v>
      </c>
      <c r="R225" s="241" t="s">
        <v>2204</v>
      </c>
      <c r="S225" s="239" t="s">
        <v>2204</v>
      </c>
      <c r="T225" s="239" t="s">
        <v>2605</v>
      </c>
      <c r="U225" s="239" t="s">
        <v>6142</v>
      </c>
      <c r="V225" s="262" t="s">
        <v>2607</v>
      </c>
      <c r="W225" s="262" t="s">
        <v>6144</v>
      </c>
      <c r="X225" s="262" t="s">
        <v>6145</v>
      </c>
      <c r="Y225" s="239" t="s">
        <v>2610</v>
      </c>
      <c r="Z225" s="239" t="s">
        <v>2204</v>
      </c>
      <c r="AA225" s="239" t="s">
        <v>5382</v>
      </c>
      <c r="AB225" s="244" t="s">
        <v>202</v>
      </c>
      <c r="AC225" s="244" t="s">
        <v>90</v>
      </c>
      <c r="AD225" s="215" t="s">
        <v>2238</v>
      </c>
      <c r="AE225" s="244" t="s">
        <v>477</v>
      </c>
      <c r="AF225" s="250" t="s">
        <v>2293</v>
      </c>
      <c r="AG225" s="240" t="s">
        <v>138</v>
      </c>
      <c r="AH225" s="240" t="s">
        <v>41</v>
      </c>
      <c r="AI225" s="240" t="s">
        <v>2207</v>
      </c>
      <c r="AJ225" s="240" t="s">
        <v>2219</v>
      </c>
    </row>
    <row r="226" ht="15.0" hidden="1" customHeight="1">
      <c r="A226" s="239" t="s">
        <v>2172</v>
      </c>
      <c r="B226" s="239" t="s">
        <v>5839</v>
      </c>
      <c r="C226" s="239" t="s">
        <v>6147</v>
      </c>
      <c r="D226" s="239" t="s">
        <v>127</v>
      </c>
      <c r="E226" s="239" t="str">
        <f t="array" ref="E226">IFERROR(INDEX(REF_CODES!$B$8:$B$13,MATCH($D226,REF_CODES!$C$8:$C$13,0)),"")</f>
        <v>HB-HOT</v>
      </c>
      <c r="F226" s="239" t="s">
        <v>6151</v>
      </c>
      <c r="G226" s="262" t="s">
        <v>6152</v>
      </c>
      <c r="H226" s="250" t="s">
        <v>160</v>
      </c>
      <c r="I226" s="242" t="s">
        <v>2415</v>
      </c>
      <c r="J226" s="242" t="s">
        <v>2416</v>
      </c>
      <c r="K226" s="242">
        <v>63.0</v>
      </c>
      <c r="L226" s="239" t="s">
        <v>2252</v>
      </c>
      <c r="M226" s="241">
        <v>440.0</v>
      </c>
      <c r="N226" s="241">
        <v>625.0</v>
      </c>
      <c r="O226" s="241">
        <v>860.0</v>
      </c>
      <c r="P226" s="241" t="s">
        <v>2204</v>
      </c>
      <c r="Q226" s="241" t="s">
        <v>2204</v>
      </c>
      <c r="R226" s="241" t="s">
        <v>2204</v>
      </c>
      <c r="S226" s="239" t="s">
        <v>2204</v>
      </c>
      <c r="T226" s="239" t="s">
        <v>2418</v>
      </c>
      <c r="U226" s="242" t="s">
        <v>2208</v>
      </c>
      <c r="V226" s="262" t="s">
        <v>2419</v>
      </c>
      <c r="W226" s="262" t="s">
        <v>2420</v>
      </c>
      <c r="X226" s="262" t="s">
        <v>6158</v>
      </c>
      <c r="Y226" s="239" t="s">
        <v>2422</v>
      </c>
      <c r="Z226" s="239" t="s">
        <v>2423</v>
      </c>
      <c r="AA226" s="239" t="s">
        <v>5382</v>
      </c>
      <c r="AB226" s="244" t="s">
        <v>202</v>
      </c>
      <c r="AC226" s="244" t="s">
        <v>90</v>
      </c>
      <c r="AD226" s="215" t="s">
        <v>2238</v>
      </c>
      <c r="AE226" s="244" t="s">
        <v>477</v>
      </c>
      <c r="AF226" s="245" t="s">
        <v>2218</v>
      </c>
      <c r="AG226" s="240" t="s">
        <v>138</v>
      </c>
      <c r="AH226" s="240" t="s">
        <v>41</v>
      </c>
      <c r="AI226" s="240" t="s">
        <v>2207</v>
      </c>
      <c r="AJ226" s="240" t="s">
        <v>2219</v>
      </c>
    </row>
    <row r="227" ht="15.0" hidden="1" customHeight="1">
      <c r="A227" s="239" t="s">
        <v>2172</v>
      </c>
      <c r="B227" s="239" t="s">
        <v>5839</v>
      </c>
      <c r="C227" s="239" t="s">
        <v>6160</v>
      </c>
      <c r="D227" s="239" t="s">
        <v>127</v>
      </c>
      <c r="E227" s="239" t="str">
        <f t="array" ref="E227">IFERROR(INDEX(REF_CODES!$B$8:$B$13,MATCH($D227,REF_CODES!$C$8:$C$13,0)),"")</f>
        <v>HB-HOT</v>
      </c>
      <c r="F227" s="239" t="s">
        <v>6163</v>
      </c>
      <c r="G227" s="262" t="s">
        <v>6166</v>
      </c>
      <c r="H227" s="250" t="s">
        <v>160</v>
      </c>
      <c r="I227" s="242" t="s">
        <v>2343</v>
      </c>
      <c r="J227" s="242" t="s">
        <v>2298</v>
      </c>
      <c r="K227" s="242">
        <v>40.0</v>
      </c>
      <c r="L227" s="239" t="s">
        <v>2252</v>
      </c>
      <c r="M227" s="241">
        <v>460.0</v>
      </c>
      <c r="N227" s="241">
        <v>650.0</v>
      </c>
      <c r="O227" s="241">
        <v>890.0</v>
      </c>
      <c r="P227" s="241" t="s">
        <v>2204</v>
      </c>
      <c r="Q227" s="241" t="s">
        <v>2204</v>
      </c>
      <c r="R227" s="241" t="s">
        <v>2204</v>
      </c>
      <c r="S227" s="239" t="s">
        <v>2204</v>
      </c>
      <c r="T227" s="239" t="s">
        <v>2349</v>
      </c>
      <c r="U227" s="242" t="s">
        <v>2208</v>
      </c>
      <c r="V227" s="262" t="s">
        <v>2351</v>
      </c>
      <c r="W227" s="262" t="s">
        <v>2352</v>
      </c>
      <c r="X227" s="262" t="s">
        <v>6171</v>
      </c>
      <c r="Y227" s="239" t="s">
        <v>2355</v>
      </c>
      <c r="Z227" s="239" t="s">
        <v>2204</v>
      </c>
      <c r="AA227" s="239" t="s">
        <v>5382</v>
      </c>
      <c r="AB227" s="244" t="s">
        <v>202</v>
      </c>
      <c r="AC227" s="244" t="s">
        <v>90</v>
      </c>
      <c r="AD227" s="215" t="s">
        <v>2238</v>
      </c>
      <c r="AE227" s="244" t="s">
        <v>477</v>
      </c>
      <c r="AF227" s="245" t="s">
        <v>2218</v>
      </c>
      <c r="AG227" s="240" t="s">
        <v>138</v>
      </c>
      <c r="AH227" s="240" t="s">
        <v>41</v>
      </c>
      <c r="AI227" s="240" t="s">
        <v>2207</v>
      </c>
      <c r="AJ227" s="240" t="s">
        <v>2219</v>
      </c>
    </row>
    <row r="228" ht="15.0" hidden="1" customHeight="1">
      <c r="A228" s="239" t="s">
        <v>2172</v>
      </c>
      <c r="B228" s="239" t="s">
        <v>5839</v>
      </c>
      <c r="C228" s="239" t="s">
        <v>6173</v>
      </c>
      <c r="D228" s="239" t="s">
        <v>127</v>
      </c>
      <c r="E228" s="239" t="str">
        <f t="array" ref="E228">IFERROR(INDEX(REF_CODES!$B$8:$B$13,MATCH($D228,REF_CODES!$C$8:$C$13,0)),"")</f>
        <v>HB-HOT</v>
      </c>
      <c r="F228" s="239" t="s">
        <v>6178</v>
      </c>
      <c r="G228" s="262" t="s">
        <v>6179</v>
      </c>
      <c r="H228" s="250" t="s">
        <v>4940</v>
      </c>
      <c r="I228" s="242" t="s">
        <v>2297</v>
      </c>
      <c r="J228" s="242" t="s">
        <v>2416</v>
      </c>
      <c r="K228" s="242">
        <v>111.0</v>
      </c>
      <c r="L228" s="239" t="s">
        <v>2252</v>
      </c>
      <c r="M228" s="241" t="s">
        <v>2204</v>
      </c>
      <c r="N228" s="241" t="s">
        <v>2204</v>
      </c>
      <c r="O228" s="241" t="s">
        <v>2204</v>
      </c>
      <c r="P228" s="241" t="s">
        <v>2204</v>
      </c>
      <c r="Q228" s="241" t="s">
        <v>2204</v>
      </c>
      <c r="R228" s="241" t="s">
        <v>2204</v>
      </c>
      <c r="S228" s="239" t="s">
        <v>2204</v>
      </c>
      <c r="T228" s="239" t="s">
        <v>4949</v>
      </c>
      <c r="U228" s="242" t="s">
        <v>2208</v>
      </c>
      <c r="V228" s="262" t="s">
        <v>2301</v>
      </c>
      <c r="W228" s="262" t="s">
        <v>6186</v>
      </c>
      <c r="X228" s="262" t="s">
        <v>6187</v>
      </c>
      <c r="Y228" s="239" t="s">
        <v>6189</v>
      </c>
      <c r="Z228" s="239" t="s">
        <v>2204</v>
      </c>
      <c r="AA228" s="239" t="s">
        <v>5382</v>
      </c>
      <c r="AB228" s="244" t="s">
        <v>202</v>
      </c>
      <c r="AC228" s="244" t="s">
        <v>90</v>
      </c>
      <c r="AD228" s="215" t="s">
        <v>2238</v>
      </c>
      <c r="AE228" s="244" t="s">
        <v>477</v>
      </c>
      <c r="AF228" s="250" t="s">
        <v>2293</v>
      </c>
      <c r="AG228" s="240" t="s">
        <v>138</v>
      </c>
      <c r="AH228" s="240" t="s">
        <v>41</v>
      </c>
      <c r="AI228" s="240" t="s">
        <v>2207</v>
      </c>
      <c r="AJ228" s="240" t="s">
        <v>2219</v>
      </c>
    </row>
    <row r="229" ht="15.0" hidden="1" customHeight="1">
      <c r="A229" s="239" t="s">
        <v>2172</v>
      </c>
      <c r="B229" s="239" t="s">
        <v>5839</v>
      </c>
      <c r="C229" s="239" t="s">
        <v>6192</v>
      </c>
      <c r="D229" s="239" t="s">
        <v>127</v>
      </c>
      <c r="E229" s="239" t="str">
        <f t="array" ref="E229">IFERROR(INDEX(REF_CODES!$B$8:$B$13,MATCH($D229,REF_CODES!$C$8:$C$13,0)),"")</f>
        <v>HB-HOT</v>
      </c>
      <c r="F229" s="239" t="s">
        <v>6202</v>
      </c>
      <c r="G229" s="262" t="s">
        <v>6204</v>
      </c>
      <c r="H229" s="250" t="s">
        <v>4940</v>
      </c>
      <c r="I229" s="242" t="s">
        <v>2626</v>
      </c>
      <c r="J229" s="242" t="s">
        <v>2627</v>
      </c>
      <c r="K229" s="242">
        <v>60.0</v>
      </c>
      <c r="L229" s="239" t="s">
        <v>2252</v>
      </c>
      <c r="M229" s="241" t="s">
        <v>2204</v>
      </c>
      <c r="N229" s="241" t="s">
        <v>2204</v>
      </c>
      <c r="O229" s="241" t="s">
        <v>2204</v>
      </c>
      <c r="P229" s="241" t="s">
        <v>2204</v>
      </c>
      <c r="Q229" s="241" t="s">
        <v>2204</v>
      </c>
      <c r="R229" s="241" t="s">
        <v>2204</v>
      </c>
      <c r="S229" s="239" t="s">
        <v>2204</v>
      </c>
      <c r="T229" s="239" t="s">
        <v>2633</v>
      </c>
      <c r="U229" s="242" t="s">
        <v>2208</v>
      </c>
      <c r="V229" s="262" t="s">
        <v>2635</v>
      </c>
      <c r="W229" s="262" t="s">
        <v>6208</v>
      </c>
      <c r="X229" s="262" t="s">
        <v>6211</v>
      </c>
      <c r="Y229" s="239" t="s">
        <v>2640</v>
      </c>
      <c r="Z229" s="239" t="s">
        <v>2641</v>
      </c>
      <c r="AA229" s="239" t="s">
        <v>5382</v>
      </c>
      <c r="AB229" s="244" t="s">
        <v>202</v>
      </c>
      <c r="AC229" s="244" t="s">
        <v>90</v>
      </c>
      <c r="AD229" s="215" t="s">
        <v>2238</v>
      </c>
      <c r="AE229" s="244" t="s">
        <v>477</v>
      </c>
      <c r="AF229" s="250" t="s">
        <v>2293</v>
      </c>
      <c r="AG229" s="240" t="s">
        <v>138</v>
      </c>
      <c r="AH229" s="240" t="s">
        <v>41</v>
      </c>
      <c r="AI229" s="240" t="s">
        <v>2207</v>
      </c>
      <c r="AJ229" s="240" t="s">
        <v>2219</v>
      </c>
    </row>
    <row r="230" ht="15.0" hidden="1" customHeight="1">
      <c r="A230" s="239" t="s">
        <v>2172</v>
      </c>
      <c r="B230" s="239" t="s">
        <v>5839</v>
      </c>
      <c r="C230" s="239" t="s">
        <v>6215</v>
      </c>
      <c r="D230" s="239" t="s">
        <v>130</v>
      </c>
      <c r="E230" s="239" t="str">
        <f t="array" ref="E230">IFERROR(INDEX(REF_CODES!$B$8:$B$13,MATCH($D230,REF_CODES!$C$8:$C$13,0)),"")</f>
        <v>HB-INC</v>
      </c>
      <c r="F230" s="239" t="s">
        <v>6222</v>
      </c>
      <c r="G230" s="262" t="s">
        <v>6224</v>
      </c>
      <c r="H230" s="250" t="s">
        <v>4940</v>
      </c>
      <c r="I230" s="242" t="s">
        <v>5171</v>
      </c>
      <c r="J230" s="242" t="s">
        <v>2306</v>
      </c>
      <c r="K230" s="242">
        <v>30.0</v>
      </c>
      <c r="L230" s="262" t="s">
        <v>2252</v>
      </c>
      <c r="M230" s="262" t="s">
        <v>3034</v>
      </c>
      <c r="N230" s="262" t="s">
        <v>6227</v>
      </c>
      <c r="O230" s="262" t="s">
        <v>6227</v>
      </c>
      <c r="P230" s="262" t="s">
        <v>6227</v>
      </c>
      <c r="Q230" s="262" t="s">
        <v>6227</v>
      </c>
      <c r="R230" s="262" t="s">
        <v>6227</v>
      </c>
      <c r="S230" s="262" t="s">
        <v>6227</v>
      </c>
      <c r="T230" s="239" t="s">
        <v>2742</v>
      </c>
      <c r="U230" s="242" t="s">
        <v>2208</v>
      </c>
      <c r="V230" s="262" t="s">
        <v>6229</v>
      </c>
      <c r="W230" s="262" t="s">
        <v>5175</v>
      </c>
      <c r="X230" s="262" t="s">
        <v>6231</v>
      </c>
      <c r="Y230" s="239" t="s">
        <v>5177</v>
      </c>
      <c r="Z230" s="239" t="s">
        <v>2204</v>
      </c>
      <c r="AA230" s="239" t="s">
        <v>5382</v>
      </c>
      <c r="AB230" s="244" t="s">
        <v>202</v>
      </c>
      <c r="AC230" s="244" t="s">
        <v>90</v>
      </c>
      <c r="AD230" s="215" t="s">
        <v>2217</v>
      </c>
      <c r="AE230" s="244" t="s">
        <v>477</v>
      </c>
      <c r="AF230" s="250" t="s">
        <v>4890</v>
      </c>
      <c r="AG230" s="240" t="s">
        <v>142</v>
      </c>
      <c r="AH230" s="240" t="s">
        <v>48</v>
      </c>
      <c r="AI230" s="240" t="s">
        <v>2207</v>
      </c>
      <c r="AJ230" s="240" t="s">
        <v>2913</v>
      </c>
    </row>
    <row r="231" ht="15.0" hidden="1" customHeight="1">
      <c r="A231" s="239" t="s">
        <v>2172</v>
      </c>
      <c r="B231" s="239" t="s">
        <v>5839</v>
      </c>
      <c r="C231" s="239" t="s">
        <v>6232</v>
      </c>
      <c r="D231" s="239" t="s">
        <v>139</v>
      </c>
      <c r="E231" s="239" t="str">
        <f t="array" ref="E231">IFERROR(INDEX(REF_CODES!$B$8:$B$13,MATCH($D231,REF_CODES!$C$8:$C$13,0)),"")</f>
        <v>HB-COL</v>
      </c>
      <c r="F231" s="239" t="s">
        <v>6237</v>
      </c>
      <c r="G231" s="262" t="s">
        <v>6224</v>
      </c>
      <c r="H231" s="250" t="s">
        <v>4940</v>
      </c>
      <c r="I231" s="242" t="s">
        <v>5171</v>
      </c>
      <c r="J231" s="242" t="s">
        <v>2306</v>
      </c>
      <c r="K231" s="242">
        <v>30.0</v>
      </c>
      <c r="L231" s="262" t="s">
        <v>2252</v>
      </c>
      <c r="M231" s="262" t="s">
        <v>3034</v>
      </c>
      <c r="N231" s="262" t="s">
        <v>6227</v>
      </c>
      <c r="O231" s="262" t="s">
        <v>6227</v>
      </c>
      <c r="P231" s="262" t="s">
        <v>6227</v>
      </c>
      <c r="Q231" s="262" t="s">
        <v>6227</v>
      </c>
      <c r="R231" s="262" t="s">
        <v>6227</v>
      </c>
      <c r="S231" s="262" t="s">
        <v>6227</v>
      </c>
      <c r="T231" s="239" t="s">
        <v>2742</v>
      </c>
      <c r="U231" s="242" t="s">
        <v>2208</v>
      </c>
      <c r="V231" s="262" t="s">
        <v>6229</v>
      </c>
      <c r="W231" s="262" t="s">
        <v>5175</v>
      </c>
      <c r="X231" s="262" t="s">
        <v>6231</v>
      </c>
      <c r="Y231" s="239" t="s">
        <v>5177</v>
      </c>
      <c r="Z231" s="239" t="s">
        <v>2204</v>
      </c>
      <c r="AA231" s="239" t="s">
        <v>5382</v>
      </c>
      <c r="AB231" s="244" t="s">
        <v>202</v>
      </c>
      <c r="AC231" s="244" t="s">
        <v>90</v>
      </c>
      <c r="AD231" s="215" t="s">
        <v>2217</v>
      </c>
      <c r="AE231" s="244" t="s">
        <v>477</v>
      </c>
      <c r="AF231" s="250" t="s">
        <v>4890</v>
      </c>
      <c r="AG231" s="240" t="s">
        <v>142</v>
      </c>
      <c r="AH231" s="240" t="s">
        <v>48</v>
      </c>
      <c r="AI231" s="240" t="s">
        <v>2207</v>
      </c>
      <c r="AJ231" s="240" t="s">
        <v>2913</v>
      </c>
    </row>
    <row r="232" ht="15.0" hidden="1" customHeight="1">
      <c r="A232" s="239" t="s">
        <v>2172</v>
      </c>
      <c r="B232" s="239" t="s">
        <v>5839</v>
      </c>
      <c r="C232" s="239" t="s">
        <v>6240</v>
      </c>
      <c r="D232" s="239" t="s">
        <v>139</v>
      </c>
      <c r="E232" s="239" t="str">
        <f t="array" ref="E232">IFERROR(INDEX(REF_CODES!$B$8:$B$13,MATCH($D232,REF_CODES!$C$8:$C$13,0)),"")</f>
        <v>HB-COL</v>
      </c>
      <c r="F232" s="239" t="s">
        <v>6244</v>
      </c>
      <c r="G232" s="262" t="s">
        <v>6245</v>
      </c>
      <c r="H232" s="250" t="s">
        <v>4940</v>
      </c>
      <c r="I232" s="242" t="s">
        <v>4836</v>
      </c>
      <c r="J232" s="242" t="s">
        <v>5375</v>
      </c>
      <c r="K232" s="242" t="s">
        <v>4727</v>
      </c>
      <c r="L232" s="262" t="s">
        <v>2252</v>
      </c>
      <c r="M232" s="262" t="s">
        <v>3034</v>
      </c>
      <c r="N232" s="262" t="s">
        <v>6227</v>
      </c>
      <c r="O232" s="262" t="s">
        <v>6227</v>
      </c>
      <c r="P232" s="262" t="s">
        <v>6227</v>
      </c>
      <c r="Q232" s="262" t="s">
        <v>6227</v>
      </c>
      <c r="R232" s="262" t="s">
        <v>6227</v>
      </c>
      <c r="S232" s="262" t="s">
        <v>6227</v>
      </c>
      <c r="T232" s="239" t="s">
        <v>6248</v>
      </c>
      <c r="U232" s="262" t="s">
        <v>6249</v>
      </c>
      <c r="V232" s="262" t="s">
        <v>6251</v>
      </c>
      <c r="W232" s="262" t="s">
        <v>6252</v>
      </c>
      <c r="X232" s="262" t="s">
        <v>6253</v>
      </c>
      <c r="Y232" s="239" t="s">
        <v>6254</v>
      </c>
      <c r="Z232" s="262" t="s">
        <v>6255</v>
      </c>
      <c r="AA232" s="239" t="s">
        <v>5382</v>
      </c>
      <c r="AB232" s="244" t="s">
        <v>202</v>
      </c>
      <c r="AC232" s="244" t="s">
        <v>90</v>
      </c>
      <c r="AD232" s="215" t="s">
        <v>2217</v>
      </c>
      <c r="AE232" s="244" t="s">
        <v>477</v>
      </c>
      <c r="AF232" s="245" t="s">
        <v>2218</v>
      </c>
      <c r="AG232" s="240" t="s">
        <v>138</v>
      </c>
      <c r="AH232" s="240" t="s">
        <v>41</v>
      </c>
      <c r="AI232" s="240" t="s">
        <v>2207</v>
      </c>
      <c r="AJ232" s="240" t="s">
        <v>2913</v>
      </c>
    </row>
    <row r="233" ht="15.0" hidden="1" customHeight="1">
      <c r="A233" s="239" t="s">
        <v>2172</v>
      </c>
      <c r="B233" s="239" t="s">
        <v>5839</v>
      </c>
      <c r="C233" s="239" t="s">
        <v>6260</v>
      </c>
      <c r="D233" s="239" t="s">
        <v>130</v>
      </c>
      <c r="E233" s="239" t="str">
        <f t="array" ref="E233">IFERROR(INDEX(REF_CODES!$B$8:$B$13,MATCH($D233,REF_CODES!$C$8:$C$13,0)),"")</f>
        <v>HB-INC</v>
      </c>
      <c r="F233" s="239" t="s">
        <v>6264</v>
      </c>
      <c r="G233" s="262" t="s">
        <v>6266</v>
      </c>
      <c r="H233" s="250" t="s">
        <v>4940</v>
      </c>
      <c r="I233" s="242" t="s">
        <v>6267</v>
      </c>
      <c r="J233" s="242" t="s">
        <v>2511</v>
      </c>
      <c r="K233" s="242" t="s">
        <v>4727</v>
      </c>
      <c r="L233" s="262" t="s">
        <v>2252</v>
      </c>
      <c r="M233" s="262" t="s">
        <v>3034</v>
      </c>
      <c r="N233" s="262" t="s">
        <v>6227</v>
      </c>
      <c r="O233" s="262" t="s">
        <v>6227</v>
      </c>
      <c r="P233" s="262" t="s">
        <v>6227</v>
      </c>
      <c r="Q233" s="262" t="s">
        <v>6227</v>
      </c>
      <c r="R233" s="262" t="s">
        <v>6227</v>
      </c>
      <c r="S233" s="262" t="s">
        <v>6227</v>
      </c>
      <c r="T233" s="239" t="s">
        <v>6274</v>
      </c>
      <c r="U233" s="262" t="s">
        <v>6275</v>
      </c>
      <c r="V233" s="262" t="s">
        <v>6276</v>
      </c>
      <c r="W233" s="262" t="s">
        <v>6277</v>
      </c>
      <c r="X233" s="262" t="s">
        <v>6280</v>
      </c>
      <c r="Y233" s="239" t="s">
        <v>6283</v>
      </c>
      <c r="Z233" s="262" t="s">
        <v>6284</v>
      </c>
      <c r="AA233" s="239" t="s">
        <v>5382</v>
      </c>
      <c r="AB233" s="244" t="s">
        <v>202</v>
      </c>
      <c r="AC233" s="244" t="s">
        <v>90</v>
      </c>
      <c r="AD233" s="215" t="s">
        <v>2217</v>
      </c>
      <c r="AE233" s="244" t="s">
        <v>477</v>
      </c>
      <c r="AF233" s="245" t="s">
        <v>2218</v>
      </c>
      <c r="AG233" s="240" t="s">
        <v>138</v>
      </c>
      <c r="AH233" s="240" t="s">
        <v>41</v>
      </c>
      <c r="AI233" s="240" t="s">
        <v>2207</v>
      </c>
      <c r="AJ233" s="240" t="s">
        <v>2913</v>
      </c>
    </row>
    <row r="234" ht="15.0" hidden="1" customHeight="1">
      <c r="A234" s="239" t="s">
        <v>2172</v>
      </c>
      <c r="B234" s="239" t="s">
        <v>5839</v>
      </c>
      <c r="C234" s="239" t="s">
        <v>6287</v>
      </c>
      <c r="D234" s="239" t="s">
        <v>139</v>
      </c>
      <c r="E234" s="239" t="str">
        <f t="array" ref="E234">IFERROR(INDEX(REF_CODES!$B$8:$B$13,MATCH($D234,REF_CODES!$C$8:$C$13,0)),"")</f>
        <v>HB-COL</v>
      </c>
      <c r="F234" s="239" t="s">
        <v>6294</v>
      </c>
      <c r="G234" s="262" t="s">
        <v>6266</v>
      </c>
      <c r="H234" s="250" t="s">
        <v>4940</v>
      </c>
      <c r="I234" s="242" t="s">
        <v>6267</v>
      </c>
      <c r="J234" s="242" t="s">
        <v>2511</v>
      </c>
      <c r="K234" s="242" t="s">
        <v>4727</v>
      </c>
      <c r="L234" s="262" t="s">
        <v>2252</v>
      </c>
      <c r="M234" s="262" t="s">
        <v>3034</v>
      </c>
      <c r="N234" s="262" t="s">
        <v>6227</v>
      </c>
      <c r="O234" s="262" t="s">
        <v>6227</v>
      </c>
      <c r="P234" s="262" t="s">
        <v>6227</v>
      </c>
      <c r="Q234" s="262" t="s">
        <v>6227</v>
      </c>
      <c r="R234" s="262" t="s">
        <v>6227</v>
      </c>
      <c r="S234" s="262" t="s">
        <v>6227</v>
      </c>
      <c r="T234" s="239" t="s">
        <v>6274</v>
      </c>
      <c r="U234" s="262" t="s">
        <v>6275</v>
      </c>
      <c r="V234" s="262" t="s">
        <v>6276</v>
      </c>
      <c r="W234" s="262" t="s">
        <v>6277</v>
      </c>
      <c r="X234" s="262" t="s">
        <v>6280</v>
      </c>
      <c r="Y234" s="239" t="s">
        <v>6283</v>
      </c>
      <c r="Z234" s="262" t="s">
        <v>6284</v>
      </c>
      <c r="AA234" s="239" t="s">
        <v>5382</v>
      </c>
      <c r="AB234" s="244" t="s">
        <v>202</v>
      </c>
      <c r="AC234" s="244" t="s">
        <v>90</v>
      </c>
      <c r="AD234" s="215" t="s">
        <v>2217</v>
      </c>
      <c r="AE234" s="244" t="s">
        <v>477</v>
      </c>
      <c r="AF234" s="245" t="s">
        <v>2218</v>
      </c>
      <c r="AG234" s="240" t="s">
        <v>138</v>
      </c>
      <c r="AH234" s="240" t="s">
        <v>41</v>
      </c>
      <c r="AI234" s="240" t="s">
        <v>2207</v>
      </c>
      <c r="AJ234" s="240" t="s">
        <v>2913</v>
      </c>
    </row>
    <row r="235" ht="15.0" hidden="1" customHeight="1">
      <c r="A235" s="239" t="s">
        <v>2172</v>
      </c>
      <c r="B235" s="239" t="s">
        <v>5839</v>
      </c>
      <c r="C235" s="239" t="s">
        <v>6301</v>
      </c>
      <c r="D235" s="239" t="s">
        <v>130</v>
      </c>
      <c r="E235" s="239" t="str">
        <f t="array" ref="E235">IFERROR(INDEX(REF_CODES!$B$8:$B$13,MATCH($D235,REF_CODES!$C$8:$C$13,0)),"")</f>
        <v>HB-INC</v>
      </c>
      <c r="F235" s="239" t="s">
        <v>6307</v>
      </c>
      <c r="G235" s="262" t="s">
        <v>6308</v>
      </c>
      <c r="H235" s="250" t="s">
        <v>4940</v>
      </c>
      <c r="I235" s="242" t="s">
        <v>4836</v>
      </c>
      <c r="J235" s="242" t="s">
        <v>5375</v>
      </c>
      <c r="K235" s="242" t="s">
        <v>4727</v>
      </c>
      <c r="L235" s="262" t="s">
        <v>2252</v>
      </c>
      <c r="M235" s="262" t="s">
        <v>3034</v>
      </c>
      <c r="N235" s="262" t="s">
        <v>6227</v>
      </c>
      <c r="O235" s="262" t="s">
        <v>6227</v>
      </c>
      <c r="P235" s="262" t="s">
        <v>6227</v>
      </c>
      <c r="Q235" s="262" t="s">
        <v>6227</v>
      </c>
      <c r="R235" s="262" t="s">
        <v>6227</v>
      </c>
      <c r="S235" s="262" t="s">
        <v>6227</v>
      </c>
      <c r="T235" s="239" t="s">
        <v>6312</v>
      </c>
      <c r="U235" s="262" t="s">
        <v>6314</v>
      </c>
      <c r="V235" s="262" t="s">
        <v>6315</v>
      </c>
      <c r="W235" s="262" t="s">
        <v>6316</v>
      </c>
      <c r="X235" s="262" t="s">
        <v>6318</v>
      </c>
      <c r="Y235" s="239" t="s">
        <v>6319</v>
      </c>
      <c r="Z235" s="239" t="s">
        <v>2204</v>
      </c>
      <c r="AA235" s="239" t="s">
        <v>5382</v>
      </c>
      <c r="AB235" s="244" t="s">
        <v>202</v>
      </c>
      <c r="AC235" s="244" t="s">
        <v>90</v>
      </c>
      <c r="AD235" s="215" t="s">
        <v>2217</v>
      </c>
      <c r="AE235" s="244" t="s">
        <v>477</v>
      </c>
      <c r="AF235" s="245" t="s">
        <v>2218</v>
      </c>
      <c r="AG235" s="240" t="s">
        <v>138</v>
      </c>
      <c r="AH235" s="240" t="s">
        <v>41</v>
      </c>
      <c r="AI235" s="240" t="s">
        <v>2207</v>
      </c>
      <c r="AJ235" s="240" t="s">
        <v>2913</v>
      </c>
    </row>
    <row r="236" ht="15.0" hidden="1" customHeight="1">
      <c r="A236" s="239" t="s">
        <v>2172</v>
      </c>
      <c r="B236" s="239" t="s">
        <v>5839</v>
      </c>
      <c r="C236" s="239" t="s">
        <v>6324</v>
      </c>
      <c r="D236" s="239" t="s">
        <v>139</v>
      </c>
      <c r="E236" s="239" t="str">
        <f t="array" ref="E236">IFERROR(INDEX(REF_CODES!$B$8:$B$13,MATCH($D236,REF_CODES!$C$8:$C$13,0)),"")</f>
        <v>HB-COL</v>
      </c>
      <c r="F236" s="239" t="s">
        <v>6327</v>
      </c>
      <c r="G236" s="262" t="s">
        <v>6308</v>
      </c>
      <c r="H236" s="250" t="s">
        <v>4940</v>
      </c>
      <c r="I236" s="242" t="s">
        <v>4836</v>
      </c>
      <c r="J236" s="242" t="s">
        <v>5375</v>
      </c>
      <c r="K236" s="242" t="s">
        <v>4727</v>
      </c>
      <c r="L236" s="262" t="s">
        <v>2252</v>
      </c>
      <c r="M236" s="262" t="s">
        <v>3034</v>
      </c>
      <c r="N236" s="262" t="s">
        <v>6227</v>
      </c>
      <c r="O236" s="262" t="s">
        <v>6227</v>
      </c>
      <c r="P236" s="262" t="s">
        <v>6227</v>
      </c>
      <c r="Q236" s="262" t="s">
        <v>6227</v>
      </c>
      <c r="R236" s="262" t="s">
        <v>6227</v>
      </c>
      <c r="S236" s="262" t="s">
        <v>6227</v>
      </c>
      <c r="T236" s="239" t="s">
        <v>6312</v>
      </c>
      <c r="U236" s="262" t="s">
        <v>6314</v>
      </c>
      <c r="V236" s="262" t="s">
        <v>6315</v>
      </c>
      <c r="W236" s="262" t="s">
        <v>6316</v>
      </c>
      <c r="X236" s="262" t="s">
        <v>6318</v>
      </c>
      <c r="Y236" s="239" t="s">
        <v>6319</v>
      </c>
      <c r="Z236" s="239" t="s">
        <v>2204</v>
      </c>
      <c r="AA236" s="239" t="s">
        <v>5382</v>
      </c>
      <c r="AB236" s="244" t="s">
        <v>202</v>
      </c>
      <c r="AC236" s="244" t="s">
        <v>90</v>
      </c>
      <c r="AD236" s="215" t="s">
        <v>2217</v>
      </c>
      <c r="AE236" s="244" t="s">
        <v>477</v>
      </c>
      <c r="AF236" s="245" t="s">
        <v>2218</v>
      </c>
      <c r="AG236" s="240" t="s">
        <v>138</v>
      </c>
      <c r="AH236" s="240" t="s">
        <v>41</v>
      </c>
      <c r="AI236" s="240" t="s">
        <v>2207</v>
      </c>
      <c r="AJ236" s="240" t="s">
        <v>2913</v>
      </c>
    </row>
    <row r="237" ht="15.0" hidden="1" customHeight="1">
      <c r="A237" s="239" t="s">
        <v>2172</v>
      </c>
      <c r="B237" s="239" t="s">
        <v>5839</v>
      </c>
      <c r="C237" s="239" t="s">
        <v>6338</v>
      </c>
      <c r="D237" s="239" t="s">
        <v>139</v>
      </c>
      <c r="E237" s="239" t="str">
        <f t="array" ref="E237">IFERROR(INDEX(REF_CODES!$B$8:$B$13,MATCH($D237,REF_CODES!$C$8:$C$13,0)),"")</f>
        <v>HB-COL</v>
      </c>
      <c r="F237" s="239" t="s">
        <v>6344</v>
      </c>
      <c r="G237" s="262" t="s">
        <v>6347</v>
      </c>
      <c r="H237" s="250" t="s">
        <v>157</v>
      </c>
      <c r="I237" s="242" t="s">
        <v>6348</v>
      </c>
      <c r="J237" s="242" t="s">
        <v>6349</v>
      </c>
      <c r="K237" s="262">
        <v>38.0</v>
      </c>
      <c r="L237" s="262" t="s">
        <v>2252</v>
      </c>
      <c r="M237" s="262" t="s">
        <v>3034</v>
      </c>
      <c r="N237" s="262" t="s">
        <v>6227</v>
      </c>
      <c r="O237" s="262" t="s">
        <v>6227</v>
      </c>
      <c r="P237" s="262" t="s">
        <v>6227</v>
      </c>
      <c r="Q237" s="262" t="s">
        <v>6227</v>
      </c>
      <c r="R237" s="262" t="s">
        <v>6227</v>
      </c>
      <c r="S237" s="262" t="s">
        <v>6227</v>
      </c>
      <c r="T237" s="239" t="s">
        <v>6352</v>
      </c>
      <c r="U237" s="242" t="s">
        <v>2208</v>
      </c>
      <c r="V237" s="262" t="s">
        <v>6356</v>
      </c>
      <c r="W237" s="262" t="s">
        <v>6357</v>
      </c>
      <c r="X237" s="262" t="s">
        <v>6358</v>
      </c>
      <c r="Y237" s="239" t="s">
        <v>6360</v>
      </c>
      <c r="Z237" s="239" t="s">
        <v>2204</v>
      </c>
      <c r="AA237" s="239" t="s">
        <v>5382</v>
      </c>
      <c r="AB237" s="244" t="s">
        <v>202</v>
      </c>
      <c r="AC237" s="244" t="s">
        <v>90</v>
      </c>
      <c r="AD237" s="215" t="s">
        <v>2238</v>
      </c>
      <c r="AE237" s="244" t="s">
        <v>477</v>
      </c>
      <c r="AF237" s="245" t="s">
        <v>2218</v>
      </c>
      <c r="AG237" s="240" t="s">
        <v>142</v>
      </c>
      <c r="AH237" s="240" t="s">
        <v>48</v>
      </c>
      <c r="AI237" s="240" t="s">
        <v>2207</v>
      </c>
      <c r="AJ237" s="240" t="s">
        <v>2913</v>
      </c>
    </row>
    <row r="238" ht="15.0" customHeight="1">
      <c r="A238" s="239" t="s">
        <v>2172</v>
      </c>
      <c r="B238" s="239" t="s">
        <v>1052</v>
      </c>
      <c r="C238" s="239" t="s">
        <v>6364</v>
      </c>
      <c r="D238" s="239" t="s">
        <v>135</v>
      </c>
      <c r="E238" s="239" t="str">
        <f t="array" ref="E238">IFERROR(INDEX(REF_CODES!$B$8:$B$13,MATCH($D238,REF_CODES!$C$8:$C$13,0)),"")</f>
        <v>HB-RIA</v>
      </c>
      <c r="F238" s="239" t="s">
        <v>6370</v>
      </c>
      <c r="G238" s="239" t="s">
        <v>2198</v>
      </c>
      <c r="H238" s="240" t="s">
        <v>173</v>
      </c>
      <c r="I238" s="239"/>
      <c r="J238" s="239" t="s">
        <v>2200</v>
      </c>
      <c r="K238" s="239"/>
      <c r="L238" s="239"/>
      <c r="M238" s="241">
        <v>1300.0</v>
      </c>
      <c r="N238" s="241"/>
      <c r="O238" s="241"/>
      <c r="P238" s="241"/>
      <c r="Q238" s="241"/>
      <c r="R238" s="241"/>
      <c r="S238" s="239" t="s">
        <v>6377</v>
      </c>
      <c r="T238" s="239" t="s">
        <v>4024</v>
      </c>
      <c r="U238" s="242"/>
      <c r="V238" s="239" t="s">
        <v>4024</v>
      </c>
      <c r="W238" s="242"/>
      <c r="X238" s="239"/>
      <c r="Y238" s="239"/>
      <c r="Z238" s="239"/>
      <c r="AA238" s="239"/>
      <c r="AB238" s="244" t="s">
        <v>202</v>
      </c>
      <c r="AC238" s="244"/>
      <c r="AD238" s="215"/>
      <c r="AE238" s="244"/>
      <c r="AF238" s="245"/>
      <c r="AG238" s="240"/>
      <c r="AH238" s="240"/>
      <c r="AI238" s="240"/>
      <c r="AJ238" s="240"/>
    </row>
    <row r="239" ht="15.0" hidden="1" customHeight="1">
      <c r="A239" s="239" t="s">
        <v>2172</v>
      </c>
      <c r="B239" s="239" t="s">
        <v>5839</v>
      </c>
      <c r="C239" s="239" t="s">
        <v>6380</v>
      </c>
      <c r="D239" s="239" t="s">
        <v>127</v>
      </c>
      <c r="E239" s="239" t="str">
        <f t="array" ref="E239">IFERROR(INDEX(REF_CODES!$B$8:$B$13,MATCH($D239,REF_CODES!$C$8:$C$13,0)),"")</f>
        <v>HB-HOT</v>
      </c>
      <c r="F239" s="239" t="s">
        <v>6389</v>
      </c>
      <c r="G239" s="262" t="s">
        <v>6390</v>
      </c>
      <c r="H239" s="250" t="s">
        <v>4940</v>
      </c>
      <c r="I239" s="242" t="s">
        <v>6393</v>
      </c>
      <c r="J239" s="242" t="s">
        <v>2511</v>
      </c>
      <c r="K239" s="242" t="s">
        <v>4727</v>
      </c>
      <c r="L239" s="262" t="s">
        <v>2252</v>
      </c>
      <c r="M239" s="262" t="s">
        <v>3034</v>
      </c>
      <c r="N239" s="262" t="s">
        <v>6227</v>
      </c>
      <c r="O239" s="262" t="s">
        <v>6227</v>
      </c>
      <c r="P239" s="262" t="s">
        <v>6227</v>
      </c>
      <c r="Q239" s="262" t="s">
        <v>6227</v>
      </c>
      <c r="R239" s="262" t="s">
        <v>6227</v>
      </c>
      <c r="S239" s="262" t="s">
        <v>6227</v>
      </c>
      <c r="T239" s="239" t="s">
        <v>6399</v>
      </c>
      <c r="U239" s="242" t="s">
        <v>2208</v>
      </c>
      <c r="V239" s="242" t="s">
        <v>6400</v>
      </c>
      <c r="W239" s="262" t="s">
        <v>6401</v>
      </c>
      <c r="X239" s="262" t="s">
        <v>6402</v>
      </c>
      <c r="Y239" s="239" t="s">
        <v>6403</v>
      </c>
      <c r="Z239" s="239" t="s">
        <v>2204</v>
      </c>
      <c r="AA239" s="239" t="s">
        <v>5382</v>
      </c>
      <c r="AB239" s="244" t="s">
        <v>195</v>
      </c>
      <c r="AC239" s="244" t="s">
        <v>110</v>
      </c>
      <c r="AD239" s="215" t="s">
        <v>2238</v>
      </c>
      <c r="AE239" s="244" t="s">
        <v>469</v>
      </c>
      <c r="AF239" s="245" t="s">
        <v>2218</v>
      </c>
      <c r="AG239" s="240" t="s">
        <v>142</v>
      </c>
      <c r="AH239" s="240" t="s">
        <v>48</v>
      </c>
      <c r="AI239" s="240" t="s">
        <v>2207</v>
      </c>
      <c r="AJ239" s="240" t="s">
        <v>2219</v>
      </c>
    </row>
    <row r="240" ht="15.0" hidden="1" customHeight="1">
      <c r="A240" s="239" t="s">
        <v>2172</v>
      </c>
      <c r="B240" s="239" t="s">
        <v>5839</v>
      </c>
      <c r="C240" s="239" t="s">
        <v>6408</v>
      </c>
      <c r="D240" s="239" t="s">
        <v>139</v>
      </c>
      <c r="E240" s="239" t="str">
        <f t="array" ref="E240">IFERROR(INDEX(REF_CODES!$B$8:$B$13,MATCH($D240,REF_CODES!$C$8:$C$13,0)),"")</f>
        <v>HB-COL</v>
      </c>
      <c r="F240" s="239" t="s">
        <v>6416</v>
      </c>
      <c r="G240" s="262" t="s">
        <v>6390</v>
      </c>
      <c r="H240" s="250" t="s">
        <v>4940</v>
      </c>
      <c r="I240" s="242" t="s">
        <v>6393</v>
      </c>
      <c r="J240" s="242" t="s">
        <v>2511</v>
      </c>
      <c r="K240" s="242" t="s">
        <v>4727</v>
      </c>
      <c r="L240" s="262" t="s">
        <v>2252</v>
      </c>
      <c r="M240" s="262" t="s">
        <v>3034</v>
      </c>
      <c r="N240" s="262" t="s">
        <v>6227</v>
      </c>
      <c r="O240" s="262" t="s">
        <v>6227</v>
      </c>
      <c r="P240" s="262" t="s">
        <v>6227</v>
      </c>
      <c r="Q240" s="262" t="s">
        <v>6227</v>
      </c>
      <c r="R240" s="262" t="s">
        <v>6227</v>
      </c>
      <c r="S240" s="262" t="s">
        <v>6227</v>
      </c>
      <c r="T240" s="239" t="s">
        <v>6399</v>
      </c>
      <c r="U240" s="242" t="s">
        <v>2208</v>
      </c>
      <c r="V240" s="242" t="s">
        <v>6400</v>
      </c>
      <c r="W240" s="262" t="s">
        <v>6401</v>
      </c>
      <c r="X240" s="262" t="s">
        <v>6402</v>
      </c>
      <c r="Y240" s="239" t="s">
        <v>6403</v>
      </c>
      <c r="Z240" s="239" t="s">
        <v>2204</v>
      </c>
      <c r="AA240" s="239" t="s">
        <v>5382</v>
      </c>
      <c r="AB240" s="244" t="s">
        <v>195</v>
      </c>
      <c r="AC240" s="244" t="s">
        <v>110</v>
      </c>
      <c r="AD240" s="215" t="s">
        <v>2238</v>
      </c>
      <c r="AE240" s="244" t="s">
        <v>469</v>
      </c>
      <c r="AF240" s="245" t="s">
        <v>2218</v>
      </c>
      <c r="AG240" s="240" t="s">
        <v>142</v>
      </c>
      <c r="AH240" s="240" t="s">
        <v>48</v>
      </c>
      <c r="AI240" s="240" t="s">
        <v>2207</v>
      </c>
      <c r="AJ240" s="240" t="s">
        <v>2219</v>
      </c>
    </row>
    <row r="241" ht="15.0" hidden="1" customHeight="1">
      <c r="A241" s="239" t="s">
        <v>2172</v>
      </c>
      <c r="B241" s="239" t="s">
        <v>1052</v>
      </c>
      <c r="C241" s="239" t="s">
        <v>6427</v>
      </c>
      <c r="D241" s="239" t="s">
        <v>127</v>
      </c>
      <c r="E241" s="239" t="str">
        <f t="array" ref="E241">IFERROR(INDEX(REF_CODES!$B$8:$B$13,MATCH($D241,REF_CODES!$C$8:$C$13,0)),"")</f>
        <v>HB-HOT</v>
      </c>
      <c r="F241" s="239" t="s">
        <v>6432</v>
      </c>
      <c r="G241" s="239" t="s">
        <v>2198</v>
      </c>
      <c r="H241" s="240" t="s">
        <v>173</v>
      </c>
      <c r="I241" s="239" t="s">
        <v>6433</v>
      </c>
      <c r="J241" s="239" t="s">
        <v>3611</v>
      </c>
      <c r="K241" s="239"/>
      <c r="L241" s="239" t="s">
        <v>2252</v>
      </c>
      <c r="M241" s="241" t="s">
        <v>2204</v>
      </c>
      <c r="N241" s="241" t="s">
        <v>2204</v>
      </c>
      <c r="O241" s="241" t="s">
        <v>2204</v>
      </c>
      <c r="P241" s="241" t="s">
        <v>2204</v>
      </c>
      <c r="Q241" s="241" t="s">
        <v>2204</v>
      </c>
      <c r="R241" s="241" t="s">
        <v>2204</v>
      </c>
      <c r="S241" s="239"/>
      <c r="T241" s="239"/>
      <c r="U241" s="242"/>
      <c r="V241" s="239"/>
      <c r="W241" s="239"/>
      <c r="X241" s="239"/>
      <c r="Y241" s="239"/>
      <c r="Z241" s="239"/>
      <c r="AA241" s="239"/>
      <c r="AB241" s="244"/>
      <c r="AC241" s="244"/>
      <c r="AD241" s="215"/>
      <c r="AE241" s="244"/>
      <c r="AF241" s="250"/>
      <c r="AG241" s="240"/>
      <c r="AH241" s="240"/>
      <c r="AI241" s="240"/>
      <c r="AJ241" s="240"/>
    </row>
    <row r="242" ht="15.0" hidden="1" customHeight="1">
      <c r="A242" s="239" t="s">
        <v>2172</v>
      </c>
      <c r="B242" s="239" t="s">
        <v>1052</v>
      </c>
      <c r="C242" s="239" t="s">
        <v>6439</v>
      </c>
      <c r="D242" s="239" t="s">
        <v>127</v>
      </c>
      <c r="E242" s="239" t="str">
        <f t="array" ref="E242">IFERROR(INDEX(REF_CODES!$B$8:$B$13,MATCH($D242,REF_CODES!$C$8:$C$13,0)),"")</f>
        <v>HB-HOT</v>
      </c>
      <c r="F242" s="239" t="s">
        <v>6440</v>
      </c>
      <c r="G242" s="239" t="s">
        <v>2198</v>
      </c>
      <c r="H242" s="240" t="s">
        <v>173</v>
      </c>
      <c r="I242" s="239" t="s">
        <v>6433</v>
      </c>
      <c r="J242" s="239" t="s">
        <v>2511</v>
      </c>
      <c r="K242" s="239"/>
      <c r="L242" s="239" t="s">
        <v>2252</v>
      </c>
      <c r="M242" s="241" t="s">
        <v>2204</v>
      </c>
      <c r="N242" s="241" t="s">
        <v>2204</v>
      </c>
      <c r="O242" s="241" t="s">
        <v>2204</v>
      </c>
      <c r="P242" s="241" t="s">
        <v>2204</v>
      </c>
      <c r="Q242" s="241" t="s">
        <v>2204</v>
      </c>
      <c r="R242" s="241" t="s">
        <v>2204</v>
      </c>
      <c r="S242" s="239"/>
      <c r="T242" s="239"/>
      <c r="U242" s="242"/>
      <c r="V242" s="239"/>
      <c r="W242" s="239"/>
      <c r="X242" s="239"/>
      <c r="Y242" s="239"/>
      <c r="Z242" s="239"/>
      <c r="AA242" s="239"/>
      <c r="AB242" s="244"/>
      <c r="AC242" s="244"/>
      <c r="AD242" s="215"/>
      <c r="AE242" s="244"/>
      <c r="AF242" s="250"/>
      <c r="AG242" s="240"/>
      <c r="AH242" s="240"/>
      <c r="AI242" s="240"/>
      <c r="AJ242" s="240"/>
    </row>
    <row r="243" ht="15.0" hidden="1" customHeight="1">
      <c r="A243" s="239" t="s">
        <v>2172</v>
      </c>
      <c r="B243" s="239" t="s">
        <v>1052</v>
      </c>
      <c r="C243" s="239" t="s">
        <v>6445</v>
      </c>
      <c r="D243" s="239" t="s">
        <v>127</v>
      </c>
      <c r="E243" s="239" t="str">
        <f t="array" ref="E243">IFERROR(INDEX(REF_CODES!$B$8:$B$13,MATCH($D243,REF_CODES!$C$8:$C$13,0)),"")</f>
        <v>HB-HOT</v>
      </c>
      <c r="F243" s="239" t="s">
        <v>6447</v>
      </c>
      <c r="G243" s="239" t="s">
        <v>2198</v>
      </c>
      <c r="H243" s="240" t="s">
        <v>173</v>
      </c>
      <c r="I243" s="239" t="s">
        <v>6452</v>
      </c>
      <c r="J243" s="239" t="s">
        <v>2224</v>
      </c>
      <c r="K243" s="239"/>
      <c r="L243" s="239" t="s">
        <v>2252</v>
      </c>
      <c r="M243" s="241" t="s">
        <v>2204</v>
      </c>
      <c r="N243" s="241" t="s">
        <v>2204</v>
      </c>
      <c r="O243" s="241" t="s">
        <v>2204</v>
      </c>
      <c r="P243" s="241" t="s">
        <v>2204</v>
      </c>
      <c r="Q243" s="241" t="s">
        <v>2204</v>
      </c>
      <c r="R243" s="241" t="s">
        <v>2204</v>
      </c>
      <c r="S243" s="239"/>
      <c r="T243" s="239"/>
      <c r="U243" s="242"/>
      <c r="V243" s="239"/>
      <c r="W243" s="239"/>
      <c r="X243" s="239"/>
      <c r="Y243" s="239"/>
      <c r="Z243" s="239"/>
      <c r="AA243" s="239"/>
      <c r="AB243" s="244"/>
      <c r="AC243" s="244"/>
      <c r="AD243" s="215"/>
      <c r="AE243" s="244"/>
      <c r="AF243" s="250"/>
      <c r="AG243" s="240"/>
      <c r="AH243" s="240"/>
      <c r="AI243" s="240"/>
      <c r="AJ243" s="240"/>
    </row>
    <row r="244" ht="15.0" hidden="1" customHeight="1">
      <c r="A244" s="239" t="s">
        <v>2172</v>
      </c>
      <c r="B244" s="239" t="s">
        <v>1052</v>
      </c>
      <c r="C244" s="239" t="s">
        <v>6459</v>
      </c>
      <c r="D244" s="239" t="s">
        <v>127</v>
      </c>
      <c r="E244" s="239" t="str">
        <f t="array" ref="E244">IFERROR(INDEX(REF_CODES!$B$8:$B$13,MATCH($D244,REF_CODES!$C$8:$C$13,0)),"")</f>
        <v>HB-HOT</v>
      </c>
      <c r="F244" s="239" t="s">
        <v>6460</v>
      </c>
      <c r="G244" s="239" t="s">
        <v>2198</v>
      </c>
      <c r="H244" s="240" t="s">
        <v>165</v>
      </c>
      <c r="I244" s="239"/>
      <c r="J244" s="239" t="s">
        <v>2224</v>
      </c>
      <c r="K244" s="239"/>
      <c r="L244" s="239" t="s">
        <v>2201</v>
      </c>
      <c r="M244" s="241">
        <v>600.0</v>
      </c>
      <c r="N244" s="241"/>
      <c r="O244" s="241"/>
      <c r="P244" s="241"/>
      <c r="Q244" s="241"/>
      <c r="R244" s="241"/>
      <c r="S244" s="239" t="s">
        <v>6377</v>
      </c>
      <c r="T244" s="239" t="s">
        <v>4024</v>
      </c>
      <c r="U244" s="242"/>
      <c r="V244" s="239" t="s">
        <v>4024</v>
      </c>
      <c r="W244" s="242"/>
      <c r="X244" s="239"/>
      <c r="Y244" s="239"/>
      <c r="Z244" s="239"/>
      <c r="AA244" s="239"/>
      <c r="AB244" s="244" t="s">
        <v>195</v>
      </c>
      <c r="AC244" s="244"/>
      <c r="AD244" s="215"/>
      <c r="AE244" s="244"/>
      <c r="AF244" s="245"/>
      <c r="AG244" s="240"/>
      <c r="AH244" s="240"/>
      <c r="AI244" s="240"/>
      <c r="AJ244" s="240"/>
    </row>
    <row r="245" ht="15.0" hidden="1" customHeight="1">
      <c r="A245" s="239" t="s">
        <v>2172</v>
      </c>
      <c r="B245" s="239" t="s">
        <v>1052</v>
      </c>
      <c r="C245" s="239" t="s">
        <v>6469</v>
      </c>
      <c r="D245" s="239" t="s">
        <v>127</v>
      </c>
      <c r="E245" s="239" t="str">
        <f t="array" ref="E245">IFERROR(INDEX(REF_CODES!$B$8:$B$13,MATCH($D245,REF_CODES!$C$8:$C$13,0)),"")</f>
        <v>HB-HOT</v>
      </c>
      <c r="F245" s="239" t="s">
        <v>5985</v>
      </c>
      <c r="G245" s="239" t="s">
        <v>2198</v>
      </c>
      <c r="H245" s="240" t="s">
        <v>170</v>
      </c>
      <c r="I245" s="239"/>
      <c r="J245" s="239" t="s">
        <v>3379</v>
      </c>
      <c r="K245" s="239"/>
      <c r="L245" s="239" t="s">
        <v>2201</v>
      </c>
      <c r="M245" s="241">
        <v>950.0</v>
      </c>
      <c r="N245" s="241"/>
      <c r="O245" s="241"/>
      <c r="P245" s="241"/>
      <c r="Q245" s="241"/>
      <c r="R245" s="241"/>
      <c r="S245" s="239" t="s">
        <v>6377</v>
      </c>
      <c r="T245" s="239" t="s">
        <v>4024</v>
      </c>
      <c r="U245" s="242"/>
      <c r="V245" s="239" t="s">
        <v>4024</v>
      </c>
      <c r="W245" s="242"/>
      <c r="X245" s="239"/>
      <c r="Y245" s="239"/>
      <c r="Z245" s="239"/>
      <c r="AA245" s="239"/>
      <c r="AB245" s="244" t="s">
        <v>195</v>
      </c>
      <c r="AC245" s="244"/>
      <c r="AD245" s="215"/>
      <c r="AE245" s="244"/>
      <c r="AF245" s="245"/>
      <c r="AG245" s="240"/>
      <c r="AH245" s="240"/>
      <c r="AI245" s="240"/>
      <c r="AJ245" s="240"/>
    </row>
    <row r="246" ht="15.0" hidden="1" customHeight="1">
      <c r="A246" s="239" t="s">
        <v>2172</v>
      </c>
      <c r="B246" s="239" t="s">
        <v>1052</v>
      </c>
      <c r="C246" s="239" t="s">
        <v>6476</v>
      </c>
      <c r="D246" s="239" t="s">
        <v>127</v>
      </c>
      <c r="E246" s="239" t="str">
        <f t="array" ref="E246">IFERROR(INDEX(REF_CODES!$B$8:$B$13,MATCH($D246,REF_CODES!$C$8:$C$13,0)),"")</f>
        <v>HB-HOT</v>
      </c>
      <c r="F246" s="239" t="s">
        <v>6481</v>
      </c>
      <c r="G246" s="239" t="s">
        <v>2198</v>
      </c>
      <c r="H246" s="240" t="s">
        <v>170</v>
      </c>
      <c r="I246" s="239"/>
      <c r="J246" s="239" t="s">
        <v>2224</v>
      </c>
      <c r="K246" s="239"/>
      <c r="L246" s="239" t="s">
        <v>2201</v>
      </c>
      <c r="M246" s="241">
        <v>900.0</v>
      </c>
      <c r="N246" s="241"/>
      <c r="O246" s="241"/>
      <c r="P246" s="241"/>
      <c r="Q246" s="241"/>
      <c r="R246" s="241"/>
      <c r="S246" s="239" t="s">
        <v>6377</v>
      </c>
      <c r="T246" s="239" t="s">
        <v>4024</v>
      </c>
      <c r="U246" s="242"/>
      <c r="V246" s="239" t="s">
        <v>4024</v>
      </c>
      <c r="W246" s="242"/>
      <c r="X246" s="239"/>
      <c r="Y246" s="239"/>
      <c r="Z246" s="239"/>
      <c r="AA246" s="239"/>
      <c r="AB246" s="244" t="s">
        <v>195</v>
      </c>
      <c r="AC246" s="244"/>
      <c r="AD246" s="215"/>
      <c r="AE246" s="244"/>
      <c r="AF246" s="245"/>
      <c r="AG246" s="240"/>
      <c r="AH246" s="240"/>
      <c r="AI246" s="240"/>
      <c r="AJ246" s="240"/>
    </row>
    <row r="247" ht="15.0" hidden="1" customHeight="1">
      <c r="A247" s="239" t="s">
        <v>2172</v>
      </c>
      <c r="B247" s="239" t="s">
        <v>1052</v>
      </c>
      <c r="C247" s="239" t="s">
        <v>6487</v>
      </c>
      <c r="D247" s="239" t="s">
        <v>127</v>
      </c>
      <c r="E247" s="239" t="str">
        <f t="array" ref="E247">IFERROR(INDEX(REF_CODES!$B$8:$B$13,MATCH($D247,REF_CODES!$C$8:$C$13,0)),"")</f>
        <v>HB-HOT</v>
      </c>
      <c r="F247" s="239" t="s">
        <v>6490</v>
      </c>
      <c r="G247" s="239" t="s">
        <v>2198</v>
      </c>
      <c r="H247" s="240" t="s">
        <v>170</v>
      </c>
      <c r="I247" s="239"/>
      <c r="J247" s="239" t="s">
        <v>2511</v>
      </c>
      <c r="K247" s="239"/>
      <c r="L247" s="239" t="s">
        <v>2201</v>
      </c>
      <c r="M247" s="241">
        <v>850.0</v>
      </c>
      <c r="N247" s="241"/>
      <c r="O247" s="241"/>
      <c r="P247" s="241"/>
      <c r="Q247" s="241"/>
      <c r="R247" s="241"/>
      <c r="S247" s="239" t="s">
        <v>6377</v>
      </c>
      <c r="T247" s="239" t="s">
        <v>4024</v>
      </c>
      <c r="U247" s="242"/>
      <c r="V247" s="239" t="s">
        <v>4024</v>
      </c>
      <c r="W247" s="242"/>
      <c r="X247" s="239"/>
      <c r="Y247" s="239"/>
      <c r="Z247" s="239"/>
      <c r="AA247" s="239"/>
      <c r="AB247" s="244" t="s">
        <v>195</v>
      </c>
      <c r="AC247" s="244"/>
      <c r="AD247" s="215"/>
      <c r="AE247" s="244"/>
      <c r="AF247" s="245"/>
      <c r="AG247" s="240"/>
      <c r="AH247" s="240"/>
      <c r="AI247" s="240"/>
      <c r="AJ247" s="240"/>
    </row>
    <row r="248" ht="15.0" hidden="1" customHeight="1">
      <c r="A248" s="239" t="s">
        <v>2172</v>
      </c>
      <c r="B248" s="239" t="s">
        <v>1052</v>
      </c>
      <c r="C248" s="239" t="s">
        <v>6497</v>
      </c>
      <c r="D248" s="239" t="s">
        <v>127</v>
      </c>
      <c r="E248" s="239" t="str">
        <f t="array" ref="E248">IFERROR(INDEX(REF_CODES!$B$8:$B$13,MATCH($D248,REF_CODES!$C$8:$C$13,0)),"")</f>
        <v>HB-HOT</v>
      </c>
      <c r="F248" s="239" t="s">
        <v>2296</v>
      </c>
      <c r="G248" s="239" t="s">
        <v>2198</v>
      </c>
      <c r="H248" s="240" t="s">
        <v>173</v>
      </c>
      <c r="I248" s="239"/>
      <c r="J248" s="239" t="s">
        <v>3139</v>
      </c>
      <c r="K248" s="239"/>
      <c r="L248" s="239" t="s">
        <v>2201</v>
      </c>
      <c r="M248" s="241">
        <v>1400.0</v>
      </c>
      <c r="N248" s="241"/>
      <c r="O248" s="241"/>
      <c r="P248" s="241"/>
      <c r="Q248" s="241"/>
      <c r="R248" s="241"/>
      <c r="S248" s="239" t="s">
        <v>6377</v>
      </c>
      <c r="T248" s="239" t="s">
        <v>4024</v>
      </c>
      <c r="U248" s="242"/>
      <c r="V248" s="239" t="s">
        <v>4024</v>
      </c>
      <c r="W248" s="242"/>
      <c r="X248" s="239"/>
      <c r="Y248" s="239"/>
      <c r="Z248" s="239"/>
      <c r="AA248" s="239"/>
      <c r="AB248" s="244" t="s">
        <v>202</v>
      </c>
      <c r="AC248" s="244"/>
      <c r="AD248" s="215"/>
      <c r="AE248" s="244"/>
      <c r="AF248" s="245"/>
      <c r="AG248" s="240"/>
      <c r="AH248" s="240"/>
      <c r="AI248" s="240"/>
      <c r="AJ248" s="240"/>
    </row>
    <row r="249" ht="15.0" hidden="1" customHeight="1">
      <c r="A249" s="239" t="s">
        <v>2172</v>
      </c>
      <c r="B249" s="239" t="s">
        <v>1052</v>
      </c>
      <c r="C249" s="239" t="s">
        <v>6505</v>
      </c>
      <c r="D249" s="239" t="s">
        <v>127</v>
      </c>
      <c r="E249" s="239" t="str">
        <f t="array" ref="E249">IFERROR(INDEX(REF_CODES!$B$8:$B$13,MATCH($D249,REF_CODES!$C$8:$C$13,0)),"")</f>
        <v>HB-HOT</v>
      </c>
      <c r="F249" s="239" t="s">
        <v>2625</v>
      </c>
      <c r="G249" s="239" t="s">
        <v>2198</v>
      </c>
      <c r="H249" s="240" t="s">
        <v>173</v>
      </c>
      <c r="I249" s="239"/>
      <c r="J249" s="239" t="s">
        <v>3379</v>
      </c>
      <c r="K249" s="239"/>
      <c r="L249" s="239" t="s">
        <v>2201</v>
      </c>
      <c r="M249" s="241">
        <v>1300.0</v>
      </c>
      <c r="N249" s="241"/>
      <c r="O249" s="241"/>
      <c r="P249" s="241"/>
      <c r="Q249" s="241"/>
      <c r="R249" s="241"/>
      <c r="S249" s="239" t="s">
        <v>6377</v>
      </c>
      <c r="T249" s="239" t="s">
        <v>4024</v>
      </c>
      <c r="U249" s="242"/>
      <c r="V249" s="239" t="s">
        <v>4024</v>
      </c>
      <c r="W249" s="242"/>
      <c r="X249" s="239"/>
      <c r="Y249" s="239"/>
      <c r="Z249" s="239"/>
      <c r="AA249" s="239"/>
      <c r="AB249" s="244" t="s">
        <v>202</v>
      </c>
      <c r="AC249" s="244"/>
      <c r="AD249" s="215"/>
      <c r="AE249" s="244"/>
      <c r="AF249" s="245"/>
      <c r="AG249" s="240"/>
      <c r="AH249" s="240"/>
      <c r="AI249" s="240"/>
      <c r="AJ249" s="240"/>
    </row>
    <row r="250" ht="15.0" hidden="1" customHeight="1">
      <c r="A250" s="239" t="s">
        <v>2172</v>
      </c>
      <c r="B250" s="239" t="s">
        <v>1052</v>
      </c>
      <c r="C250" s="239" t="s">
        <v>6514</v>
      </c>
      <c r="D250" s="239" t="s">
        <v>127</v>
      </c>
      <c r="E250" s="239" t="str">
        <f t="array" ref="E250">IFERROR(INDEX(REF_CODES!$B$8:$B$13,MATCH($D250,REF_CODES!$C$8:$C$13,0)),"")</f>
        <v>HB-HOT</v>
      </c>
      <c r="F250" s="239" t="s">
        <v>6517</v>
      </c>
      <c r="G250" s="239" t="s">
        <v>2198</v>
      </c>
      <c r="H250" s="240" t="s">
        <v>173</v>
      </c>
      <c r="I250" s="239"/>
      <c r="J250" s="239" t="s">
        <v>2511</v>
      </c>
      <c r="K250" s="239"/>
      <c r="L250" s="239" t="s">
        <v>2201</v>
      </c>
      <c r="M250" s="241">
        <v>1350.0</v>
      </c>
      <c r="N250" s="241"/>
      <c r="O250" s="241"/>
      <c r="P250" s="241"/>
      <c r="Q250" s="241"/>
      <c r="R250" s="241"/>
      <c r="S250" s="239" t="s">
        <v>6377</v>
      </c>
      <c r="T250" s="239" t="s">
        <v>4024</v>
      </c>
      <c r="U250" s="242"/>
      <c r="V250" s="239" t="s">
        <v>4024</v>
      </c>
      <c r="W250" s="242"/>
      <c r="X250" s="239"/>
      <c r="Y250" s="239"/>
      <c r="Z250" s="239"/>
      <c r="AA250" s="239"/>
      <c r="AB250" s="244" t="s">
        <v>202</v>
      </c>
      <c r="AC250" s="244"/>
      <c r="AD250" s="215"/>
      <c r="AE250" s="244"/>
      <c r="AF250" s="245"/>
      <c r="AG250" s="240"/>
      <c r="AH250" s="240"/>
      <c r="AI250" s="240"/>
      <c r="AJ250" s="240"/>
    </row>
    <row r="251" ht="15.0" hidden="1" customHeight="1">
      <c r="A251" s="239" t="s">
        <v>2172</v>
      </c>
      <c r="B251" s="239" t="s">
        <v>1052</v>
      </c>
      <c r="C251" s="239" t="s">
        <v>6523</v>
      </c>
      <c r="D251" s="239" t="s">
        <v>127</v>
      </c>
      <c r="E251" s="239" t="str">
        <f t="array" ref="E251">IFERROR(INDEX(REF_CODES!$B$8:$B$13,MATCH($D251,REF_CODES!$C$8:$C$13,0)),"")</f>
        <v>HB-HOT</v>
      </c>
      <c r="F251" s="239" t="s">
        <v>6527</v>
      </c>
      <c r="G251" s="239" t="s">
        <v>2198</v>
      </c>
      <c r="H251" s="240" t="s">
        <v>173</v>
      </c>
      <c r="I251" s="239"/>
      <c r="J251" s="239" t="s">
        <v>3379</v>
      </c>
      <c r="K251" s="239"/>
      <c r="L251" s="239" t="s">
        <v>2201</v>
      </c>
      <c r="M251" s="241">
        <v>2500.0</v>
      </c>
      <c r="N251" s="241"/>
      <c r="O251" s="241"/>
      <c r="P251" s="241"/>
      <c r="Q251" s="241"/>
      <c r="R251" s="241"/>
      <c r="S251" s="239" t="s">
        <v>6377</v>
      </c>
      <c r="T251" s="239" t="s">
        <v>4024</v>
      </c>
      <c r="U251" s="242"/>
      <c r="V251" s="239" t="s">
        <v>4024</v>
      </c>
      <c r="W251" s="242"/>
      <c r="X251" s="239"/>
      <c r="Y251" s="239"/>
      <c r="Z251" s="239"/>
      <c r="AA251" s="239"/>
      <c r="AB251" s="244" t="s">
        <v>202</v>
      </c>
      <c r="AC251" s="244"/>
      <c r="AD251" s="215"/>
      <c r="AE251" s="244"/>
      <c r="AF251" s="245"/>
      <c r="AG251" s="240"/>
      <c r="AH251" s="240"/>
      <c r="AI251" s="240"/>
      <c r="AJ251" s="240"/>
    </row>
    <row r="252" ht="15.0" hidden="1" customHeight="1">
      <c r="A252" s="239" t="s">
        <v>2172</v>
      </c>
      <c r="B252" s="239" t="s">
        <v>1052</v>
      </c>
      <c r="C252" s="239" t="s">
        <v>6535</v>
      </c>
      <c r="D252" s="239" t="s">
        <v>127</v>
      </c>
      <c r="E252" s="239" t="str">
        <f t="array" ref="E252">IFERROR(INDEX(REF_CODES!$B$8:$B$13,MATCH($D252,REF_CODES!$C$8:$C$13,0)),"")</f>
        <v>HB-HOT</v>
      </c>
      <c r="F252" s="239" t="s">
        <v>6540</v>
      </c>
      <c r="G252" s="239" t="s">
        <v>2198</v>
      </c>
      <c r="H252" s="240" t="s">
        <v>173</v>
      </c>
      <c r="I252" s="239"/>
      <c r="J252" s="239" t="s">
        <v>3379</v>
      </c>
      <c r="K252" s="239"/>
      <c r="L252" s="239" t="s">
        <v>2201</v>
      </c>
      <c r="M252" s="241">
        <v>2600.0</v>
      </c>
      <c r="N252" s="241"/>
      <c r="O252" s="241"/>
      <c r="P252" s="241"/>
      <c r="Q252" s="241"/>
      <c r="R252" s="241"/>
      <c r="S252" s="239" t="s">
        <v>6377</v>
      </c>
      <c r="T252" s="239" t="s">
        <v>4024</v>
      </c>
      <c r="U252" s="242"/>
      <c r="V252" s="239" t="s">
        <v>4024</v>
      </c>
      <c r="W252" s="242"/>
      <c r="X252" s="239"/>
      <c r="Y252" s="239"/>
      <c r="Z252" s="239"/>
      <c r="AA252" s="239"/>
      <c r="AB252" s="244" t="s">
        <v>202</v>
      </c>
      <c r="AC252" s="244"/>
      <c r="AD252" s="215"/>
      <c r="AE252" s="244"/>
      <c r="AF252" s="245"/>
      <c r="AG252" s="240"/>
      <c r="AH252" s="240"/>
      <c r="AI252" s="240"/>
      <c r="AJ252" s="240"/>
    </row>
    <row r="253" ht="15.0" hidden="1" customHeight="1">
      <c r="A253" s="239" t="s">
        <v>2172</v>
      </c>
      <c r="B253" s="239" t="s">
        <v>1052</v>
      </c>
      <c r="C253" s="239" t="s">
        <v>6545</v>
      </c>
      <c r="D253" s="239" t="s">
        <v>127</v>
      </c>
      <c r="E253" s="239" t="str">
        <f t="array" ref="E253">IFERROR(INDEX(REF_CODES!$B$8:$B$13,MATCH($D253,REF_CODES!$C$8:$C$13,0)),"")</f>
        <v>HB-HOT</v>
      </c>
      <c r="F253" s="239" t="s">
        <v>6550</v>
      </c>
      <c r="G253" s="239" t="s">
        <v>2198</v>
      </c>
      <c r="H253" s="240" t="s">
        <v>173</v>
      </c>
      <c r="I253" s="239"/>
      <c r="J253" s="239" t="s">
        <v>2511</v>
      </c>
      <c r="K253" s="239"/>
      <c r="L253" s="239" t="s">
        <v>2201</v>
      </c>
      <c r="M253" s="241">
        <v>2800.0</v>
      </c>
      <c r="N253" s="241"/>
      <c r="O253" s="241"/>
      <c r="P253" s="241"/>
      <c r="Q253" s="241"/>
      <c r="R253" s="241"/>
      <c r="S253" s="239" t="s">
        <v>6377</v>
      </c>
      <c r="T253" s="239" t="s">
        <v>4024</v>
      </c>
      <c r="U253" s="242"/>
      <c r="V253" s="239" t="s">
        <v>4024</v>
      </c>
      <c r="W253" s="242"/>
      <c r="X253" s="239"/>
      <c r="Y253" s="239"/>
      <c r="Z253" s="239"/>
      <c r="AA253" s="239"/>
      <c r="AB253" s="244" t="s">
        <v>202</v>
      </c>
      <c r="AC253" s="244"/>
      <c r="AD253" s="215"/>
      <c r="AE253" s="244"/>
      <c r="AF253" s="245"/>
      <c r="AG253" s="240"/>
      <c r="AH253" s="240"/>
      <c r="AI253" s="240"/>
      <c r="AJ253" s="240"/>
    </row>
    <row r="254" ht="15.0" hidden="1" customHeight="1">
      <c r="A254" s="239" t="s">
        <v>2172</v>
      </c>
      <c r="B254" s="239" t="s">
        <v>1052</v>
      </c>
      <c r="C254" s="239" t="s">
        <v>6559</v>
      </c>
      <c r="D254" s="239" t="s">
        <v>130</v>
      </c>
      <c r="E254" s="239" t="str">
        <f t="array" ref="E254">IFERROR(INDEX(REF_CODES!$B$8:$B$13,MATCH($D254,REF_CODES!$C$8:$C$13,0)),"")</f>
        <v>HB-INC</v>
      </c>
      <c r="F254" s="239" t="s">
        <v>2707</v>
      </c>
      <c r="G254" s="239" t="s">
        <v>2198</v>
      </c>
      <c r="H254" s="240" t="s">
        <v>170</v>
      </c>
      <c r="I254" s="239"/>
      <c r="J254" s="239" t="s">
        <v>2200</v>
      </c>
      <c r="K254" s="239"/>
      <c r="L254" s="239" t="s">
        <v>2201</v>
      </c>
      <c r="M254" s="241">
        <v>1100.0</v>
      </c>
      <c r="N254" s="241"/>
      <c r="O254" s="241"/>
      <c r="P254" s="241"/>
      <c r="Q254" s="241"/>
      <c r="R254" s="241"/>
      <c r="S254" s="239" t="s">
        <v>6377</v>
      </c>
      <c r="T254" s="239" t="s">
        <v>4024</v>
      </c>
      <c r="U254" s="242"/>
      <c r="V254" s="239" t="s">
        <v>4024</v>
      </c>
      <c r="W254" s="242"/>
      <c r="X254" s="239"/>
      <c r="Y254" s="239"/>
      <c r="Z254" s="239"/>
      <c r="AA254" s="239"/>
      <c r="AB254" s="244" t="s">
        <v>202</v>
      </c>
      <c r="AC254" s="244"/>
      <c r="AD254" s="215"/>
      <c r="AE254" s="244"/>
      <c r="AF254" s="245"/>
      <c r="AG254" s="240"/>
      <c r="AH254" s="240"/>
      <c r="AI254" s="240"/>
      <c r="AJ254" s="240"/>
    </row>
    <row r="255" ht="15.0" hidden="1" customHeight="1">
      <c r="A255" s="239" t="s">
        <v>2172</v>
      </c>
      <c r="B255" s="239" t="s">
        <v>1052</v>
      </c>
      <c r="C255" s="239" t="s">
        <v>6569</v>
      </c>
      <c r="D255" s="239" t="s">
        <v>130</v>
      </c>
      <c r="E255" s="239" t="str">
        <f t="array" ref="E255">IFERROR(INDEX(REF_CODES!$B$8:$B$13,MATCH($D255,REF_CODES!$C$8:$C$13,0)),"")</f>
        <v>HB-INC</v>
      </c>
      <c r="F255" s="239" t="s">
        <v>3482</v>
      </c>
      <c r="G255" s="239" t="s">
        <v>2198</v>
      </c>
      <c r="H255" s="240" t="s">
        <v>173</v>
      </c>
      <c r="I255" s="239"/>
      <c r="J255" s="239" t="s">
        <v>2224</v>
      </c>
      <c r="K255" s="239"/>
      <c r="L255" s="239" t="s">
        <v>2201</v>
      </c>
      <c r="M255" s="241">
        <v>1250.0</v>
      </c>
      <c r="N255" s="241"/>
      <c r="O255" s="241"/>
      <c r="P255" s="241"/>
      <c r="Q255" s="241"/>
      <c r="R255" s="241"/>
      <c r="S255" s="239" t="s">
        <v>6377</v>
      </c>
      <c r="T255" s="239" t="s">
        <v>4024</v>
      </c>
      <c r="U255" s="242"/>
      <c r="V255" s="239" t="s">
        <v>4024</v>
      </c>
      <c r="W255" s="242"/>
      <c r="X255" s="239"/>
      <c r="Y255" s="239"/>
      <c r="Z255" s="239"/>
      <c r="AA255" s="239"/>
      <c r="AB255" s="244" t="s">
        <v>202</v>
      </c>
      <c r="AC255" s="244"/>
      <c r="AD255" s="215"/>
      <c r="AE255" s="244"/>
      <c r="AF255" s="245"/>
      <c r="AG255" s="240"/>
      <c r="AH255" s="240"/>
      <c r="AI255" s="240"/>
      <c r="AJ255" s="240"/>
    </row>
    <row r="256" ht="15.0" hidden="1" customHeight="1">
      <c r="A256" s="239" t="s">
        <v>2172</v>
      </c>
      <c r="B256" s="239" t="s">
        <v>1052</v>
      </c>
      <c r="C256" s="239" t="s">
        <v>6578</v>
      </c>
      <c r="D256" s="239" t="s">
        <v>130</v>
      </c>
      <c r="E256" s="239" t="str">
        <f t="array" ref="E256">IFERROR(INDEX(REF_CODES!$B$8:$B$13,MATCH($D256,REF_CODES!$C$8:$C$13,0)),"")</f>
        <v>HB-INC</v>
      </c>
      <c r="F256" s="239" t="s">
        <v>6583</v>
      </c>
      <c r="G256" s="239" t="s">
        <v>2198</v>
      </c>
      <c r="H256" s="240" t="s">
        <v>173</v>
      </c>
      <c r="I256" s="239"/>
      <c r="J256" s="239" t="s">
        <v>2200</v>
      </c>
      <c r="K256" s="239"/>
      <c r="L256" s="239" t="s">
        <v>2201</v>
      </c>
      <c r="M256" s="241">
        <v>5000.0</v>
      </c>
      <c r="N256" s="241"/>
      <c r="O256" s="241"/>
      <c r="P256" s="241"/>
      <c r="Q256" s="241"/>
      <c r="R256" s="241"/>
      <c r="S256" s="239" t="s">
        <v>6377</v>
      </c>
      <c r="T256" s="239" t="s">
        <v>4024</v>
      </c>
      <c r="U256" s="242"/>
      <c r="V256" s="239" t="s">
        <v>4024</v>
      </c>
      <c r="W256" s="242"/>
      <c r="X256" s="239"/>
      <c r="Y256" s="239"/>
      <c r="Z256" s="239"/>
      <c r="AA256" s="239"/>
      <c r="AB256" s="244" t="s">
        <v>202</v>
      </c>
      <c r="AC256" s="244"/>
      <c r="AD256" s="215"/>
      <c r="AE256" s="244"/>
      <c r="AF256" s="245"/>
      <c r="AG256" s="240"/>
      <c r="AH256" s="240"/>
      <c r="AI256" s="240"/>
      <c r="AJ256" s="240"/>
    </row>
    <row r="257" ht="15.0" hidden="1" customHeight="1">
      <c r="A257" s="239" t="s">
        <v>2172</v>
      </c>
      <c r="B257" s="239" t="s">
        <v>1052</v>
      </c>
      <c r="C257" s="239" t="s">
        <v>6590</v>
      </c>
      <c r="D257" s="239" t="s">
        <v>130</v>
      </c>
      <c r="E257" s="239" t="str">
        <f t="array" ref="E257">IFERROR(INDEX(REF_CODES!$B$8:$B$13,MATCH($D257,REF_CODES!$C$8:$C$13,0)),"")</f>
        <v>HB-INC</v>
      </c>
      <c r="F257" s="239" t="s">
        <v>6594</v>
      </c>
      <c r="G257" s="239" t="s">
        <v>2198</v>
      </c>
      <c r="H257" s="240" t="s">
        <v>173</v>
      </c>
      <c r="I257" s="239"/>
      <c r="J257" s="239" t="s">
        <v>3139</v>
      </c>
      <c r="K257" s="239"/>
      <c r="L257" s="239" t="s">
        <v>2201</v>
      </c>
      <c r="M257" s="241">
        <v>3500.0</v>
      </c>
      <c r="N257" s="241"/>
      <c r="O257" s="241"/>
      <c r="P257" s="241"/>
      <c r="Q257" s="241"/>
      <c r="R257" s="241"/>
      <c r="S257" s="239" t="s">
        <v>6377</v>
      </c>
      <c r="T257" s="239" t="s">
        <v>4024</v>
      </c>
      <c r="U257" s="242"/>
      <c r="V257" s="239" t="s">
        <v>4024</v>
      </c>
      <c r="W257" s="242"/>
      <c r="X257" s="239"/>
      <c r="Y257" s="239"/>
      <c r="Z257" s="239"/>
      <c r="AA257" s="239"/>
      <c r="AB257" s="244" t="s">
        <v>202</v>
      </c>
      <c r="AC257" s="244"/>
      <c r="AD257" s="215"/>
      <c r="AE257" s="244"/>
      <c r="AF257" s="245"/>
      <c r="AG257" s="240"/>
      <c r="AH257" s="240"/>
      <c r="AI257" s="240"/>
      <c r="AJ257" s="240"/>
    </row>
    <row r="258" ht="15.0" hidden="1" customHeight="1">
      <c r="A258" s="239" t="s">
        <v>2172</v>
      </c>
      <c r="B258" s="239" t="s">
        <v>1052</v>
      </c>
      <c r="C258" s="239" t="s">
        <v>6602</v>
      </c>
      <c r="D258" s="239" t="s">
        <v>130</v>
      </c>
      <c r="E258" s="239" t="str">
        <f t="array" ref="E258">IFERROR(INDEX(REF_CODES!$B$8:$B$13,MATCH($D258,REF_CODES!$C$8:$C$13,0)),"")</f>
        <v>HB-INC</v>
      </c>
      <c r="F258" s="239" t="s">
        <v>6607</v>
      </c>
      <c r="G258" s="239" t="s">
        <v>2198</v>
      </c>
      <c r="H258" s="240" t="s">
        <v>173</v>
      </c>
      <c r="I258" s="239"/>
      <c r="J258" s="239" t="s">
        <v>3139</v>
      </c>
      <c r="K258" s="239"/>
      <c r="L258" s="239" t="s">
        <v>2201</v>
      </c>
      <c r="M258" s="241">
        <v>4000.0</v>
      </c>
      <c r="N258" s="241"/>
      <c r="O258" s="241"/>
      <c r="P258" s="241"/>
      <c r="Q258" s="241"/>
      <c r="R258" s="241"/>
      <c r="S258" s="239" t="s">
        <v>6377</v>
      </c>
      <c r="T258" s="239" t="s">
        <v>4024</v>
      </c>
      <c r="U258" s="242"/>
      <c r="V258" s="239" t="s">
        <v>4024</v>
      </c>
      <c r="W258" s="242"/>
      <c r="X258" s="239"/>
      <c r="Y258" s="239"/>
      <c r="Z258" s="239"/>
      <c r="AA258" s="239"/>
      <c r="AB258" s="244" t="s">
        <v>202</v>
      </c>
      <c r="AC258" s="244"/>
      <c r="AD258" s="215"/>
      <c r="AE258" s="244"/>
      <c r="AF258" s="245"/>
      <c r="AG258" s="240"/>
      <c r="AH258" s="240"/>
      <c r="AI258" s="240"/>
      <c r="AJ258" s="240"/>
    </row>
    <row r="259" ht="15.0" hidden="1" customHeight="1">
      <c r="A259" s="239" t="s">
        <v>2172</v>
      </c>
      <c r="B259" s="239" t="s">
        <v>1052</v>
      </c>
      <c r="C259" s="239" t="s">
        <v>6614</v>
      </c>
      <c r="D259" s="239" t="s">
        <v>135</v>
      </c>
      <c r="E259" s="239" t="str">
        <f t="array" ref="E259">IFERROR(INDEX(REF_CODES!$B$8:$B$13,MATCH($D259,REF_CODES!$C$8:$C$13,0)),"")</f>
        <v>HB-RIA</v>
      </c>
      <c r="F259" s="239" t="s">
        <v>6618</v>
      </c>
      <c r="G259" s="239" t="s">
        <v>6619</v>
      </c>
      <c r="H259" s="240" t="s">
        <v>165</v>
      </c>
      <c r="I259" s="239"/>
      <c r="J259" s="239" t="s">
        <v>2200</v>
      </c>
      <c r="K259" s="239"/>
      <c r="L259" s="239" t="s">
        <v>2201</v>
      </c>
      <c r="M259" s="241">
        <v>650.0</v>
      </c>
      <c r="N259" s="241"/>
      <c r="O259" s="241"/>
      <c r="P259" s="241"/>
      <c r="Q259" s="241"/>
      <c r="R259" s="241"/>
      <c r="S259" s="239" t="s">
        <v>6377</v>
      </c>
      <c r="T259" s="239" t="s">
        <v>4024</v>
      </c>
      <c r="U259" s="242"/>
      <c r="V259" s="239" t="s">
        <v>4024</v>
      </c>
      <c r="W259" s="242"/>
      <c r="X259" s="239"/>
      <c r="Y259" s="239"/>
      <c r="Z259" s="239"/>
      <c r="AA259" s="239"/>
      <c r="AB259" s="244" t="s">
        <v>195</v>
      </c>
      <c r="AC259" s="244"/>
      <c r="AD259" s="215"/>
      <c r="AE259" s="244"/>
      <c r="AF259" s="245"/>
      <c r="AG259" s="240"/>
      <c r="AH259" s="240"/>
      <c r="AI259" s="240"/>
      <c r="AJ259" s="240"/>
    </row>
    <row r="260" ht="15.0" hidden="1" customHeight="1">
      <c r="A260" s="239" t="s">
        <v>2172</v>
      </c>
      <c r="B260" s="239" t="s">
        <v>1052</v>
      </c>
      <c r="C260" s="239" t="s">
        <v>6625</v>
      </c>
      <c r="D260" s="239" t="s">
        <v>135</v>
      </c>
      <c r="E260" s="239" t="str">
        <f t="array" ref="E260">IFERROR(INDEX(REF_CODES!$B$8:$B$13,MATCH($D260,REF_CODES!$C$8:$C$13,0)),"")</f>
        <v>HB-RIA</v>
      </c>
      <c r="F260" s="239" t="s">
        <v>2844</v>
      </c>
      <c r="G260" s="239" t="s">
        <v>2198</v>
      </c>
      <c r="H260" s="240" t="s">
        <v>165</v>
      </c>
      <c r="I260" s="239"/>
      <c r="J260" s="239" t="s">
        <v>2200</v>
      </c>
      <c r="K260" s="239"/>
      <c r="L260" s="239" t="s">
        <v>2201</v>
      </c>
      <c r="M260" s="241">
        <v>550.0</v>
      </c>
      <c r="N260" s="241"/>
      <c r="O260" s="241"/>
      <c r="P260" s="241"/>
      <c r="Q260" s="241"/>
      <c r="R260" s="241"/>
      <c r="S260" s="239" t="s">
        <v>6377</v>
      </c>
      <c r="T260" s="239" t="s">
        <v>4024</v>
      </c>
      <c r="U260" s="242"/>
      <c r="V260" s="239" t="s">
        <v>4024</v>
      </c>
      <c r="W260" s="242"/>
      <c r="X260" s="239"/>
      <c r="Y260" s="239"/>
      <c r="Z260" s="239"/>
      <c r="AA260" s="239"/>
      <c r="AB260" s="244" t="s">
        <v>195</v>
      </c>
      <c r="AC260" s="244"/>
      <c r="AD260" s="215"/>
      <c r="AE260" s="244"/>
      <c r="AF260" s="245"/>
      <c r="AG260" s="240"/>
      <c r="AH260" s="240"/>
      <c r="AI260" s="240"/>
      <c r="AJ260" s="240"/>
    </row>
    <row r="261" ht="15.0" hidden="1" customHeight="1">
      <c r="A261" s="239" t="s">
        <v>2172</v>
      </c>
      <c r="B261" s="239" t="s">
        <v>1052</v>
      </c>
      <c r="C261" s="239" t="s">
        <v>6634</v>
      </c>
      <c r="D261" s="239" t="s">
        <v>135</v>
      </c>
      <c r="E261" s="239" t="str">
        <f t="array" ref="E261">IFERROR(INDEX(REF_CODES!$B$8:$B$13,MATCH($D261,REF_CODES!$C$8:$C$13,0)),"")</f>
        <v>HB-RIA</v>
      </c>
      <c r="F261" s="239" t="s">
        <v>2839</v>
      </c>
      <c r="G261" s="239" t="s">
        <v>6639</v>
      </c>
      <c r="H261" s="240" t="s">
        <v>165</v>
      </c>
      <c r="I261" s="239"/>
      <c r="J261" s="239" t="s">
        <v>2200</v>
      </c>
      <c r="K261" s="239"/>
      <c r="L261" s="239" t="s">
        <v>2201</v>
      </c>
      <c r="M261" s="241">
        <v>520.0</v>
      </c>
      <c r="N261" s="241"/>
      <c r="O261" s="241"/>
      <c r="P261" s="241"/>
      <c r="Q261" s="241"/>
      <c r="R261" s="241"/>
      <c r="S261" s="239" t="s">
        <v>6377</v>
      </c>
      <c r="T261" s="239" t="s">
        <v>4024</v>
      </c>
      <c r="U261" s="242"/>
      <c r="V261" s="239" t="s">
        <v>4024</v>
      </c>
      <c r="W261" s="242"/>
      <c r="X261" s="239"/>
      <c r="Y261" s="239"/>
      <c r="Z261" s="239"/>
      <c r="AA261" s="239"/>
      <c r="AB261" s="244" t="s">
        <v>195</v>
      </c>
      <c r="AC261" s="244"/>
      <c r="AD261" s="215"/>
      <c r="AE261" s="244"/>
      <c r="AF261" s="245"/>
      <c r="AG261" s="240"/>
      <c r="AH261" s="240"/>
      <c r="AI261" s="240"/>
      <c r="AJ261" s="240"/>
    </row>
    <row r="262" ht="15.0" hidden="1" customHeight="1">
      <c r="A262" s="239" t="s">
        <v>2172</v>
      </c>
      <c r="B262" s="239" t="s">
        <v>1052</v>
      </c>
      <c r="C262" s="239" t="s">
        <v>6645</v>
      </c>
      <c r="D262" s="239" t="s">
        <v>135</v>
      </c>
      <c r="E262" s="239" t="str">
        <f t="array" ref="E262">IFERROR(INDEX(REF_CODES!$B$8:$B$13,MATCH($D262,REF_CODES!$C$8:$C$13,0)),"")</f>
        <v>HB-RIA</v>
      </c>
      <c r="F262" s="239" t="s">
        <v>4194</v>
      </c>
      <c r="G262" s="239" t="s">
        <v>6648</v>
      </c>
      <c r="H262" s="240" t="s">
        <v>165</v>
      </c>
      <c r="I262" s="239"/>
      <c r="J262" s="239" t="s">
        <v>2200</v>
      </c>
      <c r="K262" s="239"/>
      <c r="L262" s="239" t="s">
        <v>2201</v>
      </c>
      <c r="M262" s="241">
        <v>700.0</v>
      </c>
      <c r="N262" s="241"/>
      <c r="O262" s="241"/>
      <c r="P262" s="241"/>
      <c r="Q262" s="241"/>
      <c r="R262" s="241"/>
      <c r="S262" s="239" t="s">
        <v>6377</v>
      </c>
      <c r="T262" s="239" t="s">
        <v>4024</v>
      </c>
      <c r="U262" s="242"/>
      <c r="V262" s="239" t="s">
        <v>4024</v>
      </c>
      <c r="W262" s="242"/>
      <c r="X262" s="239"/>
      <c r="Y262" s="239"/>
      <c r="Z262" s="239"/>
      <c r="AA262" s="239"/>
      <c r="AB262" s="244" t="s">
        <v>195</v>
      </c>
      <c r="AC262" s="244"/>
      <c r="AD262" s="215"/>
      <c r="AE262" s="244"/>
      <c r="AF262" s="245"/>
      <c r="AG262" s="240"/>
      <c r="AH262" s="240"/>
      <c r="AI262" s="240"/>
      <c r="AJ262" s="240"/>
    </row>
    <row r="263" ht="15.0" hidden="1" customHeight="1">
      <c r="A263" s="239" t="s">
        <v>2172</v>
      </c>
      <c r="B263" s="239" t="s">
        <v>1052</v>
      </c>
      <c r="C263" s="239" t="s">
        <v>6654</v>
      </c>
      <c r="D263" s="239" t="s">
        <v>135</v>
      </c>
      <c r="E263" s="239" t="str">
        <f t="array" ref="E263">IFERROR(INDEX(REF_CODES!$B$8:$B$13,MATCH($D263,REF_CODES!$C$8:$C$13,0)),"")</f>
        <v>HB-RIA</v>
      </c>
      <c r="F263" s="239" t="s">
        <v>6658</v>
      </c>
      <c r="G263" s="239" t="s">
        <v>2198</v>
      </c>
      <c r="H263" s="240" t="s">
        <v>170</v>
      </c>
      <c r="I263" s="239"/>
      <c r="J263" s="239" t="s">
        <v>2200</v>
      </c>
      <c r="K263" s="239"/>
      <c r="L263" s="239" t="s">
        <v>2201</v>
      </c>
      <c r="M263" s="241">
        <v>900.0</v>
      </c>
      <c r="N263" s="241"/>
      <c r="O263" s="241"/>
      <c r="P263" s="241"/>
      <c r="Q263" s="241"/>
      <c r="R263" s="241"/>
      <c r="S263" s="239" t="s">
        <v>6377</v>
      </c>
      <c r="T263" s="239" t="s">
        <v>4024</v>
      </c>
      <c r="U263" s="242"/>
      <c r="V263" s="239" t="s">
        <v>4024</v>
      </c>
      <c r="W263" s="242"/>
      <c r="X263" s="239"/>
      <c r="Y263" s="239"/>
      <c r="Z263" s="239"/>
      <c r="AA263" s="239"/>
      <c r="AB263" s="244" t="s">
        <v>195</v>
      </c>
      <c r="AC263" s="244"/>
      <c r="AD263" s="215"/>
      <c r="AE263" s="244"/>
      <c r="AF263" s="245"/>
      <c r="AG263" s="240"/>
      <c r="AH263" s="240"/>
      <c r="AI263" s="240"/>
      <c r="AJ263" s="240"/>
    </row>
    <row r="264" ht="15.0" hidden="1" customHeight="1">
      <c r="A264" s="239" t="s">
        <v>2172</v>
      </c>
      <c r="B264" s="239" t="s">
        <v>1052</v>
      </c>
      <c r="C264" s="239" t="s">
        <v>6664</v>
      </c>
      <c r="D264" s="239" t="s">
        <v>135</v>
      </c>
      <c r="E264" s="239" t="str">
        <f t="array" ref="E264">IFERROR(INDEX(REF_CODES!$B$8:$B$13,MATCH($D264,REF_CODES!$C$8:$C$13,0)),"")</f>
        <v>HB-RIA</v>
      </c>
      <c r="F264" s="239" t="s">
        <v>6547</v>
      </c>
      <c r="G264" s="239" t="s">
        <v>6669</v>
      </c>
      <c r="H264" s="240" t="s">
        <v>170</v>
      </c>
      <c r="I264" s="239"/>
      <c r="J264" s="239" t="s">
        <v>2200</v>
      </c>
      <c r="K264" s="239"/>
      <c r="L264" s="239" t="s">
        <v>2201</v>
      </c>
      <c r="M264" s="241">
        <v>850.0</v>
      </c>
      <c r="N264" s="241"/>
      <c r="O264" s="241"/>
      <c r="P264" s="241"/>
      <c r="Q264" s="241"/>
      <c r="R264" s="241"/>
      <c r="S264" s="239" t="s">
        <v>6377</v>
      </c>
      <c r="T264" s="239" t="s">
        <v>4024</v>
      </c>
      <c r="U264" s="242"/>
      <c r="V264" s="239" t="s">
        <v>4024</v>
      </c>
      <c r="W264" s="242"/>
      <c r="X264" s="239"/>
      <c r="Y264" s="239"/>
      <c r="Z264" s="239"/>
      <c r="AA264" s="239"/>
      <c r="AB264" s="244" t="s">
        <v>195</v>
      </c>
      <c r="AC264" s="244"/>
      <c r="AD264" s="215"/>
      <c r="AE264" s="244"/>
      <c r="AF264" s="245"/>
      <c r="AG264" s="240"/>
      <c r="AH264" s="240"/>
      <c r="AI264" s="240"/>
      <c r="AJ264" s="240"/>
    </row>
    <row r="265" ht="15.0" hidden="1" customHeight="1">
      <c r="A265" s="239" t="s">
        <v>2172</v>
      </c>
      <c r="B265" s="239" t="s">
        <v>1052</v>
      </c>
      <c r="C265" s="239" t="s">
        <v>6676</v>
      </c>
      <c r="D265" s="239" t="s">
        <v>135</v>
      </c>
      <c r="E265" s="239" t="str">
        <f t="array" ref="E265">IFERROR(INDEX(REF_CODES!$B$8:$B$13,MATCH($D265,REF_CODES!$C$8:$C$13,0)),"")</f>
        <v>HB-RIA</v>
      </c>
      <c r="F265" s="239" t="s">
        <v>4171</v>
      </c>
      <c r="G265" s="239" t="s">
        <v>6648</v>
      </c>
      <c r="H265" s="240" t="s">
        <v>170</v>
      </c>
      <c r="I265" s="239"/>
      <c r="J265" s="239" t="s">
        <v>2200</v>
      </c>
      <c r="K265" s="239"/>
      <c r="L265" s="239" t="s">
        <v>2201</v>
      </c>
      <c r="M265" s="241">
        <v>800.0</v>
      </c>
      <c r="N265" s="241"/>
      <c r="O265" s="241"/>
      <c r="P265" s="241"/>
      <c r="Q265" s="241"/>
      <c r="R265" s="241"/>
      <c r="S265" s="239" t="s">
        <v>6377</v>
      </c>
      <c r="T265" s="239" t="s">
        <v>4024</v>
      </c>
      <c r="U265" s="242"/>
      <c r="V265" s="239" t="s">
        <v>4024</v>
      </c>
      <c r="W265" s="242"/>
      <c r="X265" s="239"/>
      <c r="Y265" s="239"/>
      <c r="Z265" s="239"/>
      <c r="AA265" s="239"/>
      <c r="AB265" s="244" t="s">
        <v>195</v>
      </c>
      <c r="AC265" s="244"/>
      <c r="AD265" s="215"/>
      <c r="AE265" s="244"/>
      <c r="AF265" s="245"/>
      <c r="AG265" s="240"/>
      <c r="AH265" s="240"/>
      <c r="AI265" s="240"/>
      <c r="AJ265" s="240"/>
    </row>
    <row r="266" ht="15.0" customHeight="1">
      <c r="A266" s="239" t="s">
        <v>2172</v>
      </c>
      <c r="B266" s="239" t="s">
        <v>1052</v>
      </c>
      <c r="C266" s="239" t="s">
        <v>6686</v>
      </c>
      <c r="D266" s="239" t="s">
        <v>135</v>
      </c>
      <c r="E266" s="239" t="str">
        <f t="array" ref="E266">IFERROR(INDEX(REF_CODES!$B$8:$B$13,MATCH($D266,REF_CODES!$C$8:$C$13,0)),"")</f>
        <v>HB-RIA</v>
      </c>
      <c r="F266" s="239" t="s">
        <v>6688</v>
      </c>
      <c r="G266" s="239" t="s">
        <v>6648</v>
      </c>
      <c r="H266" s="240" t="s">
        <v>173</v>
      </c>
      <c r="I266" s="239"/>
      <c r="J266" s="239" t="s">
        <v>2200</v>
      </c>
      <c r="K266" s="239"/>
      <c r="L266" s="239"/>
      <c r="M266" s="241">
        <v>1250.0</v>
      </c>
      <c r="N266" s="241"/>
      <c r="O266" s="241"/>
      <c r="P266" s="241"/>
      <c r="Q266" s="241"/>
      <c r="R266" s="241"/>
      <c r="S266" s="239" t="s">
        <v>6377</v>
      </c>
      <c r="T266" s="239" t="s">
        <v>4024</v>
      </c>
      <c r="U266" s="242"/>
      <c r="V266" s="239" t="s">
        <v>4024</v>
      </c>
      <c r="W266" s="242"/>
      <c r="X266" s="239"/>
      <c r="Y266" s="239"/>
      <c r="Z266" s="239"/>
      <c r="AA266" s="239"/>
      <c r="AB266" s="244" t="s">
        <v>202</v>
      </c>
      <c r="AC266" s="244"/>
      <c r="AD266" s="215"/>
      <c r="AE266" s="244"/>
      <c r="AF266" s="245"/>
      <c r="AG266" s="240"/>
      <c r="AH266" s="240"/>
      <c r="AI266" s="240"/>
      <c r="AJ266" s="240"/>
    </row>
    <row r="267" ht="15.0" customHeight="1">
      <c r="A267" s="239" t="s">
        <v>2172</v>
      </c>
      <c r="B267" s="239" t="s">
        <v>1052</v>
      </c>
      <c r="C267" s="239" t="s">
        <v>6693</v>
      </c>
      <c r="D267" s="239" t="s">
        <v>135</v>
      </c>
      <c r="E267" s="239" t="str">
        <f t="array" ref="E267">IFERROR(INDEX(REF_CODES!$B$8:$B$13,MATCH($D267,REF_CODES!$C$8:$C$13,0)),"")</f>
        <v>HB-RIA</v>
      </c>
      <c r="F267" s="239" t="s">
        <v>6695</v>
      </c>
      <c r="G267" s="239" t="s">
        <v>6669</v>
      </c>
      <c r="H267" s="240" t="s">
        <v>173</v>
      </c>
      <c r="I267" s="239"/>
      <c r="J267" s="239" t="s">
        <v>2200</v>
      </c>
      <c r="K267" s="239"/>
      <c r="L267" s="239"/>
      <c r="M267" s="241">
        <v>1300.0</v>
      </c>
      <c r="N267" s="241"/>
      <c r="O267" s="241"/>
      <c r="P267" s="241"/>
      <c r="Q267" s="241"/>
      <c r="R267" s="241"/>
      <c r="S267" s="239" t="s">
        <v>6377</v>
      </c>
      <c r="T267" s="239" t="s">
        <v>4024</v>
      </c>
      <c r="U267" s="242"/>
      <c r="V267" s="239" t="s">
        <v>4024</v>
      </c>
      <c r="W267" s="242"/>
      <c r="X267" s="239"/>
      <c r="Y267" s="239"/>
      <c r="Z267" s="239"/>
      <c r="AA267" s="239"/>
      <c r="AB267" s="244" t="s">
        <v>202</v>
      </c>
      <c r="AC267" s="244"/>
      <c r="AD267" s="215"/>
      <c r="AE267" s="244"/>
      <c r="AF267" s="245"/>
      <c r="AG267" s="240"/>
      <c r="AH267" s="240"/>
      <c r="AI267" s="240"/>
      <c r="AJ267" s="240"/>
    </row>
    <row r="268" ht="15.0" customHeight="1">
      <c r="A268" s="239" t="s">
        <v>2172</v>
      </c>
      <c r="B268" s="239" t="s">
        <v>1052</v>
      </c>
      <c r="C268" s="239" t="s">
        <v>6698</v>
      </c>
      <c r="D268" s="239" t="s">
        <v>135</v>
      </c>
      <c r="E268" s="239" t="str">
        <f t="array" ref="E268">IFERROR(INDEX(REF_CODES!$B$8:$B$13,MATCH($D268,REF_CODES!$C$8:$C$13,0)),"")</f>
        <v>HB-RIA</v>
      </c>
      <c r="F268" s="239" t="s">
        <v>6700</v>
      </c>
      <c r="G268" s="239" t="s">
        <v>6648</v>
      </c>
      <c r="H268" s="240" t="s">
        <v>173</v>
      </c>
      <c r="I268" s="239"/>
      <c r="J268" s="239" t="s">
        <v>2200</v>
      </c>
      <c r="K268" s="239"/>
      <c r="L268" s="239"/>
      <c r="M268" s="241">
        <v>9000.0</v>
      </c>
      <c r="N268" s="241"/>
      <c r="O268" s="241"/>
      <c r="P268" s="241"/>
      <c r="Q268" s="241"/>
      <c r="R268" s="241"/>
      <c r="S268" s="239" t="s">
        <v>6377</v>
      </c>
      <c r="T268" s="239" t="s">
        <v>4024</v>
      </c>
      <c r="U268" s="242"/>
      <c r="V268" s="239" t="s">
        <v>4024</v>
      </c>
      <c r="W268" s="242"/>
      <c r="X268" s="239"/>
      <c r="Y268" s="239"/>
      <c r="Z268" s="239"/>
      <c r="AA268" s="239"/>
      <c r="AB268" s="244" t="s">
        <v>202</v>
      </c>
      <c r="AC268" s="244"/>
      <c r="AD268" s="215"/>
      <c r="AE268" s="244"/>
      <c r="AF268" s="245"/>
      <c r="AG268" s="240"/>
      <c r="AH268" s="240"/>
      <c r="AI268" s="240"/>
      <c r="AJ268" s="240"/>
    </row>
    <row r="269" ht="15.0" customHeight="1">
      <c r="A269" s="239" t="s">
        <v>2172</v>
      </c>
      <c r="B269" s="239" t="s">
        <v>1052</v>
      </c>
      <c r="C269" s="239" t="s">
        <v>6703</v>
      </c>
      <c r="D269" s="239" t="s">
        <v>135</v>
      </c>
      <c r="E269" s="239" t="str">
        <f t="array" ref="E269">IFERROR(INDEX(REF_CODES!$B$8:$B$13,MATCH($D269,REF_CODES!$C$8:$C$13,0)),"")</f>
        <v>HB-RIA</v>
      </c>
      <c r="F269" s="239" t="s">
        <v>6705</v>
      </c>
      <c r="G269" s="239" t="s">
        <v>6669</v>
      </c>
      <c r="H269" s="240" t="s">
        <v>173</v>
      </c>
      <c r="I269" s="239"/>
      <c r="J269" s="239" t="s">
        <v>2200</v>
      </c>
      <c r="K269" s="239"/>
      <c r="L269" s="239"/>
      <c r="M269" s="241">
        <v>7000.0</v>
      </c>
      <c r="N269" s="241"/>
      <c r="O269" s="241"/>
      <c r="P269" s="241"/>
      <c r="Q269" s="241"/>
      <c r="R269" s="241"/>
      <c r="S269" s="239" t="s">
        <v>6377</v>
      </c>
      <c r="T269" s="239" t="s">
        <v>4024</v>
      </c>
      <c r="U269" s="242"/>
      <c r="V269" s="239" t="s">
        <v>4024</v>
      </c>
      <c r="W269" s="242"/>
      <c r="X269" s="239"/>
      <c r="Y269" s="239"/>
      <c r="Z269" s="239"/>
      <c r="AA269" s="239"/>
      <c r="AB269" s="244" t="s">
        <v>202</v>
      </c>
      <c r="AC269" s="244"/>
      <c r="AD269" s="215"/>
      <c r="AE269" s="244"/>
      <c r="AF269" s="245"/>
      <c r="AG269" s="240"/>
      <c r="AH269" s="240"/>
      <c r="AI269" s="240"/>
      <c r="AJ269" s="240"/>
    </row>
    <row r="270" ht="15.0" customHeight="1">
      <c r="A270" s="239" t="s">
        <v>2172</v>
      </c>
      <c r="B270" s="239" t="s">
        <v>1052</v>
      </c>
      <c r="C270" s="239" t="s">
        <v>6708</v>
      </c>
      <c r="D270" s="239" t="s">
        <v>135</v>
      </c>
      <c r="E270" s="239" t="str">
        <f t="array" ref="E270">IFERROR(INDEX(REF_CODES!$B$8:$B$13,MATCH($D270,REF_CODES!$C$8:$C$13,0)),"")</f>
        <v>HB-RIA</v>
      </c>
      <c r="F270" s="239" t="s">
        <v>6710</v>
      </c>
      <c r="G270" s="239" t="s">
        <v>6639</v>
      </c>
      <c r="H270" s="240" t="s">
        <v>173</v>
      </c>
      <c r="I270" s="239"/>
      <c r="J270" s="239" t="s">
        <v>2224</v>
      </c>
      <c r="K270" s="239"/>
      <c r="L270" s="239"/>
      <c r="M270" s="241">
        <v>5000.0</v>
      </c>
      <c r="N270" s="241"/>
      <c r="O270" s="241"/>
      <c r="P270" s="241"/>
      <c r="Q270" s="241"/>
      <c r="R270" s="241"/>
      <c r="S270" s="239" t="s">
        <v>6377</v>
      </c>
      <c r="T270" s="239" t="s">
        <v>4024</v>
      </c>
      <c r="U270" s="242"/>
      <c r="V270" s="239" t="s">
        <v>4024</v>
      </c>
      <c r="W270" s="242"/>
      <c r="X270" s="239"/>
      <c r="Y270" s="239"/>
      <c r="Z270" s="239"/>
      <c r="AA270" s="239"/>
      <c r="AB270" s="244" t="s">
        <v>202</v>
      </c>
      <c r="AC270" s="244"/>
      <c r="AD270" s="215"/>
      <c r="AE270" s="244"/>
      <c r="AF270" s="245"/>
      <c r="AG270" s="240"/>
      <c r="AH270" s="240"/>
      <c r="AI270" s="240"/>
      <c r="AJ270" s="240"/>
    </row>
    <row r="271" ht="15.0" customHeight="1">
      <c r="A271" s="239" t="s">
        <v>2172</v>
      </c>
      <c r="B271" s="239" t="s">
        <v>1052</v>
      </c>
      <c r="C271" s="239" t="s">
        <v>6712</v>
      </c>
      <c r="D271" s="239" t="s">
        <v>139</v>
      </c>
      <c r="E271" s="239" t="str">
        <f t="array" ref="E271">IFERROR(INDEX(REF_CODES!$B$8:$B$13,MATCH($D271,REF_CODES!$C$8:$C$13,0)),"")</f>
        <v>HB-COL</v>
      </c>
      <c r="F271" s="239" t="s">
        <v>2969</v>
      </c>
      <c r="G271" s="239" t="s">
        <v>6648</v>
      </c>
      <c r="H271" s="240" t="s">
        <v>165</v>
      </c>
      <c r="I271" s="239"/>
      <c r="J271" s="239" t="s">
        <v>2511</v>
      </c>
      <c r="K271" s="239"/>
      <c r="L271" s="239"/>
      <c r="M271" s="241">
        <v>600.0</v>
      </c>
      <c r="N271" s="241"/>
      <c r="O271" s="241"/>
      <c r="P271" s="241"/>
      <c r="Q271" s="241"/>
      <c r="R271" s="241"/>
      <c r="S271" s="239" t="s">
        <v>6377</v>
      </c>
      <c r="T271" s="239" t="s">
        <v>4024</v>
      </c>
      <c r="U271" s="242"/>
      <c r="V271" s="239" t="s">
        <v>4024</v>
      </c>
      <c r="W271" s="242"/>
      <c r="X271" s="239"/>
      <c r="Y271" s="239"/>
      <c r="Z271" s="239"/>
      <c r="AA271" s="239"/>
      <c r="AB271" s="244" t="s">
        <v>195</v>
      </c>
      <c r="AC271" s="244"/>
      <c r="AD271" s="215"/>
      <c r="AE271" s="244"/>
      <c r="AF271" s="245"/>
      <c r="AG271" s="240"/>
      <c r="AH271" s="240"/>
      <c r="AI271" s="240"/>
      <c r="AJ271" s="240"/>
    </row>
    <row r="272" ht="15.0" customHeight="1">
      <c r="A272" s="239" t="s">
        <v>2172</v>
      </c>
      <c r="B272" s="239" t="s">
        <v>1052</v>
      </c>
      <c r="C272" s="239" t="s">
        <v>6716</v>
      </c>
      <c r="D272" s="239" t="s">
        <v>139</v>
      </c>
      <c r="E272" s="239" t="str">
        <f t="array" ref="E272">IFERROR(INDEX(REF_CODES!$B$8:$B$13,MATCH($D272,REF_CODES!$C$8:$C$13,0)),"")</f>
        <v>HB-COL</v>
      </c>
      <c r="F272" s="239" t="s">
        <v>4158</v>
      </c>
      <c r="G272" s="239" t="s">
        <v>6648</v>
      </c>
      <c r="H272" s="240" t="s">
        <v>165</v>
      </c>
      <c r="I272" s="239"/>
      <c r="J272" s="239" t="s">
        <v>2200</v>
      </c>
      <c r="K272" s="239"/>
      <c r="L272" s="239"/>
      <c r="M272" s="241">
        <v>550.0</v>
      </c>
      <c r="N272" s="241"/>
      <c r="O272" s="241"/>
      <c r="P272" s="241"/>
      <c r="Q272" s="241"/>
      <c r="R272" s="241"/>
      <c r="S272" s="239" t="s">
        <v>6377</v>
      </c>
      <c r="T272" s="239" t="s">
        <v>4024</v>
      </c>
      <c r="U272" s="242"/>
      <c r="V272" s="239" t="s">
        <v>4024</v>
      </c>
      <c r="W272" s="242"/>
      <c r="X272" s="239"/>
      <c r="Y272" s="239"/>
      <c r="Z272" s="239"/>
      <c r="AA272" s="239"/>
      <c r="AB272" s="244" t="s">
        <v>195</v>
      </c>
      <c r="AC272" s="244"/>
      <c r="AD272" s="215"/>
      <c r="AE272" s="244"/>
      <c r="AF272" s="245"/>
      <c r="AG272" s="240"/>
      <c r="AH272" s="240"/>
      <c r="AI272" s="240"/>
      <c r="AJ272" s="240"/>
    </row>
    <row r="273" ht="15.0" customHeight="1">
      <c r="A273" s="239" t="s">
        <v>2172</v>
      </c>
      <c r="B273" s="239" t="s">
        <v>1052</v>
      </c>
      <c r="C273" s="239" t="s">
        <v>6719</v>
      </c>
      <c r="D273" s="239" t="s">
        <v>139</v>
      </c>
      <c r="E273" s="239" t="str">
        <f t="array" ref="E273">IFERROR(INDEX(REF_CODES!$B$8:$B$13,MATCH($D273,REF_CODES!$C$8:$C$13,0)),"")</f>
        <v>HB-COL</v>
      </c>
      <c r="F273" s="239" t="s">
        <v>6720</v>
      </c>
      <c r="G273" s="239" t="s">
        <v>6648</v>
      </c>
      <c r="H273" s="240" t="s">
        <v>170</v>
      </c>
      <c r="I273" s="239"/>
      <c r="J273" s="239" t="s">
        <v>2200</v>
      </c>
      <c r="K273" s="239"/>
      <c r="L273" s="239"/>
      <c r="M273" s="241">
        <v>950.0</v>
      </c>
      <c r="N273" s="241"/>
      <c r="O273" s="241"/>
      <c r="P273" s="241"/>
      <c r="Q273" s="241"/>
      <c r="R273" s="241"/>
      <c r="S273" s="239" t="s">
        <v>6377</v>
      </c>
      <c r="T273" s="239" t="s">
        <v>4024</v>
      </c>
      <c r="U273" s="242"/>
      <c r="V273" s="239" t="s">
        <v>4024</v>
      </c>
      <c r="W273" s="242"/>
      <c r="X273" s="239"/>
      <c r="Y273" s="239"/>
      <c r="Z273" s="239"/>
      <c r="AA273" s="239"/>
      <c r="AB273" s="244" t="s">
        <v>202</v>
      </c>
      <c r="AC273" s="244"/>
      <c r="AD273" s="215"/>
      <c r="AE273" s="244"/>
      <c r="AF273" s="245"/>
      <c r="AG273" s="240"/>
      <c r="AH273" s="240"/>
      <c r="AI273" s="240"/>
      <c r="AJ273" s="240"/>
    </row>
    <row r="274" ht="15.0" customHeight="1">
      <c r="A274" s="239" t="s">
        <v>2172</v>
      </c>
      <c r="B274" s="239" t="s">
        <v>1052</v>
      </c>
      <c r="C274" s="239" t="s">
        <v>6723</v>
      </c>
      <c r="D274" s="239" t="s">
        <v>139</v>
      </c>
      <c r="E274" s="239" t="str">
        <f t="array" ref="E274">IFERROR(INDEX(REF_CODES!$B$8:$B$13,MATCH($D274,REF_CODES!$C$8:$C$13,0)),"")</f>
        <v>HB-COL</v>
      </c>
      <c r="F274" s="239" t="s">
        <v>6724</v>
      </c>
      <c r="G274" s="239" t="s">
        <v>6619</v>
      </c>
      <c r="H274" s="240" t="s">
        <v>170</v>
      </c>
      <c r="I274" s="239"/>
      <c r="J274" s="239" t="s">
        <v>6726</v>
      </c>
      <c r="K274" s="239"/>
      <c r="L274" s="239"/>
      <c r="M274" s="241">
        <v>900.0</v>
      </c>
      <c r="N274" s="241"/>
      <c r="O274" s="241"/>
      <c r="P274" s="241"/>
      <c r="Q274" s="241"/>
      <c r="R274" s="241"/>
      <c r="S274" s="239" t="s">
        <v>6377</v>
      </c>
      <c r="T274" s="239" t="s">
        <v>4024</v>
      </c>
      <c r="U274" s="242"/>
      <c r="V274" s="239" t="s">
        <v>4024</v>
      </c>
      <c r="W274" s="242"/>
      <c r="X274" s="239"/>
      <c r="Y274" s="239"/>
      <c r="Z274" s="239"/>
      <c r="AA274" s="239"/>
      <c r="AB274" s="244" t="s">
        <v>195</v>
      </c>
      <c r="AC274" s="244"/>
      <c r="AD274" s="215"/>
      <c r="AE274" s="244"/>
      <c r="AF274" s="245"/>
      <c r="AG274" s="240"/>
      <c r="AH274" s="240"/>
      <c r="AI274" s="240"/>
      <c r="AJ274" s="240"/>
    </row>
    <row r="275" ht="15.0" customHeight="1">
      <c r="A275" s="239" t="s">
        <v>2172</v>
      </c>
      <c r="B275" s="239" t="s">
        <v>1052</v>
      </c>
      <c r="C275" s="239" t="s">
        <v>6728</v>
      </c>
      <c r="D275" s="239" t="s">
        <v>139</v>
      </c>
      <c r="E275" s="239" t="str">
        <f t="array" ref="E275">IFERROR(INDEX(REF_CODES!$B$8:$B$13,MATCH($D275,REF_CODES!$C$8:$C$13,0)),"")</f>
        <v>HB-COL</v>
      </c>
      <c r="F275" s="239" t="s">
        <v>6731</v>
      </c>
      <c r="G275" s="239" t="s">
        <v>6648</v>
      </c>
      <c r="H275" s="240" t="s">
        <v>173</v>
      </c>
      <c r="I275" s="239"/>
      <c r="J275" s="239" t="s">
        <v>2200</v>
      </c>
      <c r="K275" s="239"/>
      <c r="L275" s="239"/>
      <c r="M275" s="241">
        <v>1300.0</v>
      </c>
      <c r="N275" s="241"/>
      <c r="O275" s="241"/>
      <c r="P275" s="241"/>
      <c r="Q275" s="241"/>
      <c r="R275" s="241"/>
      <c r="S275" s="239" t="s">
        <v>6377</v>
      </c>
      <c r="T275" s="239" t="s">
        <v>4024</v>
      </c>
      <c r="U275" s="242"/>
      <c r="V275" s="239" t="s">
        <v>4024</v>
      </c>
      <c r="W275" s="242"/>
      <c r="X275" s="239"/>
      <c r="Y275" s="239"/>
      <c r="Z275" s="239"/>
      <c r="AA275" s="239"/>
      <c r="AB275" s="244" t="s">
        <v>202</v>
      </c>
      <c r="AC275" s="244"/>
      <c r="AD275" s="215"/>
      <c r="AE275" s="244"/>
      <c r="AF275" s="245"/>
      <c r="AG275" s="240"/>
      <c r="AH275" s="240"/>
      <c r="AI275" s="240"/>
      <c r="AJ275" s="240"/>
    </row>
    <row r="276" ht="15.0" customHeight="1">
      <c r="A276" s="239" t="s">
        <v>2172</v>
      </c>
      <c r="B276" s="239" t="s">
        <v>1052</v>
      </c>
      <c r="C276" s="239" t="s">
        <v>6734</v>
      </c>
      <c r="D276" s="239" t="s">
        <v>139</v>
      </c>
      <c r="E276" s="239" t="str">
        <f t="array" ref="E276">IFERROR(INDEX(REF_CODES!$B$8:$B$13,MATCH($D276,REF_CODES!$C$8:$C$13,0)),"")</f>
        <v>HB-COL</v>
      </c>
      <c r="F276" s="239" t="s">
        <v>6735</v>
      </c>
      <c r="G276" s="239" t="s">
        <v>6619</v>
      </c>
      <c r="H276" s="240" t="s">
        <v>173</v>
      </c>
      <c r="I276" s="239"/>
      <c r="J276" s="239" t="s">
        <v>2511</v>
      </c>
      <c r="K276" s="239"/>
      <c r="L276" s="239"/>
      <c r="M276" s="241">
        <v>1400.0</v>
      </c>
      <c r="N276" s="241"/>
      <c r="O276" s="241"/>
      <c r="P276" s="241"/>
      <c r="Q276" s="241"/>
      <c r="R276" s="241"/>
      <c r="S276" s="239" t="s">
        <v>6377</v>
      </c>
      <c r="T276" s="239" t="s">
        <v>4024</v>
      </c>
      <c r="U276" s="242"/>
      <c r="V276" s="239" t="s">
        <v>4024</v>
      </c>
      <c r="W276" s="242"/>
      <c r="X276" s="239"/>
      <c r="Y276" s="239"/>
      <c r="Z276" s="239"/>
      <c r="AA276" s="239"/>
      <c r="AB276" s="244" t="s">
        <v>202</v>
      </c>
      <c r="AC276" s="244"/>
      <c r="AD276" s="215"/>
      <c r="AE276" s="244"/>
      <c r="AF276" s="245"/>
      <c r="AG276" s="240"/>
      <c r="AH276" s="240"/>
      <c r="AI276" s="240"/>
      <c r="AJ276" s="240"/>
    </row>
    <row r="277" ht="15.0" customHeight="1">
      <c r="A277" s="239" t="s">
        <v>2172</v>
      </c>
      <c r="B277" s="239" t="s">
        <v>1052</v>
      </c>
      <c r="C277" s="239" t="s">
        <v>6738</v>
      </c>
      <c r="D277" s="239" t="s">
        <v>139</v>
      </c>
      <c r="E277" s="239" t="str">
        <f t="array" ref="E277">IFERROR(INDEX(REF_CODES!$B$8:$B$13,MATCH($D277,REF_CODES!$C$8:$C$13,0)),"")</f>
        <v>HB-COL</v>
      </c>
      <c r="F277" s="239" t="s">
        <v>6740</v>
      </c>
      <c r="G277" s="239" t="s">
        <v>6648</v>
      </c>
      <c r="H277" s="240" t="s">
        <v>173</v>
      </c>
      <c r="I277" s="239"/>
      <c r="J277" s="239" t="s">
        <v>2511</v>
      </c>
      <c r="K277" s="239"/>
      <c r="L277" s="239"/>
      <c r="M277" s="241">
        <v>3000.0</v>
      </c>
      <c r="N277" s="241"/>
      <c r="O277" s="241"/>
      <c r="P277" s="241"/>
      <c r="Q277" s="241"/>
      <c r="R277" s="241"/>
      <c r="S277" s="239" t="s">
        <v>6377</v>
      </c>
      <c r="T277" s="239" t="s">
        <v>4024</v>
      </c>
      <c r="U277" s="242"/>
      <c r="V277" s="239" t="s">
        <v>4024</v>
      </c>
      <c r="W277" s="242"/>
      <c r="X277" s="239"/>
      <c r="Y277" s="239"/>
      <c r="Z277" s="239"/>
      <c r="AA277" s="239"/>
      <c r="AB277" s="244" t="s">
        <v>202</v>
      </c>
      <c r="AC277" s="244"/>
      <c r="AD277" s="215"/>
      <c r="AE277" s="244"/>
      <c r="AF277" s="245"/>
      <c r="AG277" s="240"/>
      <c r="AH277" s="240"/>
      <c r="AI277" s="240"/>
      <c r="AJ277" s="240"/>
    </row>
    <row r="278" ht="15.0" customHeight="1">
      <c r="A278" s="239" t="s">
        <v>2172</v>
      </c>
      <c r="B278" s="239" t="s">
        <v>1052</v>
      </c>
      <c r="C278" s="239" t="s">
        <v>6742</v>
      </c>
      <c r="D278" s="239" t="s">
        <v>139</v>
      </c>
      <c r="E278" s="239" t="str">
        <f t="array" ref="E278">IFERROR(INDEX(REF_CODES!$B$8:$B$13,MATCH($D278,REF_CODES!$C$8:$C$13,0)),"")</f>
        <v>HB-COL</v>
      </c>
      <c r="F278" s="239" t="s">
        <v>6744</v>
      </c>
      <c r="G278" s="239" t="s">
        <v>6648</v>
      </c>
      <c r="H278" s="240" t="s">
        <v>173</v>
      </c>
      <c r="I278" s="239"/>
      <c r="J278" s="239" t="s">
        <v>2200</v>
      </c>
      <c r="K278" s="239"/>
      <c r="L278" s="239"/>
      <c r="M278" s="241">
        <v>3500.0</v>
      </c>
      <c r="N278" s="241"/>
      <c r="O278" s="241"/>
      <c r="P278" s="241"/>
      <c r="Q278" s="241"/>
      <c r="R278" s="241"/>
      <c r="S278" s="239" t="s">
        <v>6377</v>
      </c>
      <c r="T278" s="239" t="s">
        <v>4024</v>
      </c>
      <c r="U278" s="242"/>
      <c r="V278" s="239" t="s">
        <v>4024</v>
      </c>
      <c r="W278" s="242"/>
      <c r="X278" s="239"/>
      <c r="Y278" s="239"/>
      <c r="Z278" s="239"/>
      <c r="AA278" s="239"/>
      <c r="AB278" s="244" t="s">
        <v>202</v>
      </c>
      <c r="AC278" s="244"/>
      <c r="AD278" s="215"/>
      <c r="AE278" s="244"/>
      <c r="AF278" s="245"/>
      <c r="AG278" s="240"/>
      <c r="AH278" s="240"/>
      <c r="AI278" s="240"/>
      <c r="AJ278" s="240"/>
    </row>
    <row r="279" ht="15.0" customHeight="1">
      <c r="A279" s="239" t="s">
        <v>2172</v>
      </c>
      <c r="B279" s="239" t="s">
        <v>1052</v>
      </c>
      <c r="C279" s="239" t="s">
        <v>6746</v>
      </c>
      <c r="D279" s="239" t="s">
        <v>141</v>
      </c>
      <c r="E279" s="239" t="str">
        <f t="array" ref="E279">IFERROR(INDEX(REF_CODES!$B$8:$B$13,MATCH($D279,REF_CODES!$C$8:$C$13,0)),"")</f>
        <v>HB-NAT</v>
      </c>
      <c r="F279" s="239" t="s">
        <v>4239</v>
      </c>
      <c r="G279" s="239" t="s">
        <v>6748</v>
      </c>
      <c r="H279" s="240" t="s">
        <v>170</v>
      </c>
      <c r="I279" s="239"/>
      <c r="J279" s="239" t="s">
        <v>6749</v>
      </c>
      <c r="K279" s="239"/>
      <c r="L279" s="239"/>
      <c r="M279" s="241">
        <v>850.0</v>
      </c>
      <c r="N279" s="241"/>
      <c r="O279" s="241"/>
      <c r="P279" s="241"/>
      <c r="Q279" s="241"/>
      <c r="R279" s="241"/>
      <c r="S279" s="239" t="s">
        <v>6377</v>
      </c>
      <c r="T279" s="239" t="s">
        <v>4024</v>
      </c>
      <c r="U279" s="242"/>
      <c r="V279" s="239" t="s">
        <v>4024</v>
      </c>
      <c r="W279" s="242"/>
      <c r="X279" s="239"/>
      <c r="Y279" s="239"/>
      <c r="Z279" s="239"/>
      <c r="AA279" s="239"/>
      <c r="AB279" s="244" t="s">
        <v>195</v>
      </c>
      <c r="AC279" s="244"/>
      <c r="AD279" s="215"/>
      <c r="AE279" s="244"/>
      <c r="AF279" s="245"/>
      <c r="AG279" s="240"/>
      <c r="AH279" s="240"/>
      <c r="AI279" s="240"/>
      <c r="AJ279" s="240"/>
    </row>
    <row r="280" ht="15.0" customHeight="1">
      <c r="A280" s="239" t="s">
        <v>2172</v>
      </c>
      <c r="B280" s="239" t="s">
        <v>1052</v>
      </c>
      <c r="C280" s="239" t="s">
        <v>6752</v>
      </c>
      <c r="D280" s="239" t="s">
        <v>141</v>
      </c>
      <c r="E280" s="239" t="str">
        <f t="array" ref="E280">IFERROR(INDEX(REF_CODES!$B$8:$B$13,MATCH($D280,REF_CODES!$C$8:$C$13,0)),"")</f>
        <v>HB-NAT</v>
      </c>
      <c r="F280" s="239" t="s">
        <v>6753</v>
      </c>
      <c r="G280" s="239" t="s">
        <v>2198</v>
      </c>
      <c r="H280" s="240" t="s">
        <v>170</v>
      </c>
      <c r="I280" s="239"/>
      <c r="J280" s="239" t="s">
        <v>6755</v>
      </c>
      <c r="K280" s="239"/>
      <c r="L280" s="239"/>
      <c r="M280" s="241">
        <v>900.0</v>
      </c>
      <c r="N280" s="241"/>
      <c r="O280" s="241"/>
      <c r="P280" s="241"/>
      <c r="Q280" s="241"/>
      <c r="R280" s="241"/>
      <c r="S280" s="239" t="s">
        <v>6377</v>
      </c>
      <c r="T280" s="239" t="s">
        <v>4024</v>
      </c>
      <c r="U280" s="242"/>
      <c r="V280" s="239" t="s">
        <v>4024</v>
      </c>
      <c r="W280" s="242"/>
      <c r="X280" s="239"/>
      <c r="Y280" s="239"/>
      <c r="Z280" s="239"/>
      <c r="AA280" s="239"/>
      <c r="AB280" s="244" t="s">
        <v>195</v>
      </c>
      <c r="AC280" s="244"/>
      <c r="AD280" s="215"/>
      <c r="AE280" s="244"/>
      <c r="AF280" s="245"/>
      <c r="AG280" s="240"/>
      <c r="AH280" s="240"/>
      <c r="AI280" s="240"/>
      <c r="AJ280" s="240"/>
    </row>
    <row r="281" ht="15.0" customHeight="1">
      <c r="A281" s="239" t="s">
        <v>2172</v>
      </c>
      <c r="B281" s="239" t="s">
        <v>1052</v>
      </c>
      <c r="C281" s="239" t="s">
        <v>6757</v>
      </c>
      <c r="D281" s="239" t="s">
        <v>141</v>
      </c>
      <c r="E281" s="239" t="str">
        <f t="array" ref="E281">IFERROR(INDEX(REF_CODES!$B$8:$B$13,MATCH($D281,REF_CODES!$C$8:$C$13,0)),"")</f>
        <v>HB-NAT</v>
      </c>
      <c r="F281" s="239" t="s">
        <v>6760</v>
      </c>
      <c r="G281" s="239" t="s">
        <v>6761</v>
      </c>
      <c r="H281" s="240" t="s">
        <v>170</v>
      </c>
      <c r="I281" s="239"/>
      <c r="J281" s="239" t="s">
        <v>2543</v>
      </c>
      <c r="K281" s="239"/>
      <c r="L281" s="239"/>
      <c r="M281" s="241">
        <v>800.0</v>
      </c>
      <c r="N281" s="241"/>
      <c r="O281" s="241"/>
      <c r="P281" s="241"/>
      <c r="Q281" s="241"/>
      <c r="R281" s="241"/>
      <c r="S281" s="239" t="s">
        <v>6377</v>
      </c>
      <c r="T281" s="239" t="s">
        <v>4024</v>
      </c>
      <c r="U281" s="242"/>
      <c r="V281" s="239" t="s">
        <v>4024</v>
      </c>
      <c r="W281" s="242"/>
      <c r="X281" s="239"/>
      <c r="Y281" s="239"/>
      <c r="Z281" s="239"/>
      <c r="AA281" s="239"/>
      <c r="AB281" s="244" t="s">
        <v>195</v>
      </c>
      <c r="AC281" s="244"/>
      <c r="AD281" s="215"/>
      <c r="AE281" s="244"/>
      <c r="AF281" s="245"/>
      <c r="AG281" s="240"/>
      <c r="AH281" s="240"/>
      <c r="AI281" s="240"/>
      <c r="AJ281" s="240"/>
    </row>
    <row r="282" ht="15.0" customHeight="1">
      <c r="A282" s="239" t="s">
        <v>2172</v>
      </c>
      <c r="B282" s="239" t="s">
        <v>1052</v>
      </c>
      <c r="C282" s="239" t="s">
        <v>6765</v>
      </c>
      <c r="D282" s="239" t="s">
        <v>141</v>
      </c>
      <c r="E282" s="239" t="str">
        <f t="array" ref="E282">IFERROR(INDEX(REF_CODES!$B$8:$B$13,MATCH($D282,REF_CODES!$C$8:$C$13,0)),"")</f>
        <v>HB-NAT</v>
      </c>
      <c r="F282" s="239" t="s">
        <v>6767</v>
      </c>
      <c r="G282" s="239" t="s">
        <v>6669</v>
      </c>
      <c r="H282" s="240" t="s">
        <v>173</v>
      </c>
      <c r="I282" s="239"/>
      <c r="J282" s="239" t="s">
        <v>6768</v>
      </c>
      <c r="K282" s="239"/>
      <c r="L282" s="239"/>
      <c r="M282" s="241">
        <v>1500.0</v>
      </c>
      <c r="N282" s="241"/>
      <c r="O282" s="241"/>
      <c r="P282" s="241"/>
      <c r="Q282" s="241"/>
      <c r="R282" s="241"/>
      <c r="S282" s="239" t="s">
        <v>6377</v>
      </c>
      <c r="T282" s="239" t="s">
        <v>4024</v>
      </c>
      <c r="U282" s="242"/>
      <c r="V282" s="239" t="s">
        <v>4024</v>
      </c>
      <c r="W282" s="242"/>
      <c r="X282" s="239"/>
      <c r="Y282" s="239"/>
      <c r="Z282" s="239"/>
      <c r="AA282" s="239"/>
      <c r="AB282" s="244" t="s">
        <v>202</v>
      </c>
      <c r="AC282" s="244"/>
      <c r="AD282" s="215"/>
      <c r="AE282" s="244"/>
      <c r="AF282" s="245"/>
      <c r="AG282" s="240"/>
      <c r="AH282" s="240"/>
      <c r="AI282" s="240"/>
      <c r="AJ282" s="240"/>
    </row>
    <row r="283" ht="15.0" customHeight="1">
      <c r="A283" s="239" t="s">
        <v>2172</v>
      </c>
      <c r="B283" s="239" t="s">
        <v>1052</v>
      </c>
      <c r="C283" s="239" t="s">
        <v>6772</v>
      </c>
      <c r="D283" s="239" t="s">
        <v>141</v>
      </c>
      <c r="E283" s="239" t="str">
        <f t="array" ref="E283">IFERROR(INDEX(REF_CODES!$B$8:$B$13,MATCH($D283,REF_CODES!$C$8:$C$13,0)),"")</f>
        <v>HB-NAT</v>
      </c>
      <c r="F283" s="239" t="s">
        <v>6773</v>
      </c>
      <c r="G283" s="239" t="s">
        <v>6639</v>
      </c>
      <c r="H283" s="240" t="s">
        <v>173</v>
      </c>
      <c r="I283" s="239"/>
      <c r="J283" s="239" t="s">
        <v>2511</v>
      </c>
      <c r="K283" s="239"/>
      <c r="L283" s="239"/>
      <c r="M283" s="241">
        <v>1250.0</v>
      </c>
      <c r="N283" s="241"/>
      <c r="O283" s="241"/>
      <c r="P283" s="241"/>
      <c r="Q283" s="241"/>
      <c r="R283" s="241"/>
      <c r="S283" s="239" t="s">
        <v>6377</v>
      </c>
      <c r="T283" s="239" t="s">
        <v>4024</v>
      </c>
      <c r="U283" s="242"/>
      <c r="V283" s="239" t="s">
        <v>4024</v>
      </c>
      <c r="W283" s="242"/>
      <c r="X283" s="239"/>
      <c r="Y283" s="239"/>
      <c r="Z283" s="239"/>
      <c r="AA283" s="239"/>
      <c r="AB283" s="244" t="s">
        <v>195</v>
      </c>
      <c r="AC283" s="244"/>
      <c r="AD283" s="215"/>
      <c r="AE283" s="244"/>
      <c r="AF283" s="245"/>
      <c r="AG283" s="240"/>
      <c r="AH283" s="240"/>
      <c r="AI283" s="240"/>
      <c r="AJ283" s="240"/>
    </row>
    <row r="284" ht="15.0" customHeight="1">
      <c r="A284" s="239" t="s">
        <v>2172</v>
      </c>
      <c r="B284" s="239" t="s">
        <v>1052</v>
      </c>
      <c r="C284" s="239" t="s">
        <v>6775</v>
      </c>
      <c r="D284" s="239" t="s">
        <v>141</v>
      </c>
      <c r="E284" s="239" t="str">
        <f t="array" ref="E284">IFERROR(INDEX(REF_CODES!$B$8:$B$13,MATCH($D284,REF_CODES!$C$8:$C$13,0)),"")</f>
        <v>HB-NAT</v>
      </c>
      <c r="F284" s="239" t="s">
        <v>6776</v>
      </c>
      <c r="G284" s="239" t="s">
        <v>6761</v>
      </c>
      <c r="H284" s="240" t="s">
        <v>173</v>
      </c>
      <c r="I284" s="239"/>
      <c r="J284" s="239" t="s">
        <v>2543</v>
      </c>
      <c r="K284" s="239"/>
      <c r="L284" s="239"/>
      <c r="M284" s="241">
        <v>1200.0</v>
      </c>
      <c r="N284" s="241"/>
      <c r="O284" s="241"/>
      <c r="P284" s="241"/>
      <c r="Q284" s="241"/>
      <c r="R284" s="241"/>
      <c r="S284" s="239" t="s">
        <v>6377</v>
      </c>
      <c r="T284" s="239" t="s">
        <v>4024</v>
      </c>
      <c r="U284" s="242"/>
      <c r="V284" s="239" t="s">
        <v>4024</v>
      </c>
      <c r="W284" s="242"/>
      <c r="X284" s="239"/>
      <c r="Y284" s="239"/>
      <c r="Z284" s="239"/>
      <c r="AA284" s="239"/>
      <c r="AB284" s="244" t="s">
        <v>202</v>
      </c>
      <c r="AC284" s="244"/>
      <c r="AD284" s="215"/>
      <c r="AE284" s="244"/>
      <c r="AF284" s="245"/>
      <c r="AG284" s="240"/>
      <c r="AH284" s="240"/>
      <c r="AI284" s="240"/>
      <c r="AJ284" s="240"/>
    </row>
    <row r="285" ht="15.0" customHeight="1">
      <c r="A285" s="239" t="s">
        <v>2172</v>
      </c>
      <c r="B285" s="239" t="s">
        <v>1052</v>
      </c>
      <c r="C285" s="239" t="s">
        <v>6779</v>
      </c>
      <c r="D285" s="239" t="s">
        <v>141</v>
      </c>
      <c r="E285" s="239" t="str">
        <f t="array" ref="E285">IFERROR(INDEX(REF_CODES!$B$8:$B$13,MATCH($D285,REF_CODES!$C$8:$C$13,0)),"")</f>
        <v>HB-NAT</v>
      </c>
      <c r="F285" s="239" t="s">
        <v>6780</v>
      </c>
      <c r="G285" s="239" t="s">
        <v>6748</v>
      </c>
      <c r="H285" s="240" t="s">
        <v>173</v>
      </c>
      <c r="I285" s="239"/>
      <c r="J285" s="239" t="s">
        <v>2543</v>
      </c>
      <c r="K285" s="239"/>
      <c r="L285" s="239"/>
      <c r="M285" s="241">
        <v>3000.0</v>
      </c>
      <c r="N285" s="241"/>
      <c r="O285" s="241"/>
      <c r="P285" s="241"/>
      <c r="Q285" s="241"/>
      <c r="R285" s="241"/>
      <c r="S285" s="239" t="s">
        <v>6377</v>
      </c>
      <c r="T285" s="239" t="s">
        <v>4024</v>
      </c>
      <c r="U285" s="242"/>
      <c r="V285" s="239" t="s">
        <v>4024</v>
      </c>
      <c r="W285" s="242"/>
      <c r="X285" s="239"/>
      <c r="Y285" s="239"/>
      <c r="Z285" s="239"/>
      <c r="AA285" s="239"/>
      <c r="AB285" s="244" t="s">
        <v>202</v>
      </c>
      <c r="AC285" s="244"/>
      <c r="AD285" s="215"/>
      <c r="AE285" s="244"/>
      <c r="AF285" s="245"/>
      <c r="AG285" s="240"/>
      <c r="AH285" s="240"/>
      <c r="AI285" s="240"/>
      <c r="AJ285" s="240"/>
    </row>
    <row r="286" ht="15.0" customHeight="1">
      <c r="A286" s="239" t="s">
        <v>2172</v>
      </c>
      <c r="B286" s="239" t="s">
        <v>1052</v>
      </c>
      <c r="C286" s="239" t="s">
        <v>6784</v>
      </c>
      <c r="D286" s="239" t="s">
        <v>141</v>
      </c>
      <c r="E286" s="239" t="str">
        <f t="array" ref="E286">IFERROR(INDEX(REF_CODES!$B$8:$B$13,MATCH($D286,REF_CODES!$C$8:$C$13,0)),"")</f>
        <v>HB-NAT</v>
      </c>
      <c r="F286" s="239" t="s">
        <v>6785</v>
      </c>
      <c r="G286" s="239" t="s">
        <v>6761</v>
      </c>
      <c r="H286" s="240" t="s">
        <v>173</v>
      </c>
      <c r="I286" s="239"/>
      <c r="J286" s="239" t="s">
        <v>2543</v>
      </c>
      <c r="K286" s="239"/>
      <c r="L286" s="239"/>
      <c r="M286" s="241">
        <v>2500.0</v>
      </c>
      <c r="N286" s="241"/>
      <c r="O286" s="241"/>
      <c r="P286" s="241"/>
      <c r="Q286" s="241"/>
      <c r="R286" s="241"/>
      <c r="S286" s="239" t="s">
        <v>6377</v>
      </c>
      <c r="T286" s="239" t="s">
        <v>4024</v>
      </c>
      <c r="U286" s="242"/>
      <c r="V286" s="239" t="s">
        <v>4024</v>
      </c>
      <c r="W286" s="242"/>
      <c r="X286" s="239"/>
      <c r="Y286" s="239"/>
      <c r="Z286" s="239"/>
      <c r="AA286" s="239"/>
      <c r="AB286" s="244" t="s">
        <v>202</v>
      </c>
      <c r="AC286" s="244"/>
      <c r="AD286" s="215"/>
      <c r="AE286" s="244"/>
      <c r="AF286" s="245"/>
      <c r="AG286" s="240"/>
      <c r="AH286" s="240"/>
      <c r="AI286" s="240"/>
      <c r="AJ286" s="240"/>
    </row>
    <row r="287" ht="15.0" customHeight="1">
      <c r="A287" s="239" t="s">
        <v>2172</v>
      </c>
      <c r="B287" s="239" t="s">
        <v>1052</v>
      </c>
      <c r="C287" s="239" t="s">
        <v>6788</v>
      </c>
      <c r="D287" s="239" t="s">
        <v>141</v>
      </c>
      <c r="E287" s="239" t="str">
        <f t="array" ref="E287">IFERROR(INDEX(REF_CODES!$B$8:$B$13,MATCH($D287,REF_CODES!$C$8:$C$13,0)),"")</f>
        <v>HB-NAT</v>
      </c>
      <c r="F287" s="239" t="s">
        <v>6789</v>
      </c>
      <c r="G287" s="239" t="s">
        <v>6761</v>
      </c>
      <c r="H287" s="240" t="s">
        <v>173</v>
      </c>
      <c r="I287" s="239"/>
      <c r="J287" s="239" t="s">
        <v>2543</v>
      </c>
      <c r="K287" s="239"/>
      <c r="L287" s="239"/>
      <c r="M287" s="241">
        <v>2800.0</v>
      </c>
      <c r="N287" s="241"/>
      <c r="O287" s="241"/>
      <c r="P287" s="241"/>
      <c r="Q287" s="241"/>
      <c r="R287" s="241"/>
      <c r="S287" s="239" t="s">
        <v>6377</v>
      </c>
      <c r="T287" s="239" t="s">
        <v>4024</v>
      </c>
      <c r="U287" s="242"/>
      <c r="V287" s="239" t="s">
        <v>4024</v>
      </c>
      <c r="W287" s="242"/>
      <c r="X287" s="239"/>
      <c r="Y287" s="239"/>
      <c r="Z287" s="239"/>
      <c r="AA287" s="239"/>
      <c r="AB287" s="244" t="s">
        <v>202</v>
      </c>
      <c r="AC287" s="244"/>
      <c r="AD287" s="215"/>
      <c r="AE287" s="244"/>
      <c r="AF287" s="245"/>
      <c r="AG287" s="240"/>
      <c r="AH287" s="240"/>
      <c r="AI287" s="240"/>
      <c r="AJ287" s="240"/>
    </row>
    <row r="288" ht="15.0" customHeight="1">
      <c r="A288" s="239" t="s">
        <v>2172</v>
      </c>
      <c r="B288" s="239" t="s">
        <v>5839</v>
      </c>
      <c r="C288" s="239" t="s">
        <v>6790</v>
      </c>
      <c r="D288" s="239" t="s">
        <v>127</v>
      </c>
      <c r="E288" s="239" t="str">
        <f t="array" ref="E288">IFERROR(INDEX(REF_CODES!$B$8:$B$13,MATCH($D288,REF_CODES!$C$8:$C$13,0)),"")</f>
        <v>HB-HOT</v>
      </c>
      <c r="F288" s="239" t="s">
        <v>6722</v>
      </c>
      <c r="G288" s="262" t="s">
        <v>6347</v>
      </c>
      <c r="H288" s="250" t="s">
        <v>157</v>
      </c>
      <c r="I288" s="242" t="s">
        <v>6348</v>
      </c>
      <c r="J288" s="242" t="s">
        <v>6349</v>
      </c>
      <c r="K288" s="262">
        <v>38.0</v>
      </c>
      <c r="L288" s="262" t="s">
        <v>2252</v>
      </c>
      <c r="M288" s="262" t="s">
        <v>3034</v>
      </c>
      <c r="N288" s="262" t="s">
        <v>6227</v>
      </c>
      <c r="O288" s="262" t="s">
        <v>6227</v>
      </c>
      <c r="P288" s="262" t="s">
        <v>6227</v>
      </c>
      <c r="Q288" s="262" t="s">
        <v>6227</v>
      </c>
      <c r="R288" s="262" t="s">
        <v>6227</v>
      </c>
      <c r="S288" s="262" t="s">
        <v>6227</v>
      </c>
      <c r="T288" s="239" t="s">
        <v>6352</v>
      </c>
      <c r="U288" s="242" t="s">
        <v>2208</v>
      </c>
      <c r="V288" s="262" t="s">
        <v>6356</v>
      </c>
      <c r="W288" s="262" t="s">
        <v>6357</v>
      </c>
      <c r="X288" s="262" t="s">
        <v>6358</v>
      </c>
      <c r="Y288" s="239" t="s">
        <v>6360</v>
      </c>
      <c r="Z288" s="239" t="s">
        <v>2204</v>
      </c>
      <c r="AA288" s="239" t="s">
        <v>5382</v>
      </c>
      <c r="AB288" s="244" t="s">
        <v>202</v>
      </c>
      <c r="AC288" s="244" t="s">
        <v>90</v>
      </c>
      <c r="AD288" s="215" t="s">
        <v>2238</v>
      </c>
      <c r="AE288" s="244" t="s">
        <v>477</v>
      </c>
      <c r="AF288" s="245" t="s">
        <v>2218</v>
      </c>
      <c r="AG288" s="240" t="s">
        <v>142</v>
      </c>
      <c r="AH288" s="240" t="s">
        <v>48</v>
      </c>
      <c r="AI288" s="240" t="s">
        <v>2207</v>
      </c>
      <c r="AJ288" s="240" t="s">
        <v>2913</v>
      </c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J$265">
    <filterColumn colId="3">
      <filters>
        <filter val="RIAD &amp; PATRIMOINE"/>
      </filters>
    </filterColumn>
    <filterColumn colId="7">
      <filters>
        <filter val="BG1 · Moins de 300 €"/>
        <filter val="BG5 · 1 200 € et +"/>
        <filter val="À confirmer (tarif)"/>
      </filters>
    </filterColumn>
    <sortState ref="A2:AJ265">
      <sortCondition ref="C2:C265"/>
    </sortState>
  </autoFilter>
  <mergeCells count="4">
    <mergeCell ref="B1:L1"/>
    <mergeCell ref="M1:S1"/>
    <mergeCell ref="T1:Z1"/>
    <mergeCell ref="AB1:AE1"/>
  </mergeCells>
  <conditionalFormatting sqref="D3:D1000">
    <cfRule type="cellIs" dxfId="0" priority="1" operator="equal">
      <formula>"INCONTOURNABLE"</formula>
    </cfRule>
  </conditionalFormatting>
  <conditionalFormatting sqref="D3:D1000">
    <cfRule type="cellIs" dxfId="1" priority="2" operator="equal">
      <formula>"COLLECTION PRIVÉE"</formula>
    </cfRule>
  </conditionalFormatting>
  <conditionalFormatting sqref="D3:D1000">
    <cfRule type="cellIs" dxfId="2" priority="3" operator="equal">
      <formula>"HOTEL &amp; RESORT"</formula>
    </cfRule>
  </conditionalFormatting>
  <conditionalFormatting sqref="D3:D1000">
    <cfRule type="cellIs" dxfId="3" priority="4" operator="equal">
      <formula>"RIAD &amp; PATRIMOINE"</formula>
    </cfRule>
  </conditionalFormatting>
  <conditionalFormatting sqref="D3:D1000">
    <cfRule type="cellIs" dxfId="4" priority="5" operator="equal">
      <formula>"NATURE &amp; HORIZON"</formula>
    </cfRule>
  </conditionalFormatting>
  <conditionalFormatting sqref="D3:D1000">
    <cfRule type="cellIs" dxfId="5" priority="6" operator="equal">
      <formula>"SUR MESURE ABSOLU"</formula>
    </cfRule>
  </conditionalFormatting>
  <conditionalFormatting sqref="M3:R229">
    <cfRule type="expression" dxfId="6" priority="7">
      <formula>ISBLANK(M3)</formula>
    </cfRule>
  </conditionalFormatting>
  <conditionalFormatting sqref="M241:R288">
    <cfRule type="expression" dxfId="6" priority="8">
      <formula>ISBLANK(M241)</formula>
    </cfRule>
  </conditionalFormatting>
  <dataValidations>
    <dataValidation type="list" allowBlank="1" showErrorMessage="1" sqref="D3:D265">
      <formula1>REF_CODES!$C$8:$C$13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3" width="17.75"/>
    <col customWidth="1" min="4" max="5" width="22.38"/>
    <col customWidth="1" min="6" max="6" width="20.88"/>
    <col customWidth="1" min="7" max="7" width="17.75"/>
    <col customWidth="1" min="8" max="8" width="20.63"/>
    <col customWidth="1" min="9" max="10" width="17.75"/>
    <col customWidth="1" min="11" max="12" width="23.38"/>
    <col customWidth="1" min="13" max="13" width="26.38"/>
    <col customWidth="1" min="14" max="22" width="17.75"/>
    <col customWidth="1" min="23" max="23" width="25.0"/>
    <col customWidth="1" min="24" max="25" width="17.75"/>
    <col customWidth="1" min="26" max="26" width="19.88"/>
    <col customWidth="1" min="27" max="28" width="26.63"/>
    <col customWidth="1" min="29" max="29" width="8.63"/>
  </cols>
  <sheetData>
    <row r="1" ht="14.25" customHeight="1">
      <c r="A1" s="6"/>
      <c r="B1" s="6" t="s">
        <v>2129</v>
      </c>
      <c r="C1" s="6"/>
      <c r="D1" s="6"/>
      <c r="E1" s="6"/>
      <c r="F1" s="6"/>
      <c r="G1" s="6"/>
      <c r="H1" s="6" t="s">
        <v>2130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231" t="s">
        <v>2134</v>
      </c>
      <c r="B2" s="231" t="s">
        <v>2136</v>
      </c>
      <c r="C2" s="231" t="s">
        <v>2137</v>
      </c>
      <c r="D2" s="231" t="s">
        <v>2139</v>
      </c>
      <c r="E2" s="231" t="s">
        <v>2140</v>
      </c>
      <c r="F2" s="231" t="s">
        <v>2141</v>
      </c>
      <c r="G2" s="231" t="s">
        <v>2142</v>
      </c>
      <c r="H2" s="231" t="s">
        <v>2143</v>
      </c>
      <c r="I2" s="231" t="s">
        <v>2144</v>
      </c>
      <c r="J2" s="231" t="s">
        <v>2145</v>
      </c>
      <c r="K2" s="231" t="s">
        <v>2146</v>
      </c>
      <c r="L2" s="231" t="s">
        <v>2147</v>
      </c>
      <c r="M2" s="231" t="s">
        <v>2148</v>
      </c>
      <c r="N2" s="231" t="s">
        <v>2149</v>
      </c>
      <c r="O2" s="231" t="s">
        <v>2150</v>
      </c>
      <c r="P2" s="231" t="s">
        <v>2151</v>
      </c>
      <c r="Q2" s="231" t="s">
        <v>2153</v>
      </c>
      <c r="R2" s="231" t="s">
        <v>2154</v>
      </c>
      <c r="S2" s="231" t="s">
        <v>2155</v>
      </c>
      <c r="T2" s="231" t="s">
        <v>2156</v>
      </c>
      <c r="U2" s="231" t="s">
        <v>2158</v>
      </c>
      <c r="V2" s="231" t="s">
        <v>2159</v>
      </c>
      <c r="W2" s="231" t="s">
        <v>2161</v>
      </c>
      <c r="X2" s="231" t="s">
        <v>27</v>
      </c>
      <c r="Y2" s="231" t="s">
        <v>2162</v>
      </c>
      <c r="Z2" s="231" t="s">
        <v>2163</v>
      </c>
      <c r="AA2" s="234" t="s">
        <v>2165</v>
      </c>
      <c r="AB2" s="234" t="s">
        <v>2168</v>
      </c>
      <c r="AC2" s="234" t="s">
        <v>2170</v>
      </c>
    </row>
    <row r="3" ht="23.25" customHeight="1">
      <c r="A3" s="235" t="s">
        <v>2172</v>
      </c>
      <c r="B3" s="235" t="s">
        <v>1107</v>
      </c>
      <c r="C3" s="235" t="s">
        <v>2176</v>
      </c>
      <c r="D3" s="235" t="s">
        <v>764</v>
      </c>
      <c r="E3" s="235" t="str">
        <f t="array" ref="E3">IFERROR(INDEX(REF_CODES!$B$40:$B$45,MATCH($D3,REF_CODES!$C$40:$C$45,0)),"")</f>
        <v>RA-NAM</v>
      </c>
      <c r="F3" s="235" t="s">
        <v>581</v>
      </c>
      <c r="G3" s="235" t="str">
        <f t="array" ref="G3">IFERROR(INDEX(REF_CODES!$B$34:$B$39,MATCH($F3,REF_CODES!$C$34:$C$39,0)),"")</f>
        <v>RA-DMA</v>
      </c>
      <c r="H3" s="235" t="s">
        <v>2190</v>
      </c>
      <c r="I3" s="235" t="s">
        <v>2191</v>
      </c>
      <c r="J3" s="235" t="s">
        <v>2192</v>
      </c>
      <c r="K3" s="235" t="s">
        <v>2193</v>
      </c>
      <c r="L3" s="235" t="s">
        <v>2194</v>
      </c>
      <c r="M3" s="235" t="s">
        <v>2195</v>
      </c>
      <c r="N3" s="235" t="s">
        <v>195</v>
      </c>
      <c r="O3" s="235" t="s">
        <v>120</v>
      </c>
      <c r="P3" s="235" t="s">
        <v>2196</v>
      </c>
      <c r="Q3" s="235"/>
      <c r="R3" s="235" t="s">
        <v>161</v>
      </c>
      <c r="S3" s="235" t="s">
        <v>2202</v>
      </c>
      <c r="T3" s="235" t="s">
        <v>2203</v>
      </c>
      <c r="U3" s="235" t="s">
        <v>479</v>
      </c>
      <c r="V3" s="235" t="s">
        <v>512</v>
      </c>
      <c r="W3" s="235" t="s">
        <v>142</v>
      </c>
      <c r="X3" s="235" t="s">
        <v>2205</v>
      </c>
      <c r="Y3" s="235" t="s">
        <v>2207</v>
      </c>
      <c r="Z3" s="235" t="s">
        <v>2209</v>
      </c>
      <c r="AA3" s="13"/>
      <c r="AB3" s="13"/>
    </row>
    <row r="4" ht="34.5" customHeight="1">
      <c r="A4" s="243" t="s">
        <v>2172</v>
      </c>
      <c r="B4" s="243" t="s">
        <v>1107</v>
      </c>
      <c r="C4" s="243" t="s">
        <v>2216</v>
      </c>
      <c r="D4" s="243" t="s">
        <v>741</v>
      </c>
      <c r="E4" s="235" t="str">
        <f t="array" ref="E4">IFERROR(INDEX(REF_CODES!$B$40:$B$45,MATCH($D4,REF_CODES!$C$40:$C$45,0)),"")</f>
        <v>RA-NFE</v>
      </c>
      <c r="F4" s="243" t="s">
        <v>610</v>
      </c>
      <c r="G4" s="235" t="str">
        <f t="array" ref="G4">IFERROR(INDEX(REF_CODES!$B$34:$B$39,MATCH($F4,REF_CODES!$C$34:$C$39,0)),"")</f>
        <v>RA-DNA</v>
      </c>
      <c r="H4" s="243" t="s">
        <v>2225</v>
      </c>
      <c r="I4" s="243" t="s">
        <v>2191</v>
      </c>
      <c r="J4" s="243" t="s">
        <v>2192</v>
      </c>
      <c r="K4" s="243" t="s">
        <v>2226</v>
      </c>
      <c r="L4" s="248" t="s">
        <v>2228</v>
      </c>
      <c r="M4" s="243" t="s">
        <v>2230</v>
      </c>
      <c r="N4" s="243" t="s">
        <v>195</v>
      </c>
      <c r="O4" s="243" t="s">
        <v>126</v>
      </c>
      <c r="P4" s="243" t="s">
        <v>2196</v>
      </c>
      <c r="Q4" s="243" t="s">
        <v>2237</v>
      </c>
      <c r="R4" s="243" t="s">
        <v>161</v>
      </c>
      <c r="S4" s="243" t="s">
        <v>1434</v>
      </c>
      <c r="T4" s="243" t="s">
        <v>2203</v>
      </c>
      <c r="U4" s="243" t="s">
        <v>479</v>
      </c>
      <c r="V4" s="243" t="s">
        <v>512</v>
      </c>
      <c r="W4" s="243" t="s">
        <v>142</v>
      </c>
      <c r="X4" s="243" t="s">
        <v>52</v>
      </c>
      <c r="Y4" s="243" t="s">
        <v>2207</v>
      </c>
      <c r="Z4" s="243" t="s">
        <v>2245</v>
      </c>
      <c r="AA4" s="13"/>
      <c r="AB4" s="13"/>
    </row>
    <row r="5" ht="23.25" customHeight="1">
      <c r="A5" s="235" t="s">
        <v>2172</v>
      </c>
      <c r="B5" s="235" t="s">
        <v>1107</v>
      </c>
      <c r="C5" s="235" t="s">
        <v>2247</v>
      </c>
      <c r="D5" s="235" t="s">
        <v>711</v>
      </c>
      <c r="E5" s="235" t="str">
        <f t="array" ref="E5">IFERROR(INDEX(REF_CODES!$B$40:$B$45,MATCH($D5,REF_CODES!$C$40:$C$45,0)),"")</f>
        <v>RA-NGA</v>
      </c>
      <c r="F5" s="235" t="s">
        <v>610</v>
      </c>
      <c r="G5" s="235" t="str">
        <f t="array" ref="G5">IFERROR(INDEX(REF_CODES!$B$34:$B$39,MATCH($F5,REF_CODES!$C$34:$C$39,0)),"")</f>
        <v>RA-DNA</v>
      </c>
      <c r="H5" s="235" t="s">
        <v>2273</v>
      </c>
      <c r="I5" s="235" t="s">
        <v>2191</v>
      </c>
      <c r="J5" s="235" t="s">
        <v>2192</v>
      </c>
      <c r="K5" s="235" t="s">
        <v>2275</v>
      </c>
      <c r="L5" s="235" t="s">
        <v>2276</v>
      </c>
      <c r="M5" s="235" t="s">
        <v>2277</v>
      </c>
      <c r="N5" s="235" t="s">
        <v>202</v>
      </c>
      <c r="O5" s="235" t="s">
        <v>97</v>
      </c>
      <c r="P5" s="235" t="s">
        <v>2196</v>
      </c>
      <c r="Q5" s="235"/>
      <c r="R5" s="235" t="s">
        <v>161</v>
      </c>
      <c r="S5" s="235" t="s">
        <v>1434</v>
      </c>
      <c r="T5" s="235" t="s">
        <v>2203</v>
      </c>
      <c r="U5" s="235" t="s">
        <v>487</v>
      </c>
      <c r="V5" s="235" t="s">
        <v>512</v>
      </c>
      <c r="W5" s="235" t="s">
        <v>142</v>
      </c>
      <c r="X5" s="235" t="s">
        <v>37</v>
      </c>
      <c r="Y5" s="235" t="s">
        <v>2207</v>
      </c>
      <c r="Z5" s="235" t="s">
        <v>2285</v>
      </c>
      <c r="AA5" s="13"/>
      <c r="AB5" s="13"/>
    </row>
    <row r="6" ht="23.25" customHeight="1">
      <c r="A6" s="243" t="s">
        <v>2172</v>
      </c>
      <c r="B6" s="243" t="s">
        <v>1107</v>
      </c>
      <c r="C6" s="243" t="s">
        <v>2292</v>
      </c>
      <c r="D6" s="243" t="s">
        <v>689</v>
      </c>
      <c r="E6" s="235" t="str">
        <f t="array" ref="E6">IFERROR(INDEX(REF_CODES!$B$40:$B$45,MATCH($D6,REF_CODES!$C$40:$C$45,0)),"")</f>
        <v>RA-NRO</v>
      </c>
      <c r="F6" s="243" t="s">
        <v>610</v>
      </c>
      <c r="G6" s="235" t="str">
        <f t="array" ref="G6">IFERROR(INDEX(REF_CODES!$B$34:$B$39,MATCH($F6,REF_CODES!$C$34:$C$39,0)),"")</f>
        <v>RA-DNA</v>
      </c>
      <c r="H6" s="243" t="s">
        <v>2303</v>
      </c>
      <c r="I6" s="243" t="s">
        <v>2306</v>
      </c>
      <c r="J6" s="243" t="s">
        <v>2192</v>
      </c>
      <c r="K6" s="243" t="s">
        <v>2307</v>
      </c>
      <c r="L6" s="243" t="s">
        <v>2308</v>
      </c>
      <c r="M6" s="243" t="s">
        <v>2309</v>
      </c>
      <c r="N6" s="243" t="s">
        <v>195</v>
      </c>
      <c r="O6" s="243" t="s">
        <v>97</v>
      </c>
      <c r="P6" s="243" t="s">
        <v>2196</v>
      </c>
      <c r="Q6" s="243"/>
      <c r="R6" s="243" t="s">
        <v>161</v>
      </c>
      <c r="S6" s="243" t="s">
        <v>1434</v>
      </c>
      <c r="T6" s="243" t="s">
        <v>2312</v>
      </c>
      <c r="U6" s="243" t="s">
        <v>479</v>
      </c>
      <c r="V6" s="243" t="s">
        <v>512</v>
      </c>
      <c r="W6" s="243" t="s">
        <v>133</v>
      </c>
      <c r="X6" s="243" t="s">
        <v>37</v>
      </c>
      <c r="Y6" s="243" t="s">
        <v>2207</v>
      </c>
      <c r="Z6" s="243" t="s">
        <v>2313</v>
      </c>
      <c r="AA6" s="13"/>
      <c r="AB6" s="13"/>
    </row>
    <row r="7" ht="23.25" customHeight="1">
      <c r="A7" s="235" t="s">
        <v>2172</v>
      </c>
      <c r="B7" s="235" t="s">
        <v>1107</v>
      </c>
      <c r="C7" s="235" t="s">
        <v>2315</v>
      </c>
      <c r="D7" s="235" t="s">
        <v>754</v>
      </c>
      <c r="E7" s="235" t="str">
        <f t="array" ref="E7">IFERROR(INDEX(REF_CODES!$B$40:$B$45,MATCH($D7,REF_CODES!$C$40:$C$45,0)),"")</f>
        <v>RA-NVE</v>
      </c>
      <c r="F7" s="235" t="s">
        <v>564</v>
      </c>
      <c r="G7" s="235" t="str">
        <f t="array" ref="G7">IFERROR(INDEX(REF_CODES!$B$34:$B$39,MATCH($F7,REF_CODES!$C$34:$C$39,0)),"")</f>
        <v>RA-DLE</v>
      </c>
      <c r="H7" s="235" t="s">
        <v>2333</v>
      </c>
      <c r="I7" s="235" t="s">
        <v>2306</v>
      </c>
      <c r="J7" s="235" t="s">
        <v>2192</v>
      </c>
      <c r="K7" s="235" t="s">
        <v>2335</v>
      </c>
      <c r="L7" s="235" t="s">
        <v>2336</v>
      </c>
      <c r="M7" s="235" t="s">
        <v>2337</v>
      </c>
      <c r="N7" s="235" t="s">
        <v>195</v>
      </c>
      <c r="O7" s="235" t="s">
        <v>120</v>
      </c>
      <c r="P7" s="235" t="s">
        <v>2196</v>
      </c>
      <c r="Q7" s="235" t="s">
        <v>2339</v>
      </c>
      <c r="R7" s="235" t="s">
        <v>161</v>
      </c>
      <c r="S7" s="235" t="s">
        <v>2202</v>
      </c>
      <c r="T7" s="235" t="s">
        <v>2312</v>
      </c>
      <c r="U7" s="235" t="s">
        <v>479</v>
      </c>
      <c r="V7" s="235" t="s">
        <v>512</v>
      </c>
      <c r="W7" s="235" t="s">
        <v>142</v>
      </c>
      <c r="X7" s="235" t="s">
        <v>43</v>
      </c>
      <c r="Y7" s="235" t="s">
        <v>2207</v>
      </c>
      <c r="Z7" s="235" t="s">
        <v>2346</v>
      </c>
      <c r="AA7" s="13"/>
      <c r="AB7" s="13"/>
      <c r="AC7" s="255">
        <v>25.0</v>
      </c>
    </row>
    <row r="8" ht="23.25" customHeight="1">
      <c r="A8" s="243" t="s">
        <v>2172</v>
      </c>
      <c r="B8" s="243" t="s">
        <v>1107</v>
      </c>
      <c r="C8" s="243" t="s">
        <v>2354</v>
      </c>
      <c r="D8" s="243" t="s">
        <v>754</v>
      </c>
      <c r="E8" s="235" t="str">
        <f t="array" ref="E8">IFERROR(INDEX(REF_CODES!$B$40:$B$45,MATCH($D8,REF_CODES!$C$40:$C$45,0)),"")</f>
        <v>RA-NVE</v>
      </c>
      <c r="F8" s="243" t="s">
        <v>564</v>
      </c>
      <c r="G8" s="235" t="str">
        <f t="array" ref="G8">IFERROR(INDEX(REF_CODES!$B$34:$B$39,MATCH($F8,REF_CODES!$C$34:$C$39,0)),"")</f>
        <v>RA-DLE</v>
      </c>
      <c r="H8" s="243" t="s">
        <v>2358</v>
      </c>
      <c r="I8" s="243" t="s">
        <v>2306</v>
      </c>
      <c r="J8" s="243" t="s">
        <v>2192</v>
      </c>
      <c r="K8" s="243" t="s">
        <v>2359</v>
      </c>
      <c r="L8" s="243" t="s">
        <v>2360</v>
      </c>
      <c r="M8" s="243" t="s">
        <v>2361</v>
      </c>
      <c r="N8" s="243" t="s">
        <v>195</v>
      </c>
      <c r="O8" s="243" t="s">
        <v>110</v>
      </c>
      <c r="P8" s="243" t="s">
        <v>2196</v>
      </c>
      <c r="Q8" s="243" t="s">
        <v>2237</v>
      </c>
      <c r="R8" s="243" t="s">
        <v>161</v>
      </c>
      <c r="S8" s="243" t="s">
        <v>1434</v>
      </c>
      <c r="T8" s="243" t="s">
        <v>2203</v>
      </c>
      <c r="U8" s="243" t="s">
        <v>479</v>
      </c>
      <c r="V8" s="243" t="s">
        <v>512</v>
      </c>
      <c r="W8" s="243" t="s">
        <v>142</v>
      </c>
      <c r="X8" s="243" t="s">
        <v>31</v>
      </c>
      <c r="Y8" s="243" t="s">
        <v>2207</v>
      </c>
      <c r="Z8" s="243" t="s">
        <v>2364</v>
      </c>
      <c r="AA8" s="13"/>
      <c r="AB8" s="13"/>
      <c r="AC8" s="255">
        <v>35.0</v>
      </c>
    </row>
    <row r="9" ht="23.25" customHeight="1">
      <c r="A9" s="235" t="s">
        <v>2172</v>
      </c>
      <c r="B9" s="235" t="s">
        <v>1107</v>
      </c>
      <c r="C9" s="235" t="s">
        <v>2368</v>
      </c>
      <c r="D9" s="235" t="s">
        <v>741</v>
      </c>
      <c r="E9" s="235" t="str">
        <f t="array" ref="E9">IFERROR(INDEX(REF_CODES!$B$40:$B$45,MATCH($D9,REF_CODES!$C$40:$C$45,0)),"")</f>
        <v>RA-NFE</v>
      </c>
      <c r="F9" s="235" t="s">
        <v>581</v>
      </c>
      <c r="G9" s="235" t="str">
        <f t="array" ref="G9">IFERROR(INDEX(REF_CODES!$B$34:$B$39,MATCH($F9,REF_CODES!$C$34:$C$39,0)),"")</f>
        <v>RA-DMA</v>
      </c>
      <c r="H9" s="235" t="s">
        <v>2379</v>
      </c>
      <c r="I9" s="235" t="s">
        <v>2224</v>
      </c>
      <c r="J9" s="235" t="s">
        <v>2192</v>
      </c>
      <c r="K9" s="235" t="s">
        <v>2380</v>
      </c>
      <c r="L9" s="256" t="s">
        <v>2381</v>
      </c>
      <c r="M9" s="235" t="s">
        <v>2382</v>
      </c>
      <c r="N9" s="235" t="s">
        <v>195</v>
      </c>
      <c r="O9" s="235" t="s">
        <v>110</v>
      </c>
      <c r="P9" s="235"/>
      <c r="Q9" s="235" t="s">
        <v>2383</v>
      </c>
      <c r="R9" s="235" t="s">
        <v>161</v>
      </c>
      <c r="S9" s="235" t="s">
        <v>2202</v>
      </c>
      <c r="T9" s="235" t="s">
        <v>2312</v>
      </c>
      <c r="U9" s="235" t="s">
        <v>479</v>
      </c>
      <c r="V9" s="235" t="s">
        <v>512</v>
      </c>
      <c r="W9" s="235" t="s">
        <v>146</v>
      </c>
      <c r="X9" s="235" t="s">
        <v>31</v>
      </c>
      <c r="Y9" s="235" t="s">
        <v>2207</v>
      </c>
      <c r="Z9" s="235" t="s">
        <v>2386</v>
      </c>
      <c r="AA9" s="13"/>
      <c r="AB9" s="13"/>
      <c r="AC9" s="255">
        <v>107.0</v>
      </c>
    </row>
    <row r="10" ht="34.5" customHeight="1">
      <c r="A10" s="243" t="s">
        <v>2172</v>
      </c>
      <c r="B10" s="243" t="s">
        <v>1107</v>
      </c>
      <c r="C10" s="243" t="s">
        <v>2388</v>
      </c>
      <c r="D10" s="243" t="s">
        <v>711</v>
      </c>
      <c r="E10" s="235" t="str">
        <f t="array" ref="E10">IFERROR(INDEX(REF_CODES!$B$40:$B$45,MATCH($D10,REF_CODES!$C$40:$C$45,0)),"")</f>
        <v>RA-NGA</v>
      </c>
      <c r="F10" s="243" t="s">
        <v>628</v>
      </c>
      <c r="G10" s="235" t="str">
        <f t="array" ref="G10">IFERROR(INDEX(REF_CODES!$B$34:$B$39,MATCH($F10,REF_CODES!$C$34:$C$39,0)),"")</f>
        <v>RA-DSI</v>
      </c>
      <c r="H10" s="243" t="s">
        <v>2403</v>
      </c>
      <c r="I10" s="243" t="s">
        <v>2224</v>
      </c>
      <c r="J10" s="243" t="s">
        <v>2405</v>
      </c>
      <c r="K10" s="243" t="s">
        <v>2406</v>
      </c>
      <c r="L10" s="243" t="s">
        <v>2332</v>
      </c>
      <c r="M10" s="243" t="s">
        <v>2407</v>
      </c>
      <c r="N10" s="243" t="s">
        <v>202</v>
      </c>
      <c r="O10" s="243" t="s">
        <v>120</v>
      </c>
      <c r="P10" s="243" t="s">
        <v>2196</v>
      </c>
      <c r="Q10" s="243"/>
      <c r="R10" s="243" t="s">
        <v>164</v>
      </c>
      <c r="S10" s="243" t="s">
        <v>1434</v>
      </c>
      <c r="T10" s="243" t="s">
        <v>2203</v>
      </c>
      <c r="U10" s="243" t="s">
        <v>487</v>
      </c>
      <c r="V10" s="243" t="s">
        <v>512</v>
      </c>
      <c r="W10" s="243" t="s">
        <v>149</v>
      </c>
      <c r="X10" s="243"/>
      <c r="Y10" s="243" t="s">
        <v>2207</v>
      </c>
      <c r="Z10" s="243" t="s">
        <v>2411</v>
      </c>
      <c r="AA10" s="13"/>
      <c r="AB10" s="13"/>
    </row>
    <row r="11" ht="23.25" customHeight="1">
      <c r="A11" s="235" t="s">
        <v>2172</v>
      </c>
      <c r="B11" s="235" t="s">
        <v>1107</v>
      </c>
      <c r="C11" s="235" t="s">
        <v>2413</v>
      </c>
      <c r="D11" s="235" t="s">
        <v>754</v>
      </c>
      <c r="E11" s="235" t="str">
        <f t="array" ref="E11">IFERROR(INDEX(REF_CODES!$B$40:$B$45,MATCH($D11,REF_CODES!$C$40:$C$45,0)),"")</f>
        <v>RA-NVE</v>
      </c>
      <c r="F11" s="235" t="s">
        <v>594</v>
      </c>
      <c r="G11" s="235" t="str">
        <f t="array" ref="G11">IFERROR(INDEX(REF_CODES!$B$34:$B$39,MATCH($F11,REF_CODES!$C$34:$C$39,0)),"")</f>
        <v>RA-DPO</v>
      </c>
      <c r="H11" s="235" t="s">
        <v>2424</v>
      </c>
      <c r="I11" s="235" t="s">
        <v>2224</v>
      </c>
      <c r="J11" s="235" t="s">
        <v>2405</v>
      </c>
      <c r="K11" s="235" t="s">
        <v>2425</v>
      </c>
      <c r="L11" s="235" t="s">
        <v>2426</v>
      </c>
      <c r="M11" s="235" t="s">
        <v>2428</v>
      </c>
      <c r="N11" s="235" t="s">
        <v>202</v>
      </c>
      <c r="O11" s="235" t="s">
        <v>120</v>
      </c>
      <c r="P11" s="235" t="s">
        <v>2196</v>
      </c>
      <c r="Q11" s="235" t="s">
        <v>2339</v>
      </c>
      <c r="R11" s="235" t="s">
        <v>164</v>
      </c>
      <c r="S11" s="235" t="s">
        <v>1434</v>
      </c>
      <c r="T11" s="235" t="s">
        <v>2312</v>
      </c>
      <c r="U11" s="235" t="s">
        <v>487</v>
      </c>
      <c r="V11" s="235" t="s">
        <v>512</v>
      </c>
      <c r="W11" s="235" t="s">
        <v>133</v>
      </c>
      <c r="X11" s="235" t="s">
        <v>2434</v>
      </c>
      <c r="Y11" s="235" t="s">
        <v>2207</v>
      </c>
      <c r="Z11" s="235" t="s">
        <v>2436</v>
      </c>
      <c r="AA11" s="13"/>
      <c r="AB11" s="13"/>
    </row>
    <row r="12" ht="23.25" customHeight="1">
      <c r="A12" s="243" t="s">
        <v>2172</v>
      </c>
      <c r="B12" s="243" t="s">
        <v>1107</v>
      </c>
      <c r="C12" s="243" t="s">
        <v>2437</v>
      </c>
      <c r="D12" s="243" t="s">
        <v>711</v>
      </c>
      <c r="E12" s="235" t="str">
        <f t="array" ref="E12">IFERROR(INDEX(REF_CODES!$B$40:$B$45,MATCH($D12,REF_CODES!$C$40:$C$45,0)),"")</f>
        <v>RA-NGA</v>
      </c>
      <c r="F12" s="243" t="s">
        <v>628</v>
      </c>
      <c r="G12" s="235" t="str">
        <f t="array" ref="G12">IFERROR(INDEX(REF_CODES!$B$34:$B$39,MATCH($F12,REF_CODES!$C$34:$C$39,0)),"")</f>
        <v>RA-DSI</v>
      </c>
      <c r="H12" s="243" t="s">
        <v>2444</v>
      </c>
      <c r="I12" s="243" t="s">
        <v>2445</v>
      </c>
      <c r="J12" s="243" t="s">
        <v>2405</v>
      </c>
      <c r="K12" s="243" t="s">
        <v>2447</v>
      </c>
      <c r="L12" s="243" t="s">
        <v>2448</v>
      </c>
      <c r="M12" s="243" t="s">
        <v>2450</v>
      </c>
      <c r="N12" s="243" t="s">
        <v>202</v>
      </c>
      <c r="O12" s="243" t="s">
        <v>120</v>
      </c>
      <c r="P12" s="243" t="s">
        <v>2196</v>
      </c>
      <c r="Q12" s="243"/>
      <c r="R12" s="243" t="s">
        <v>164</v>
      </c>
      <c r="S12" s="243" t="s">
        <v>1434</v>
      </c>
      <c r="T12" s="243" t="s">
        <v>2312</v>
      </c>
      <c r="U12" s="243" t="s">
        <v>487</v>
      </c>
      <c r="V12" s="243" t="s">
        <v>512</v>
      </c>
      <c r="W12" s="243" t="s">
        <v>149</v>
      </c>
      <c r="X12" s="243" t="s">
        <v>37</v>
      </c>
      <c r="Y12" s="243" t="s">
        <v>2207</v>
      </c>
      <c r="Z12" s="243" t="s">
        <v>2460</v>
      </c>
      <c r="AA12" s="13"/>
      <c r="AB12" s="13"/>
    </row>
    <row r="13" ht="34.5" customHeight="1">
      <c r="A13" s="235" t="s">
        <v>2172</v>
      </c>
      <c r="B13" s="235" t="s">
        <v>1107</v>
      </c>
      <c r="C13" s="235" t="s">
        <v>2464</v>
      </c>
      <c r="D13" s="235" t="s">
        <v>711</v>
      </c>
      <c r="E13" s="235" t="str">
        <f t="array" ref="E13">IFERROR(INDEX(REF_CODES!$B$40:$B$45,MATCH($D13,REF_CODES!$C$40:$C$45,0)),"")</f>
        <v>RA-NGA</v>
      </c>
      <c r="F13" s="235" t="s">
        <v>628</v>
      </c>
      <c r="G13" s="235" t="str">
        <f t="array" ref="G13">IFERROR(INDEX(REF_CODES!$B$34:$B$39,MATCH($F13,REF_CODES!$C$34:$C$39,0)),"")</f>
        <v>RA-DSI</v>
      </c>
      <c r="H13" s="235" t="s">
        <v>2476</v>
      </c>
      <c r="I13" s="235" t="s">
        <v>2445</v>
      </c>
      <c r="J13" s="235" t="s">
        <v>2405</v>
      </c>
      <c r="K13" s="235" t="s">
        <v>2477</v>
      </c>
      <c r="L13" s="235" t="s">
        <v>2478</v>
      </c>
      <c r="M13" s="235" t="s">
        <v>2479</v>
      </c>
      <c r="N13" s="235" t="s">
        <v>202</v>
      </c>
      <c r="O13" s="235" t="s">
        <v>120</v>
      </c>
      <c r="P13" s="235" t="s">
        <v>2196</v>
      </c>
      <c r="Q13" s="235"/>
      <c r="R13" s="235" t="s">
        <v>164</v>
      </c>
      <c r="S13" s="235" t="s">
        <v>1434</v>
      </c>
      <c r="T13" s="235" t="s">
        <v>2312</v>
      </c>
      <c r="U13" s="235" t="s">
        <v>487</v>
      </c>
      <c r="V13" s="235" t="s">
        <v>512</v>
      </c>
      <c r="W13" s="235" t="s">
        <v>142</v>
      </c>
      <c r="X13" s="235" t="s">
        <v>2487</v>
      </c>
      <c r="Y13" s="235" t="s">
        <v>2207</v>
      </c>
      <c r="Z13" s="235" t="s">
        <v>2490</v>
      </c>
      <c r="AA13" s="13"/>
      <c r="AB13" s="13"/>
      <c r="AC13" s="255">
        <v>98.0</v>
      </c>
    </row>
    <row r="14" ht="23.25" customHeight="1">
      <c r="A14" s="243" t="s">
        <v>2172</v>
      </c>
      <c r="B14" s="243" t="s">
        <v>1107</v>
      </c>
      <c r="C14" s="243" t="s">
        <v>2496</v>
      </c>
      <c r="D14" s="243" t="s">
        <v>711</v>
      </c>
      <c r="E14" s="235" t="str">
        <f t="array" ref="E14">IFERROR(INDEX(REF_CODES!$B$40:$B$45,MATCH($D14,REF_CODES!$C$40:$C$45,0)),"")</f>
        <v>RA-NGA</v>
      </c>
      <c r="F14" s="243" t="s">
        <v>628</v>
      </c>
      <c r="G14" s="235" t="str">
        <f t="array" ref="G14">IFERROR(INDEX(REF_CODES!$B$34:$B$39,MATCH($F14,REF_CODES!$C$34:$C$39,0)),"")</f>
        <v>RA-DSI</v>
      </c>
      <c r="H14" s="243" t="s">
        <v>2508</v>
      </c>
      <c r="I14" s="243" t="s">
        <v>2306</v>
      </c>
      <c r="J14" s="243" t="s">
        <v>2512</v>
      </c>
      <c r="K14" s="243" t="s">
        <v>2514</v>
      </c>
      <c r="L14" s="243" t="s">
        <v>2515</v>
      </c>
      <c r="M14" s="243" t="s">
        <v>2517</v>
      </c>
      <c r="N14" s="243" t="s">
        <v>202</v>
      </c>
      <c r="O14" s="243" t="s">
        <v>120</v>
      </c>
      <c r="P14" s="243" t="s">
        <v>2196</v>
      </c>
      <c r="Q14" s="243"/>
      <c r="R14" s="243" t="s">
        <v>164</v>
      </c>
      <c r="S14" s="243" t="s">
        <v>1434</v>
      </c>
      <c r="T14" s="243" t="s">
        <v>2203</v>
      </c>
      <c r="U14" s="243" t="s">
        <v>487</v>
      </c>
      <c r="V14" s="243" t="s">
        <v>512</v>
      </c>
      <c r="W14" s="243" t="s">
        <v>149</v>
      </c>
      <c r="X14" s="243"/>
      <c r="Y14" s="243" t="s">
        <v>2207</v>
      </c>
      <c r="Z14" s="243" t="s">
        <v>2386</v>
      </c>
      <c r="AA14" s="13"/>
      <c r="AB14" s="13"/>
    </row>
    <row r="15" ht="34.5" customHeight="1">
      <c r="A15" s="235" t="s">
        <v>2172</v>
      </c>
      <c r="B15" s="235" t="s">
        <v>1107</v>
      </c>
      <c r="C15" s="235" t="s">
        <v>2531</v>
      </c>
      <c r="D15" s="235" t="s">
        <v>764</v>
      </c>
      <c r="E15" s="235" t="str">
        <f t="array" ref="E15">IFERROR(INDEX(REF_CODES!$B$40:$B$45,MATCH($D15,REF_CODES!$C$40:$C$45,0)),"")</f>
        <v>RA-NAM</v>
      </c>
      <c r="F15" s="235" t="s">
        <v>581</v>
      </c>
      <c r="G15" s="235" t="str">
        <f t="array" ref="G15">IFERROR(INDEX(REF_CODES!$B$34:$B$39,MATCH($F15,REF_CODES!$C$34:$C$39,0)),"")</f>
        <v>RA-DMA</v>
      </c>
      <c r="H15" s="235" t="s">
        <v>2551</v>
      </c>
      <c r="I15" s="235" t="s">
        <v>2224</v>
      </c>
      <c r="J15" s="235" t="s">
        <v>2512</v>
      </c>
      <c r="K15" s="235" t="s">
        <v>2555</v>
      </c>
      <c r="L15" s="235" t="s">
        <v>2557</v>
      </c>
      <c r="M15" s="235" t="s">
        <v>2559</v>
      </c>
      <c r="N15" s="235" t="s">
        <v>202</v>
      </c>
      <c r="O15" s="235" t="s">
        <v>120</v>
      </c>
      <c r="P15" s="235"/>
      <c r="Q15" s="235"/>
      <c r="R15" s="235" t="s">
        <v>164</v>
      </c>
      <c r="S15" s="235" t="s">
        <v>2202</v>
      </c>
      <c r="T15" s="235" t="s">
        <v>2312</v>
      </c>
      <c r="U15" s="235" t="s">
        <v>487</v>
      </c>
      <c r="V15" s="235" t="s">
        <v>512</v>
      </c>
      <c r="W15" s="235" t="s">
        <v>149</v>
      </c>
      <c r="X15" s="235" t="s">
        <v>2487</v>
      </c>
      <c r="Y15" s="235" t="s">
        <v>2207</v>
      </c>
      <c r="Z15" s="235" t="s">
        <v>2460</v>
      </c>
      <c r="AA15" s="13"/>
      <c r="AB15" s="13"/>
    </row>
    <row r="16" ht="34.5" customHeight="1">
      <c r="A16" s="243" t="s">
        <v>2172</v>
      </c>
      <c r="B16" s="243" t="s">
        <v>1107</v>
      </c>
      <c r="C16" s="243" t="s">
        <v>2568</v>
      </c>
      <c r="D16" s="243" t="s">
        <v>711</v>
      </c>
      <c r="E16" s="235" t="str">
        <f t="array" ref="E16">IFERROR(INDEX(REF_CODES!$B$40:$B$45,MATCH($D16,REF_CODES!$C$40:$C$45,0)),"")</f>
        <v>RA-NGA</v>
      </c>
      <c r="F16" s="243" t="s">
        <v>628</v>
      </c>
      <c r="G16" s="235" t="str">
        <f t="array" ref="G16">IFERROR(INDEX(REF_CODES!$B$34:$B$39,MATCH($F16,REF_CODES!$C$34:$C$39,0)),"")</f>
        <v>RA-DSI</v>
      </c>
      <c r="H16" s="243" t="s">
        <v>2591</v>
      </c>
      <c r="I16" s="243" t="s">
        <v>2224</v>
      </c>
      <c r="J16" s="243" t="s">
        <v>2512</v>
      </c>
      <c r="K16" s="243" t="s">
        <v>2555</v>
      </c>
      <c r="L16" s="243" t="s">
        <v>2557</v>
      </c>
      <c r="M16" s="243" t="s">
        <v>2594</v>
      </c>
      <c r="N16" s="243" t="s">
        <v>202</v>
      </c>
      <c r="O16" s="243" t="s">
        <v>120</v>
      </c>
      <c r="P16" s="243"/>
      <c r="Q16" s="243"/>
      <c r="R16" s="243" t="s">
        <v>164</v>
      </c>
      <c r="S16" s="243" t="s">
        <v>2202</v>
      </c>
      <c r="T16" s="243" t="s">
        <v>2312</v>
      </c>
      <c r="U16" s="243" t="s">
        <v>487</v>
      </c>
      <c r="V16" s="243" t="s">
        <v>512</v>
      </c>
      <c r="W16" s="243" t="s">
        <v>149</v>
      </c>
      <c r="X16" s="243" t="s">
        <v>2487</v>
      </c>
      <c r="Y16" s="243" t="s">
        <v>2207</v>
      </c>
      <c r="Z16" s="243" t="s">
        <v>2460</v>
      </c>
      <c r="AA16" s="13"/>
      <c r="AB16" s="13"/>
    </row>
    <row r="17" ht="23.25" customHeight="1">
      <c r="A17" s="235" t="s">
        <v>2172</v>
      </c>
      <c r="B17" s="235" t="s">
        <v>1107</v>
      </c>
      <c r="C17" s="235" t="s">
        <v>2602</v>
      </c>
      <c r="D17" s="235" t="s">
        <v>711</v>
      </c>
      <c r="E17" s="235" t="str">
        <f t="array" ref="E17">IFERROR(INDEX(REF_CODES!$B$40:$B$45,MATCH($D17,REF_CODES!$C$40:$C$45,0)),"")</f>
        <v>RA-NGA</v>
      </c>
      <c r="F17" s="235" t="s">
        <v>564</v>
      </c>
      <c r="G17" s="235" t="str">
        <f t="array" ref="G17">IFERROR(INDEX(REF_CODES!$B$34:$B$39,MATCH($F17,REF_CODES!$C$34:$C$39,0)),"")</f>
        <v>RA-DLE</v>
      </c>
      <c r="H17" s="235" t="s">
        <v>2624</v>
      </c>
      <c r="I17" s="235" t="s">
        <v>2511</v>
      </c>
      <c r="J17" s="235" t="s">
        <v>2405</v>
      </c>
      <c r="K17" s="235" t="s">
        <v>2628</v>
      </c>
      <c r="L17" s="235" t="s">
        <v>2412</v>
      </c>
      <c r="M17" s="235" t="s">
        <v>2629</v>
      </c>
      <c r="N17" s="235" t="s">
        <v>202</v>
      </c>
      <c r="O17" s="235" t="s">
        <v>120</v>
      </c>
      <c r="P17" s="235"/>
      <c r="Q17" s="235"/>
      <c r="R17" s="235" t="s">
        <v>164</v>
      </c>
      <c r="S17" s="235" t="s">
        <v>1434</v>
      </c>
      <c r="T17" s="235" t="s">
        <v>2312</v>
      </c>
      <c r="U17" s="235" t="s">
        <v>487</v>
      </c>
      <c r="V17" s="235" t="s">
        <v>512</v>
      </c>
      <c r="W17" s="235" t="s">
        <v>133</v>
      </c>
      <c r="X17" s="235" t="s">
        <v>37</v>
      </c>
      <c r="Y17" s="235" t="s">
        <v>2207</v>
      </c>
      <c r="Z17" s="235" t="s">
        <v>2209</v>
      </c>
      <c r="AA17" s="13"/>
      <c r="AB17" s="13"/>
    </row>
    <row r="18" ht="23.25" customHeight="1">
      <c r="A18" s="243" t="s">
        <v>2172</v>
      </c>
      <c r="B18" s="243" t="s">
        <v>1107</v>
      </c>
      <c r="C18" s="243" t="s">
        <v>2651</v>
      </c>
      <c r="D18" s="243" t="s">
        <v>711</v>
      </c>
      <c r="E18" s="235" t="str">
        <f t="array" ref="E18">IFERROR(INDEX(REF_CODES!$B$40:$B$45,MATCH($D18,REF_CODES!$C$40:$C$45,0)),"")</f>
        <v>RA-NGA</v>
      </c>
      <c r="F18" s="243" t="s">
        <v>564</v>
      </c>
      <c r="G18" s="235" t="str">
        <f t="array" ref="G18">IFERROR(INDEX(REF_CODES!$B$34:$B$39,MATCH($F18,REF_CODES!$C$34:$C$39,0)),"")</f>
        <v>RA-DLE</v>
      </c>
      <c r="H18" s="243" t="s">
        <v>2674</v>
      </c>
      <c r="I18" s="243" t="s">
        <v>2675</v>
      </c>
      <c r="J18" s="243" t="s">
        <v>2192</v>
      </c>
      <c r="K18" s="243" t="s">
        <v>2677</v>
      </c>
      <c r="L18" s="243" t="s">
        <v>2679</v>
      </c>
      <c r="M18" s="243" t="s">
        <v>2681</v>
      </c>
      <c r="N18" s="243" t="s">
        <v>195</v>
      </c>
      <c r="O18" s="243" t="s">
        <v>120</v>
      </c>
      <c r="P18" s="243" t="s">
        <v>2196</v>
      </c>
      <c r="Q18" s="243" t="s">
        <v>402</v>
      </c>
      <c r="R18" s="243" t="s">
        <v>161</v>
      </c>
      <c r="S18" s="243" t="s">
        <v>1434</v>
      </c>
      <c r="T18" s="243" t="s">
        <v>2203</v>
      </c>
      <c r="U18" s="243" t="s">
        <v>479</v>
      </c>
      <c r="V18" s="243" t="s">
        <v>512</v>
      </c>
      <c r="W18" s="243" t="s">
        <v>142</v>
      </c>
      <c r="X18" s="243" t="s">
        <v>2205</v>
      </c>
      <c r="Y18" s="243" t="s">
        <v>2207</v>
      </c>
      <c r="Z18" s="243" t="s">
        <v>2691</v>
      </c>
      <c r="AA18" s="13"/>
      <c r="AB18" s="13"/>
    </row>
    <row r="19" ht="23.25" customHeight="1">
      <c r="A19" s="235" t="s">
        <v>2172</v>
      </c>
      <c r="B19" s="235" t="s">
        <v>1107</v>
      </c>
      <c r="C19" s="235" t="s">
        <v>2694</v>
      </c>
      <c r="D19" s="235" t="s">
        <v>764</v>
      </c>
      <c r="E19" s="235" t="str">
        <f t="array" ref="E19">IFERROR(INDEX(REF_CODES!$B$40:$B$45,MATCH($D19,REF_CODES!$C$40:$C$45,0)),"")</f>
        <v>RA-NAM</v>
      </c>
      <c r="F19" s="235" t="s">
        <v>581</v>
      </c>
      <c r="G19" s="235" t="str">
        <f t="array" ref="G19">IFERROR(INDEX(REF_CODES!$B$34:$B$39,MATCH($F19,REF_CODES!$C$34:$C$39,0)),"")</f>
        <v>RA-DMA</v>
      </c>
      <c r="H19" s="235" t="s">
        <v>2706</v>
      </c>
      <c r="I19" s="235" t="s">
        <v>2280</v>
      </c>
      <c r="J19" s="235" t="s">
        <v>2405</v>
      </c>
      <c r="K19" s="235" t="s">
        <v>2278</v>
      </c>
      <c r="L19" s="235" t="s">
        <v>2711</v>
      </c>
      <c r="M19" s="235" t="s">
        <v>2715</v>
      </c>
      <c r="N19" s="235" t="s">
        <v>202</v>
      </c>
      <c r="O19" s="235" t="s">
        <v>120</v>
      </c>
      <c r="P19" s="235"/>
      <c r="Q19" s="235"/>
      <c r="R19" s="235" t="s">
        <v>164</v>
      </c>
      <c r="S19" s="235" t="s">
        <v>1434</v>
      </c>
      <c r="T19" s="235" t="s">
        <v>2203</v>
      </c>
      <c r="U19" s="235" t="s">
        <v>487</v>
      </c>
      <c r="V19" s="235" t="s">
        <v>512</v>
      </c>
      <c r="W19" s="235" t="s">
        <v>142</v>
      </c>
      <c r="X19" s="235" t="s">
        <v>37</v>
      </c>
      <c r="Y19" s="235" t="s">
        <v>2207</v>
      </c>
      <c r="Z19" s="235" t="s">
        <v>2460</v>
      </c>
      <c r="AA19" s="13"/>
      <c r="AB19" s="13"/>
    </row>
    <row r="20" ht="21.75" customHeight="1">
      <c r="A20" s="243" t="s">
        <v>2172</v>
      </c>
      <c r="B20" s="243" t="s">
        <v>1107</v>
      </c>
      <c r="C20" s="243" t="s">
        <v>2725</v>
      </c>
      <c r="D20" s="243" t="s">
        <v>711</v>
      </c>
      <c r="E20" s="235" t="str">
        <f t="array" ref="E20">IFERROR(INDEX(REF_CODES!$B$40:$B$45,MATCH($D20,REF_CODES!$C$40:$C$45,0)),"")</f>
        <v>RA-NGA</v>
      </c>
      <c r="F20" s="243" t="s">
        <v>594</v>
      </c>
      <c r="G20" s="235" t="str">
        <f t="array" ref="G20">IFERROR(INDEX(REF_CODES!$B$34:$B$39,MATCH($F20,REF_CODES!$C$34:$C$39,0)),"")</f>
        <v>RA-DPO</v>
      </c>
      <c r="H20" s="243" t="s">
        <v>2743</v>
      </c>
      <c r="I20" s="243" t="s">
        <v>2191</v>
      </c>
      <c r="J20" s="243" t="s">
        <v>2192</v>
      </c>
      <c r="K20" s="243" t="s">
        <v>2191</v>
      </c>
      <c r="L20" s="243" t="s">
        <v>2745</v>
      </c>
      <c r="M20" s="243" t="s">
        <v>2746</v>
      </c>
      <c r="N20" s="243" t="s">
        <v>195</v>
      </c>
      <c r="O20" s="243" t="s">
        <v>120</v>
      </c>
      <c r="P20" s="243"/>
      <c r="Q20" s="243" t="s">
        <v>2237</v>
      </c>
      <c r="R20" s="243" t="s">
        <v>161</v>
      </c>
      <c r="S20" s="243"/>
      <c r="T20" s="243" t="s">
        <v>2203</v>
      </c>
      <c r="U20" s="243" t="s">
        <v>473</v>
      </c>
      <c r="V20" s="243" t="s">
        <v>503</v>
      </c>
      <c r="W20" s="243" t="s">
        <v>149</v>
      </c>
      <c r="X20" s="243" t="s">
        <v>52</v>
      </c>
      <c r="Y20" s="243" t="s">
        <v>2207</v>
      </c>
      <c r="Z20" s="243" t="s">
        <v>2758</v>
      </c>
      <c r="AA20" s="13"/>
      <c r="AB20" s="13"/>
    </row>
    <row r="21" ht="23.25" customHeight="1">
      <c r="A21" s="235" t="s">
        <v>2172</v>
      </c>
      <c r="B21" s="235" t="s">
        <v>1107</v>
      </c>
      <c r="C21" s="235" t="s">
        <v>2760</v>
      </c>
      <c r="D21" s="235" t="s">
        <v>754</v>
      </c>
      <c r="E21" s="235" t="str">
        <f t="array" ref="E21">IFERROR(INDEX(REF_CODES!$B$40:$B$45,MATCH($D21,REF_CODES!$C$40:$C$45,0)),"")</f>
        <v>RA-NVE</v>
      </c>
      <c r="F21" s="235" t="s">
        <v>564</v>
      </c>
      <c r="G21" s="235" t="str">
        <f t="array" ref="G21">IFERROR(INDEX(REF_CODES!$B$34:$B$39,MATCH($F21,REF_CODES!$C$34:$C$39,0)),"")</f>
        <v>RA-DLE</v>
      </c>
      <c r="H21" s="235" t="s">
        <v>2776</v>
      </c>
      <c r="I21" s="235" t="s">
        <v>2224</v>
      </c>
      <c r="J21" s="235" t="s">
        <v>2192</v>
      </c>
      <c r="K21" s="235" t="s">
        <v>2406</v>
      </c>
      <c r="L21" s="235" t="s">
        <v>2784</v>
      </c>
      <c r="M21" s="235" t="s">
        <v>2785</v>
      </c>
      <c r="N21" s="235" t="s">
        <v>195</v>
      </c>
      <c r="O21" s="235" t="s">
        <v>120</v>
      </c>
      <c r="P21" s="235"/>
      <c r="Q21" s="235" t="s">
        <v>402</v>
      </c>
      <c r="R21" s="235" t="s">
        <v>161</v>
      </c>
      <c r="S21" s="235" t="s">
        <v>1434</v>
      </c>
      <c r="T21" s="235" t="s">
        <v>2203</v>
      </c>
      <c r="U21" s="235" t="s">
        <v>479</v>
      </c>
      <c r="V21" s="235" t="s">
        <v>512</v>
      </c>
      <c r="W21" s="235" t="s">
        <v>142</v>
      </c>
      <c r="X21" s="235" t="s">
        <v>43</v>
      </c>
      <c r="Y21" s="235" t="s">
        <v>2207</v>
      </c>
      <c r="Z21" s="235" t="s">
        <v>2691</v>
      </c>
      <c r="AA21" s="13"/>
      <c r="AB21" s="13"/>
    </row>
    <row r="22" ht="23.25" customHeight="1">
      <c r="A22" s="243" t="s">
        <v>2172</v>
      </c>
      <c r="B22" s="243" t="s">
        <v>1107</v>
      </c>
      <c r="C22" s="243" t="s">
        <v>2795</v>
      </c>
      <c r="D22" s="243" t="s">
        <v>754</v>
      </c>
      <c r="E22" s="235" t="str">
        <f t="array" ref="E22">IFERROR(INDEX(REF_CODES!$B$40:$B$45,MATCH($D22,REF_CODES!$C$40:$C$45,0)),"")</f>
        <v>RA-NVE</v>
      </c>
      <c r="F22" s="243" t="s">
        <v>564</v>
      </c>
      <c r="G22" s="235" t="str">
        <f t="array" ref="G22">IFERROR(INDEX(REF_CODES!$B$34:$B$39,MATCH($F22,REF_CODES!$C$34:$C$39,0)),"")</f>
        <v>RA-DLE</v>
      </c>
      <c r="H22" s="243" t="s">
        <v>2807</v>
      </c>
      <c r="I22" s="243" t="s">
        <v>2306</v>
      </c>
      <c r="J22" s="243" t="s">
        <v>2192</v>
      </c>
      <c r="K22" s="243" t="s">
        <v>2809</v>
      </c>
      <c r="L22" s="243" t="s">
        <v>2812</v>
      </c>
      <c r="M22" s="243" t="s">
        <v>2813</v>
      </c>
      <c r="N22" s="243" t="s">
        <v>195</v>
      </c>
      <c r="O22" s="243" t="s">
        <v>120</v>
      </c>
      <c r="P22" s="243"/>
      <c r="Q22" s="243" t="s">
        <v>402</v>
      </c>
      <c r="R22" s="243" t="s">
        <v>161</v>
      </c>
      <c r="S22" s="243" t="s">
        <v>1434</v>
      </c>
      <c r="T22" s="243" t="s">
        <v>2203</v>
      </c>
      <c r="U22" s="243" t="s">
        <v>479</v>
      </c>
      <c r="V22" s="243" t="s">
        <v>512</v>
      </c>
      <c r="W22" s="243" t="s">
        <v>142</v>
      </c>
      <c r="X22" s="243" t="s">
        <v>2205</v>
      </c>
      <c r="Y22" s="243" t="s">
        <v>2207</v>
      </c>
      <c r="Z22" s="243" t="s">
        <v>2691</v>
      </c>
      <c r="AA22" s="13"/>
      <c r="AB22" s="13"/>
      <c r="AC22" s="255">
        <v>33.0</v>
      </c>
    </row>
    <row r="23" ht="23.25" customHeight="1">
      <c r="A23" s="235" t="s">
        <v>2172</v>
      </c>
      <c r="B23" s="235" t="s">
        <v>1107</v>
      </c>
      <c r="C23" s="235" t="s">
        <v>2822</v>
      </c>
      <c r="D23" s="235" t="s">
        <v>741</v>
      </c>
      <c r="E23" s="235" t="str">
        <f t="array" ref="E23">IFERROR(INDEX(REF_CODES!$B$40:$B$45,MATCH($D23,REF_CODES!$C$40:$C$45,0)),"")</f>
        <v>RA-NFE</v>
      </c>
      <c r="F23" s="235" t="s">
        <v>564</v>
      </c>
      <c r="G23" s="235" t="str">
        <f t="array" ref="G23">IFERROR(INDEX(REF_CODES!$B$34:$B$39,MATCH($F23,REF_CODES!$C$34:$C$39,0)),"")</f>
        <v>RA-DLE</v>
      </c>
      <c r="H23" s="235" t="s">
        <v>2834</v>
      </c>
      <c r="I23" s="235" t="s">
        <v>2306</v>
      </c>
      <c r="J23" s="235" t="s">
        <v>2192</v>
      </c>
      <c r="K23" s="235" t="s">
        <v>2836</v>
      </c>
      <c r="L23" s="256" t="s">
        <v>2837</v>
      </c>
      <c r="M23" s="235" t="s">
        <v>2838</v>
      </c>
      <c r="N23" s="235" t="s">
        <v>195</v>
      </c>
      <c r="O23" s="235" t="s">
        <v>110</v>
      </c>
      <c r="P23" s="235"/>
      <c r="Q23" s="235" t="s">
        <v>2237</v>
      </c>
      <c r="R23" s="235" t="s">
        <v>161</v>
      </c>
      <c r="S23" s="235"/>
      <c r="T23" s="235" t="s">
        <v>2203</v>
      </c>
      <c r="U23" s="235" t="s">
        <v>479</v>
      </c>
      <c r="V23" s="235" t="s">
        <v>512</v>
      </c>
      <c r="W23" s="235" t="s">
        <v>146</v>
      </c>
      <c r="X23" s="235" t="s">
        <v>52</v>
      </c>
      <c r="Y23" s="235" t="s">
        <v>2207</v>
      </c>
      <c r="Z23" s="235" t="s">
        <v>2841</v>
      </c>
      <c r="AA23" s="13"/>
      <c r="AB23" s="13"/>
    </row>
    <row r="24" ht="23.25" customHeight="1">
      <c r="A24" s="243" t="s">
        <v>2172</v>
      </c>
      <c r="B24" s="243" t="s">
        <v>1107</v>
      </c>
      <c r="C24" s="243" t="s">
        <v>2842</v>
      </c>
      <c r="D24" s="243" t="s">
        <v>711</v>
      </c>
      <c r="E24" s="235" t="str">
        <f t="array" ref="E24">IFERROR(INDEX(REF_CODES!$B$40:$B$45,MATCH($D24,REF_CODES!$C$40:$C$45,0)),"")</f>
        <v>RA-NGA</v>
      </c>
      <c r="F24" s="243" t="s">
        <v>564</v>
      </c>
      <c r="G24" s="235" t="str">
        <f t="array" ref="G24">IFERROR(INDEX(REF_CODES!$B$34:$B$39,MATCH($F24,REF_CODES!$C$34:$C$39,0)),"")</f>
        <v>RA-DLE</v>
      </c>
      <c r="H24" s="243" t="s">
        <v>2853</v>
      </c>
      <c r="I24" s="243" t="s">
        <v>2191</v>
      </c>
      <c r="J24" s="243" t="s">
        <v>2192</v>
      </c>
      <c r="K24" s="243" t="s">
        <v>2857</v>
      </c>
      <c r="L24" s="243" t="s">
        <v>2859</v>
      </c>
      <c r="M24" s="243" t="s">
        <v>2860</v>
      </c>
      <c r="N24" s="243" t="s">
        <v>195</v>
      </c>
      <c r="O24" s="243" t="s">
        <v>120</v>
      </c>
      <c r="P24" s="243"/>
      <c r="Q24" s="243"/>
      <c r="R24" s="243" t="s">
        <v>161</v>
      </c>
      <c r="S24" s="243" t="s">
        <v>1434</v>
      </c>
      <c r="T24" s="243" t="s">
        <v>2203</v>
      </c>
      <c r="U24" s="243" t="s">
        <v>479</v>
      </c>
      <c r="V24" s="243" t="s">
        <v>512</v>
      </c>
      <c r="W24" s="243" t="s">
        <v>142</v>
      </c>
      <c r="X24" s="243" t="s">
        <v>37</v>
      </c>
      <c r="Y24" s="243" t="s">
        <v>2207</v>
      </c>
      <c r="Z24" s="243" t="s">
        <v>2209</v>
      </c>
      <c r="AA24" s="13"/>
      <c r="AB24" s="13"/>
    </row>
    <row r="25" ht="23.25" customHeight="1">
      <c r="A25" s="235" t="s">
        <v>2172</v>
      </c>
      <c r="B25" s="235" t="s">
        <v>1107</v>
      </c>
      <c r="C25" s="235" t="s">
        <v>2868</v>
      </c>
      <c r="D25" s="235" t="s">
        <v>764</v>
      </c>
      <c r="E25" s="235" t="str">
        <f t="array" ref="E25">IFERROR(INDEX(REF_CODES!$B$40:$B$45,MATCH($D25,REF_CODES!$C$40:$C$45,0)),"")</f>
        <v>RA-NAM</v>
      </c>
      <c r="F25" s="235" t="s">
        <v>581</v>
      </c>
      <c r="G25" s="235" t="str">
        <f t="array" ref="G25">IFERROR(INDEX(REF_CODES!$B$34:$B$39,MATCH($F25,REF_CODES!$C$34:$C$39,0)),"")</f>
        <v>RA-DMA</v>
      </c>
      <c r="H25" s="235" t="s">
        <v>2844</v>
      </c>
      <c r="I25" s="235" t="s">
        <v>2306</v>
      </c>
      <c r="J25" s="235" t="s">
        <v>2405</v>
      </c>
      <c r="K25" s="235" t="s">
        <v>2884</v>
      </c>
      <c r="L25" s="235" t="s">
        <v>2850</v>
      </c>
      <c r="M25" s="235" t="s">
        <v>2885</v>
      </c>
      <c r="N25" s="235" t="s">
        <v>202</v>
      </c>
      <c r="O25" s="235" t="s">
        <v>120</v>
      </c>
      <c r="P25" s="235"/>
      <c r="Q25" s="235"/>
      <c r="R25" s="235" t="s">
        <v>164</v>
      </c>
      <c r="S25" s="235" t="s">
        <v>1434</v>
      </c>
      <c r="T25" s="235" t="s">
        <v>2312</v>
      </c>
      <c r="U25" s="235" t="s">
        <v>487</v>
      </c>
      <c r="V25" s="235" t="s">
        <v>512</v>
      </c>
      <c r="W25" s="235" t="s">
        <v>142</v>
      </c>
      <c r="X25" s="235" t="s">
        <v>37</v>
      </c>
      <c r="Y25" s="235" t="s">
        <v>2207</v>
      </c>
      <c r="Z25" s="235" t="s">
        <v>2209</v>
      </c>
      <c r="AA25" s="13"/>
      <c r="AB25" s="13"/>
      <c r="AC25" s="255">
        <v>70.0</v>
      </c>
    </row>
    <row r="26" ht="23.25" customHeight="1">
      <c r="A26" s="243" t="s">
        <v>2172</v>
      </c>
      <c r="B26" s="243" t="s">
        <v>1107</v>
      </c>
      <c r="C26" s="243" t="s">
        <v>2896</v>
      </c>
      <c r="D26" s="243" t="s">
        <v>689</v>
      </c>
      <c r="E26" s="235" t="str">
        <f t="array" ref="E26">IFERROR(INDEX(REF_CODES!$B$40:$B$45,MATCH($D26,REF_CODES!$C$40:$C$45,0)),"")</f>
        <v>RA-NRO</v>
      </c>
      <c r="F26" s="243" t="s">
        <v>610</v>
      </c>
      <c r="G26" s="235" t="str">
        <f t="array" ref="G26">IFERROR(INDEX(REF_CODES!$B$34:$B$39,MATCH($F26,REF_CODES!$C$34:$C$39,0)),"")</f>
        <v>RA-DNA</v>
      </c>
      <c r="H26" s="243" t="s">
        <v>2916</v>
      </c>
      <c r="I26" s="243" t="s">
        <v>2306</v>
      </c>
      <c r="J26" s="243" t="s">
        <v>2192</v>
      </c>
      <c r="K26" s="243" t="s">
        <v>2918</v>
      </c>
      <c r="L26" s="243" t="s">
        <v>2920</v>
      </c>
      <c r="M26" s="243" t="s">
        <v>2922</v>
      </c>
      <c r="N26" s="243" t="s">
        <v>195</v>
      </c>
      <c r="O26" s="243" t="s">
        <v>120</v>
      </c>
      <c r="P26" s="243" t="s">
        <v>2196</v>
      </c>
      <c r="Q26" s="243"/>
      <c r="R26" s="243" t="s">
        <v>161</v>
      </c>
      <c r="S26" s="243" t="s">
        <v>1434</v>
      </c>
      <c r="T26" s="243" t="s">
        <v>2312</v>
      </c>
      <c r="U26" s="243" t="s">
        <v>479</v>
      </c>
      <c r="V26" s="243" t="s">
        <v>512</v>
      </c>
      <c r="W26" s="243" t="s">
        <v>133</v>
      </c>
      <c r="X26" s="243" t="s">
        <v>37</v>
      </c>
      <c r="Y26" s="243" t="s">
        <v>2207</v>
      </c>
      <c r="Z26" s="243" t="s">
        <v>2929</v>
      </c>
      <c r="AA26" s="13"/>
      <c r="AB26" s="13"/>
    </row>
    <row r="27" ht="23.25" customHeight="1">
      <c r="A27" s="235" t="s">
        <v>2172</v>
      </c>
      <c r="B27" s="235" t="s">
        <v>1107</v>
      </c>
      <c r="C27" s="235" t="s">
        <v>2931</v>
      </c>
      <c r="D27" s="235" t="s">
        <v>711</v>
      </c>
      <c r="E27" s="235" t="str">
        <f t="array" ref="E27">IFERROR(INDEX(REF_CODES!$B$40:$B$45,MATCH($D27,REF_CODES!$C$40:$C$45,0)),"")</f>
        <v>RA-NGA</v>
      </c>
      <c r="F27" s="235" t="s">
        <v>628</v>
      </c>
      <c r="G27" s="235" t="str">
        <f t="array" ref="G27">IFERROR(INDEX(REF_CODES!$B$34:$B$39,MATCH($F27,REF_CODES!$C$34:$C$39,0)),"")</f>
        <v>RA-DSI</v>
      </c>
      <c r="H27" s="235" t="s">
        <v>2960</v>
      </c>
      <c r="I27" s="235" t="s">
        <v>2962</v>
      </c>
      <c r="J27" s="235" t="s">
        <v>2512</v>
      </c>
      <c r="K27" s="235" t="s">
        <v>2341</v>
      </c>
      <c r="L27" s="235" t="s">
        <v>2963</v>
      </c>
      <c r="M27" s="235" t="s">
        <v>2964</v>
      </c>
      <c r="N27" s="235" t="s">
        <v>202</v>
      </c>
      <c r="O27" s="235" t="s">
        <v>120</v>
      </c>
      <c r="P27" s="235"/>
      <c r="Q27" s="235"/>
      <c r="R27" s="235" t="s">
        <v>167</v>
      </c>
      <c r="S27" s="235" t="s">
        <v>1434</v>
      </c>
      <c r="T27" s="235" t="s">
        <v>2312</v>
      </c>
      <c r="U27" s="235" t="s">
        <v>487</v>
      </c>
      <c r="V27" s="235" t="s">
        <v>512</v>
      </c>
      <c r="W27" s="235" t="s">
        <v>149</v>
      </c>
      <c r="X27" s="235"/>
      <c r="Y27" s="235" t="s">
        <v>2207</v>
      </c>
      <c r="Z27" s="235" t="s">
        <v>2386</v>
      </c>
      <c r="AA27" s="13"/>
      <c r="AB27" s="13"/>
    </row>
    <row r="28" ht="23.25" customHeight="1">
      <c r="A28" s="243" t="s">
        <v>2172</v>
      </c>
      <c r="B28" s="243" t="s">
        <v>1107</v>
      </c>
      <c r="C28" s="243" t="s">
        <v>2978</v>
      </c>
      <c r="D28" s="243" t="s">
        <v>725</v>
      </c>
      <c r="E28" s="235" t="str">
        <f t="array" ref="E28">IFERROR(INDEX(REF_CODES!$B$40:$B$45,MATCH($D28,REF_CODES!$C$40:$C$45,0)),"")</f>
        <v>RA-NSP</v>
      </c>
      <c r="F28" s="243" t="s">
        <v>628</v>
      </c>
      <c r="G28" s="235" t="str">
        <f t="array" ref="G28">IFERROR(INDEX(REF_CODES!$B$34:$B$39,MATCH($F28,REF_CODES!$C$34:$C$39,0)),"")</f>
        <v>RA-DSI</v>
      </c>
      <c r="H28" s="243" t="s">
        <v>2995</v>
      </c>
      <c r="I28" s="243" t="s">
        <v>2511</v>
      </c>
      <c r="J28" s="243" t="s">
        <v>2512</v>
      </c>
      <c r="K28" s="243" t="s">
        <v>2996</v>
      </c>
      <c r="L28" s="248" t="s">
        <v>2999</v>
      </c>
      <c r="M28" s="243" t="s">
        <v>3001</v>
      </c>
      <c r="N28" s="243" t="s">
        <v>202</v>
      </c>
      <c r="O28" s="243" t="s">
        <v>120</v>
      </c>
      <c r="P28" s="243"/>
      <c r="Q28" s="243" t="s">
        <v>405</v>
      </c>
      <c r="R28" s="243" t="s">
        <v>167</v>
      </c>
      <c r="S28" s="243" t="s">
        <v>1434</v>
      </c>
      <c r="T28" s="243" t="s">
        <v>2312</v>
      </c>
      <c r="U28" s="243" t="s">
        <v>487</v>
      </c>
      <c r="V28" s="243" t="s">
        <v>512</v>
      </c>
      <c r="W28" s="243" t="s">
        <v>149</v>
      </c>
      <c r="X28" s="243" t="s">
        <v>2205</v>
      </c>
      <c r="Y28" s="243" t="s">
        <v>2207</v>
      </c>
      <c r="Z28" s="243" t="s">
        <v>2386</v>
      </c>
      <c r="AA28" s="13"/>
      <c r="AB28" s="13"/>
    </row>
    <row r="29" ht="34.5" customHeight="1">
      <c r="A29" s="235" t="s">
        <v>2172</v>
      </c>
      <c r="B29" s="235" t="s">
        <v>1107</v>
      </c>
      <c r="C29" s="235" t="s">
        <v>3009</v>
      </c>
      <c r="D29" s="235" t="s">
        <v>741</v>
      </c>
      <c r="E29" s="235" t="str">
        <f t="array" ref="E29">IFERROR(INDEX(REF_CODES!$B$40:$B$45,MATCH($D29,REF_CODES!$C$40:$C$45,0)),"")</f>
        <v>RA-NFE</v>
      </c>
      <c r="F29" s="235" t="s">
        <v>594</v>
      </c>
      <c r="G29" s="235" t="str">
        <f t="array" ref="G29">IFERROR(INDEX(REF_CODES!$B$34:$B$39,MATCH($F29,REF_CODES!$C$34:$C$39,0)),"")</f>
        <v>RA-DPO</v>
      </c>
      <c r="H29" s="235" t="s">
        <v>3025</v>
      </c>
      <c r="I29" s="235" t="s">
        <v>2519</v>
      </c>
      <c r="J29" s="235" t="s">
        <v>2405</v>
      </c>
      <c r="K29" s="235" t="s">
        <v>3027</v>
      </c>
      <c r="L29" s="256" t="s">
        <v>3029</v>
      </c>
      <c r="M29" s="235" t="s">
        <v>3030</v>
      </c>
      <c r="N29" s="235" t="s">
        <v>202</v>
      </c>
      <c r="O29" s="235" t="s">
        <v>110</v>
      </c>
      <c r="P29" s="235"/>
      <c r="Q29" s="235" t="s">
        <v>2237</v>
      </c>
      <c r="R29" s="235" t="s">
        <v>164</v>
      </c>
      <c r="S29" s="235" t="s">
        <v>2202</v>
      </c>
      <c r="T29" s="235" t="s">
        <v>2312</v>
      </c>
      <c r="U29" s="235" t="s">
        <v>487</v>
      </c>
      <c r="V29" s="235" t="s">
        <v>512</v>
      </c>
      <c r="W29" s="235" t="s">
        <v>146</v>
      </c>
      <c r="X29" s="235" t="s">
        <v>3039</v>
      </c>
      <c r="Y29" s="235" t="s">
        <v>2207</v>
      </c>
      <c r="Z29" s="235" t="s">
        <v>2490</v>
      </c>
      <c r="AA29" s="13"/>
      <c r="AB29" s="13"/>
      <c r="AC29" s="255">
        <v>98.0</v>
      </c>
    </row>
    <row r="30" ht="34.5" customHeight="1">
      <c r="A30" s="243" t="s">
        <v>2172</v>
      </c>
      <c r="B30" s="243" t="s">
        <v>1107</v>
      </c>
      <c r="C30" s="243" t="s">
        <v>3045</v>
      </c>
      <c r="D30" s="243" t="s">
        <v>754</v>
      </c>
      <c r="E30" s="235" t="str">
        <f t="array" ref="E30">IFERROR(INDEX(REF_CODES!$B$40:$B$45,MATCH($D30,REF_CODES!$C$40:$C$45,0)),"")</f>
        <v>RA-NVE</v>
      </c>
      <c r="F30" s="243" t="s">
        <v>594</v>
      </c>
      <c r="G30" s="235" t="str">
        <f t="array" ref="G30">IFERROR(INDEX(REF_CODES!$B$34:$B$39,MATCH($F30,REF_CODES!$C$34:$C$39,0)),"")</f>
        <v>RA-DPO</v>
      </c>
      <c r="H30" s="243" t="s">
        <v>3062</v>
      </c>
      <c r="I30" s="243" t="s">
        <v>2191</v>
      </c>
      <c r="J30" s="243" t="s">
        <v>2192</v>
      </c>
      <c r="K30" s="243" t="s">
        <v>3065</v>
      </c>
      <c r="L30" s="243" t="s">
        <v>3067</v>
      </c>
      <c r="M30" s="243" t="s">
        <v>3068</v>
      </c>
      <c r="N30" s="243" t="s">
        <v>195</v>
      </c>
      <c r="O30" s="243" t="s">
        <v>120</v>
      </c>
      <c r="P30" s="243"/>
      <c r="Q30" s="243" t="s">
        <v>402</v>
      </c>
      <c r="R30" s="243" t="s">
        <v>161</v>
      </c>
      <c r="S30" s="243" t="s">
        <v>1434</v>
      </c>
      <c r="T30" s="243" t="s">
        <v>2312</v>
      </c>
      <c r="U30" s="243" t="s">
        <v>479</v>
      </c>
      <c r="V30" s="243" t="s">
        <v>512</v>
      </c>
      <c r="W30" s="243" t="s">
        <v>133</v>
      </c>
      <c r="X30" s="243" t="s">
        <v>37</v>
      </c>
      <c r="Y30" s="243" t="s">
        <v>2207</v>
      </c>
      <c r="Z30" s="243" t="s">
        <v>2691</v>
      </c>
      <c r="AA30" s="13"/>
      <c r="AB30" s="13"/>
    </row>
    <row r="31" ht="23.25" customHeight="1">
      <c r="A31" s="235" t="s">
        <v>2172</v>
      </c>
      <c r="B31" s="235" t="s">
        <v>1107</v>
      </c>
      <c r="C31" s="235" t="s">
        <v>3079</v>
      </c>
      <c r="D31" s="235" t="s">
        <v>754</v>
      </c>
      <c r="E31" s="235" t="str">
        <f t="array" ref="E31">IFERROR(INDEX(REF_CODES!$B$40:$B$45,MATCH($D31,REF_CODES!$C$40:$C$45,0)),"")</f>
        <v>RA-NVE</v>
      </c>
      <c r="F31" s="235" t="s">
        <v>610</v>
      </c>
      <c r="G31" s="235" t="str">
        <f t="array" ref="G31">IFERROR(INDEX(REF_CODES!$B$34:$B$39,MATCH($F31,REF_CODES!$C$34:$C$39,0)),"")</f>
        <v>RA-DNA</v>
      </c>
      <c r="H31" s="235" t="s">
        <v>3100</v>
      </c>
      <c r="I31" s="235" t="s">
        <v>3102</v>
      </c>
      <c r="J31" s="235" t="s">
        <v>2192</v>
      </c>
      <c r="K31" s="235" t="s">
        <v>3102</v>
      </c>
      <c r="L31" s="235" t="s">
        <v>3105</v>
      </c>
      <c r="M31" s="235" t="s">
        <v>3107</v>
      </c>
      <c r="N31" s="235" t="s">
        <v>195</v>
      </c>
      <c r="O31" s="235" t="s">
        <v>97</v>
      </c>
      <c r="P31" s="235"/>
      <c r="Q31" s="235"/>
      <c r="R31" s="235" t="s">
        <v>161</v>
      </c>
      <c r="S31" s="235" t="s">
        <v>1434</v>
      </c>
      <c r="T31" s="235" t="s">
        <v>2312</v>
      </c>
      <c r="U31" s="235" t="s">
        <v>479</v>
      </c>
      <c r="V31" s="235" t="s">
        <v>512</v>
      </c>
      <c r="W31" s="235" t="s">
        <v>142</v>
      </c>
      <c r="X31" s="235" t="s">
        <v>2434</v>
      </c>
      <c r="Y31" s="235" t="s">
        <v>2207</v>
      </c>
      <c r="Z31" s="235" t="s">
        <v>3111</v>
      </c>
      <c r="AA31" s="13"/>
      <c r="AB31" s="13"/>
    </row>
    <row r="32" ht="23.25" customHeight="1">
      <c r="A32" s="243" t="s">
        <v>2172</v>
      </c>
      <c r="B32" s="243" t="s">
        <v>1107</v>
      </c>
      <c r="C32" s="243" t="s">
        <v>3117</v>
      </c>
      <c r="D32" s="243" t="s">
        <v>711</v>
      </c>
      <c r="E32" s="235" t="str">
        <f t="array" ref="E32">IFERROR(INDEX(REF_CODES!$B$40:$B$45,MATCH($D32,REF_CODES!$C$40:$C$45,0)),"")</f>
        <v>RA-NGA</v>
      </c>
      <c r="F32" s="243" t="s">
        <v>581</v>
      </c>
      <c r="G32" s="235" t="str">
        <f t="array" ref="G32">IFERROR(INDEX(REF_CODES!$B$34:$B$39,MATCH($F32,REF_CODES!$C$34:$C$39,0)),"")</f>
        <v>RA-DMA</v>
      </c>
      <c r="H32" s="243" t="s">
        <v>3133</v>
      </c>
      <c r="I32" s="243" t="s">
        <v>2306</v>
      </c>
      <c r="J32" s="243" t="s">
        <v>2512</v>
      </c>
      <c r="K32" s="243" t="s">
        <v>2514</v>
      </c>
      <c r="L32" s="243" t="s">
        <v>2515</v>
      </c>
      <c r="M32" s="243" t="s">
        <v>3135</v>
      </c>
      <c r="N32" s="243" t="s">
        <v>202</v>
      </c>
      <c r="O32" s="243" t="s">
        <v>120</v>
      </c>
      <c r="P32" s="243"/>
      <c r="Q32" s="243"/>
      <c r="R32" s="243" t="s">
        <v>167</v>
      </c>
      <c r="S32" s="243" t="s">
        <v>2202</v>
      </c>
      <c r="T32" s="243" t="s">
        <v>2312</v>
      </c>
      <c r="U32" s="243" t="s">
        <v>487</v>
      </c>
      <c r="V32" s="243" t="s">
        <v>512</v>
      </c>
      <c r="W32" s="243" t="s">
        <v>149</v>
      </c>
      <c r="X32" s="243" t="s">
        <v>2487</v>
      </c>
      <c r="Y32" s="243" t="s">
        <v>2207</v>
      </c>
      <c r="Z32" s="243" t="s">
        <v>2460</v>
      </c>
      <c r="AA32" s="13"/>
      <c r="AB32" s="13"/>
    </row>
    <row r="33" ht="34.5" customHeight="1">
      <c r="A33" s="235" t="s">
        <v>2172</v>
      </c>
      <c r="B33" s="235" t="s">
        <v>1107</v>
      </c>
      <c r="C33" s="235" t="s">
        <v>3151</v>
      </c>
      <c r="D33" s="235" t="s">
        <v>764</v>
      </c>
      <c r="E33" s="235" t="str">
        <f t="array" ref="E33">IFERROR(INDEX(REF_CODES!$B$40:$B$45,MATCH($D33,REF_CODES!$C$40:$C$45,0)),"")</f>
        <v>RA-NAM</v>
      </c>
      <c r="F33" s="235" t="s">
        <v>581</v>
      </c>
      <c r="G33" s="235" t="str">
        <f t="array" ref="G33">IFERROR(INDEX(REF_CODES!$B$34:$B$39,MATCH($F33,REF_CODES!$C$34:$C$39,0)),"")</f>
        <v>RA-DMA</v>
      </c>
      <c r="H33" s="235" t="s">
        <v>3169</v>
      </c>
      <c r="I33" s="235" t="s">
        <v>2306</v>
      </c>
      <c r="J33" s="235" t="s">
        <v>2405</v>
      </c>
      <c r="K33" s="235" t="s">
        <v>3172</v>
      </c>
      <c r="L33" s="235" t="s">
        <v>3174</v>
      </c>
      <c r="M33" s="235" t="s">
        <v>3175</v>
      </c>
      <c r="N33" s="235" t="s">
        <v>202</v>
      </c>
      <c r="O33" s="235" t="s">
        <v>120</v>
      </c>
      <c r="P33" s="235"/>
      <c r="Q33" s="235"/>
      <c r="R33" s="235" t="s">
        <v>164</v>
      </c>
      <c r="S33" s="235" t="s">
        <v>1434</v>
      </c>
      <c r="T33" s="235" t="s">
        <v>2312</v>
      </c>
      <c r="U33" s="235" t="s">
        <v>487</v>
      </c>
      <c r="V33" s="235" t="s">
        <v>512</v>
      </c>
      <c r="W33" s="235" t="s">
        <v>142</v>
      </c>
      <c r="X33" s="235" t="s">
        <v>2205</v>
      </c>
      <c r="Y33" s="235" t="s">
        <v>2207</v>
      </c>
      <c r="Z33" s="235" t="s">
        <v>3185</v>
      </c>
      <c r="AA33" s="13"/>
      <c r="AB33" s="13"/>
      <c r="AC33" s="255">
        <v>103.0</v>
      </c>
    </row>
    <row r="34" ht="34.5" customHeight="1">
      <c r="A34" s="243" t="s">
        <v>2172</v>
      </c>
      <c r="B34" s="243" t="s">
        <v>1107</v>
      </c>
      <c r="C34" s="243" t="s">
        <v>3189</v>
      </c>
      <c r="D34" s="243" t="s">
        <v>711</v>
      </c>
      <c r="E34" s="235" t="str">
        <f t="array" ref="E34">IFERROR(INDEX(REF_CODES!$B$40:$B$45,MATCH($D34,REF_CODES!$C$40:$C$45,0)),"")</f>
        <v>RA-NGA</v>
      </c>
      <c r="F34" s="243" t="s">
        <v>564</v>
      </c>
      <c r="G34" s="235" t="str">
        <f t="array" ref="G34">IFERROR(INDEX(REF_CODES!$B$34:$B$39,MATCH($F34,REF_CODES!$C$34:$C$39,0)),"")</f>
        <v>RA-DLE</v>
      </c>
      <c r="H34" s="243" t="s">
        <v>3205</v>
      </c>
      <c r="I34" s="243" t="s">
        <v>2191</v>
      </c>
      <c r="J34" s="243" t="s">
        <v>2192</v>
      </c>
      <c r="K34" s="243" t="s">
        <v>3209</v>
      </c>
      <c r="L34" s="243" t="s">
        <v>3210</v>
      </c>
      <c r="M34" s="243" t="s">
        <v>3212</v>
      </c>
      <c r="N34" s="243" t="s">
        <v>195</v>
      </c>
      <c r="O34" s="243" t="s">
        <v>120</v>
      </c>
      <c r="P34" s="243"/>
      <c r="Q34" s="243"/>
      <c r="R34" s="243" t="s">
        <v>161</v>
      </c>
      <c r="S34" s="243" t="s">
        <v>2202</v>
      </c>
      <c r="T34" s="243" t="s">
        <v>2312</v>
      </c>
      <c r="U34" s="243" t="s">
        <v>479</v>
      </c>
      <c r="V34" s="243" t="s">
        <v>512</v>
      </c>
      <c r="W34" s="243" t="s">
        <v>142</v>
      </c>
      <c r="X34" s="243" t="s">
        <v>2205</v>
      </c>
      <c r="Y34" s="243" t="s">
        <v>2207</v>
      </c>
      <c r="Z34" s="243" t="s">
        <v>2209</v>
      </c>
      <c r="AA34" s="13"/>
      <c r="AB34" s="13"/>
    </row>
    <row r="35" ht="23.25" customHeight="1">
      <c r="A35" s="235" t="s">
        <v>2172</v>
      </c>
      <c r="B35" s="235" t="s">
        <v>1107</v>
      </c>
      <c r="C35" s="235" t="s">
        <v>3224</v>
      </c>
      <c r="D35" s="235" t="s">
        <v>741</v>
      </c>
      <c r="E35" s="235" t="str">
        <f t="array" ref="E35">IFERROR(INDEX(REF_CODES!$B$40:$B$45,MATCH($D35,REF_CODES!$C$40:$C$45,0)),"")</f>
        <v>RA-NFE</v>
      </c>
      <c r="F35" s="235" t="s">
        <v>628</v>
      </c>
      <c r="G35" s="235" t="str">
        <f t="array" ref="G35">IFERROR(INDEX(REF_CODES!$B$34:$B$39,MATCH($F35,REF_CODES!$C$34:$C$39,0)),"")</f>
        <v>RA-DSI</v>
      </c>
      <c r="H35" s="235" t="s">
        <v>3127</v>
      </c>
      <c r="I35" s="235" t="s">
        <v>2224</v>
      </c>
      <c r="J35" s="235" t="s">
        <v>2512</v>
      </c>
      <c r="K35" s="235" t="s">
        <v>2224</v>
      </c>
      <c r="L35" s="256" t="s">
        <v>2332</v>
      </c>
      <c r="M35" s="235" t="s">
        <v>3241</v>
      </c>
      <c r="N35" s="235" t="s">
        <v>202</v>
      </c>
      <c r="O35" s="235" t="s">
        <v>120</v>
      </c>
      <c r="P35" s="235"/>
      <c r="Q35" s="235" t="s">
        <v>2237</v>
      </c>
      <c r="R35" s="235" t="s">
        <v>164</v>
      </c>
      <c r="S35" s="235" t="s">
        <v>1434</v>
      </c>
      <c r="T35" s="235" t="s">
        <v>2203</v>
      </c>
      <c r="U35" s="235" t="s">
        <v>487</v>
      </c>
      <c r="V35" s="235" t="s">
        <v>512</v>
      </c>
      <c r="W35" s="235" t="s">
        <v>142</v>
      </c>
      <c r="X35" s="235" t="s">
        <v>31</v>
      </c>
      <c r="Y35" s="235" t="s">
        <v>2207</v>
      </c>
      <c r="Z35" s="235" t="s">
        <v>2386</v>
      </c>
      <c r="AA35" s="13"/>
      <c r="AB35" s="13"/>
    </row>
    <row r="36" ht="23.25" customHeight="1">
      <c r="A36" s="243" t="s">
        <v>2172</v>
      </c>
      <c r="B36" s="243" t="s">
        <v>1107</v>
      </c>
      <c r="C36" s="243" t="s">
        <v>3250</v>
      </c>
      <c r="D36" s="243" t="s">
        <v>741</v>
      </c>
      <c r="E36" s="235" t="str">
        <f t="array" ref="E36">IFERROR(INDEX(REF_CODES!$B$40:$B$45,MATCH($D36,REF_CODES!$C$40:$C$45,0)),"")</f>
        <v>RA-NFE</v>
      </c>
      <c r="F36" s="243" t="s">
        <v>564</v>
      </c>
      <c r="G36" s="235" t="str">
        <f t="array" ref="G36">IFERROR(INDEX(REF_CODES!$B$34:$B$39,MATCH($F36,REF_CODES!$C$34:$C$39,0)),"")</f>
        <v>RA-DLE</v>
      </c>
      <c r="H36" s="243" t="s">
        <v>3262</v>
      </c>
      <c r="I36" s="243" t="s">
        <v>2191</v>
      </c>
      <c r="J36" s="243" t="s">
        <v>2192</v>
      </c>
      <c r="K36" s="243" t="s">
        <v>3266</v>
      </c>
      <c r="L36" s="248" t="s">
        <v>3268</v>
      </c>
      <c r="M36" s="243" t="s">
        <v>3269</v>
      </c>
      <c r="N36" s="243" t="s">
        <v>195</v>
      </c>
      <c r="O36" s="243" t="s">
        <v>110</v>
      </c>
      <c r="P36" s="243"/>
      <c r="Q36" s="243" t="s">
        <v>408</v>
      </c>
      <c r="R36" s="243" t="s">
        <v>161</v>
      </c>
      <c r="S36" s="243" t="s">
        <v>1434</v>
      </c>
      <c r="T36" s="243" t="s">
        <v>2312</v>
      </c>
      <c r="U36" s="243" t="s">
        <v>479</v>
      </c>
      <c r="V36" s="243" t="s">
        <v>512</v>
      </c>
      <c r="W36" s="243" t="s">
        <v>142</v>
      </c>
      <c r="X36" s="243" t="s">
        <v>3039</v>
      </c>
      <c r="Y36" s="243" t="s">
        <v>2207</v>
      </c>
      <c r="Z36" s="243" t="s">
        <v>2490</v>
      </c>
      <c r="AA36" s="13"/>
      <c r="AB36" s="13"/>
    </row>
    <row r="37" ht="23.25" customHeight="1">
      <c r="A37" s="235" t="s">
        <v>2172</v>
      </c>
      <c r="B37" s="235" t="s">
        <v>1107</v>
      </c>
      <c r="C37" s="235" t="s">
        <v>3277</v>
      </c>
      <c r="D37" s="235" t="s">
        <v>764</v>
      </c>
      <c r="E37" s="235" t="str">
        <f t="array" ref="E37">IFERROR(INDEX(REF_CODES!$B$40:$B$45,MATCH($D37,REF_CODES!$C$40:$C$45,0)),"")</f>
        <v>RA-NAM</v>
      </c>
      <c r="F37" s="235" t="s">
        <v>581</v>
      </c>
      <c r="G37" s="235" t="str">
        <f t="array" ref="G37">IFERROR(INDEX(REF_CODES!$B$34:$B$39,MATCH($F37,REF_CODES!$C$34:$C$39,0)),"")</f>
        <v>RA-DMA</v>
      </c>
      <c r="H37" s="235" t="s">
        <v>3285</v>
      </c>
      <c r="I37" s="235" t="s">
        <v>2306</v>
      </c>
      <c r="J37" s="235" t="s">
        <v>2192</v>
      </c>
      <c r="K37" s="235" t="s">
        <v>3291</v>
      </c>
      <c r="L37" s="235" t="s">
        <v>3292</v>
      </c>
      <c r="M37" s="235" t="s">
        <v>3294</v>
      </c>
      <c r="N37" s="235" t="s">
        <v>195</v>
      </c>
      <c r="O37" s="235" t="s">
        <v>120</v>
      </c>
      <c r="P37" s="235"/>
      <c r="Q37" s="235"/>
      <c r="R37" s="235" t="s">
        <v>161</v>
      </c>
      <c r="S37" s="235" t="s">
        <v>1434</v>
      </c>
      <c r="T37" s="235" t="s">
        <v>2312</v>
      </c>
      <c r="U37" s="235" t="s">
        <v>479</v>
      </c>
      <c r="V37" s="235" t="s">
        <v>512</v>
      </c>
      <c r="W37" s="235" t="s">
        <v>142</v>
      </c>
      <c r="X37" s="235" t="s">
        <v>37</v>
      </c>
      <c r="Y37" s="235" t="s">
        <v>2207</v>
      </c>
      <c r="Z37" s="235" t="s">
        <v>2209</v>
      </c>
      <c r="AA37" s="13"/>
      <c r="AB37" s="13"/>
      <c r="AC37" s="255">
        <v>42.0</v>
      </c>
    </row>
    <row r="38" ht="23.25" customHeight="1">
      <c r="A38" s="243" t="s">
        <v>2172</v>
      </c>
      <c r="B38" s="243" t="s">
        <v>1107</v>
      </c>
      <c r="C38" s="243" t="s">
        <v>3299</v>
      </c>
      <c r="D38" s="243" t="s">
        <v>741</v>
      </c>
      <c r="E38" s="235" t="str">
        <f t="array" ref="E38">IFERROR(INDEX(REF_CODES!$B$40:$B$45,MATCH($D38,REF_CODES!$C$40:$C$45,0)),"")</f>
        <v>RA-NFE</v>
      </c>
      <c r="F38" s="243" t="s">
        <v>581</v>
      </c>
      <c r="G38" s="235" t="str">
        <f t="array" ref="G38">IFERROR(INDEX(REF_CODES!$B$34:$B$39,MATCH($F38,REF_CODES!$C$34:$C$39,0)),"")</f>
        <v>RA-DMA</v>
      </c>
      <c r="H38" s="243" t="s">
        <v>3315</v>
      </c>
      <c r="I38" s="243" t="s">
        <v>2224</v>
      </c>
      <c r="J38" s="243" t="s">
        <v>2192</v>
      </c>
      <c r="K38" s="243" t="s">
        <v>2224</v>
      </c>
      <c r="L38" s="248" t="s">
        <v>3316</v>
      </c>
      <c r="M38" s="243" t="s">
        <v>3318</v>
      </c>
      <c r="N38" s="243" t="s">
        <v>195</v>
      </c>
      <c r="O38" s="243" t="s">
        <v>120</v>
      </c>
      <c r="P38" s="243"/>
      <c r="Q38" s="243" t="s">
        <v>2237</v>
      </c>
      <c r="R38" s="243" t="s">
        <v>161</v>
      </c>
      <c r="S38" s="243"/>
      <c r="T38" s="243" t="s">
        <v>2203</v>
      </c>
      <c r="U38" s="243" t="s">
        <v>473</v>
      </c>
      <c r="V38" s="243" t="s">
        <v>503</v>
      </c>
      <c r="W38" s="243" t="s">
        <v>142</v>
      </c>
      <c r="X38" s="243" t="s">
        <v>31</v>
      </c>
      <c r="Y38" s="243" t="s">
        <v>2207</v>
      </c>
      <c r="Z38" s="243" t="s">
        <v>3320</v>
      </c>
      <c r="AA38" s="13"/>
      <c r="AB38" s="13"/>
      <c r="AC38" s="255">
        <v>70.0</v>
      </c>
    </row>
    <row r="39" ht="23.25" customHeight="1">
      <c r="A39" s="235" t="s">
        <v>2172</v>
      </c>
      <c r="B39" s="235" t="s">
        <v>1107</v>
      </c>
      <c r="C39" s="235" t="s">
        <v>3322</v>
      </c>
      <c r="D39" s="235" t="s">
        <v>711</v>
      </c>
      <c r="E39" s="235" t="str">
        <f t="array" ref="E39">IFERROR(INDEX(REF_CODES!$B$40:$B$45,MATCH($D39,REF_CODES!$C$40:$C$45,0)),"")</f>
        <v>RA-NGA</v>
      </c>
      <c r="F39" s="235" t="s">
        <v>564</v>
      </c>
      <c r="G39" s="235" t="str">
        <f t="array" ref="G39">IFERROR(INDEX(REF_CODES!$B$34:$B$39,MATCH($F39,REF_CODES!$C$34:$C$39,0)),"")</f>
        <v>RA-DLE</v>
      </c>
      <c r="H39" s="235" t="s">
        <v>3338</v>
      </c>
      <c r="I39" s="235" t="s">
        <v>2191</v>
      </c>
      <c r="J39" s="235" t="s">
        <v>2192</v>
      </c>
      <c r="K39" s="235" t="s">
        <v>3339</v>
      </c>
      <c r="L39" s="235" t="s">
        <v>3340</v>
      </c>
      <c r="M39" s="235" t="s">
        <v>3341</v>
      </c>
      <c r="N39" s="235" t="s">
        <v>195</v>
      </c>
      <c r="O39" s="235" t="s">
        <v>120</v>
      </c>
      <c r="P39" s="235"/>
      <c r="Q39" s="235"/>
      <c r="R39" s="235" t="s">
        <v>161</v>
      </c>
      <c r="S39" s="235" t="s">
        <v>1434</v>
      </c>
      <c r="T39" s="235" t="s">
        <v>2312</v>
      </c>
      <c r="U39" s="235" t="s">
        <v>479</v>
      </c>
      <c r="V39" s="235" t="s">
        <v>512</v>
      </c>
      <c r="W39" s="235" t="s">
        <v>142</v>
      </c>
      <c r="X39" s="235" t="s">
        <v>37</v>
      </c>
      <c r="Y39" s="235" t="s">
        <v>2207</v>
      </c>
      <c r="Z39" s="235" t="s">
        <v>2209</v>
      </c>
      <c r="AA39" s="13"/>
      <c r="AB39" s="13"/>
    </row>
    <row r="40" ht="34.5" customHeight="1">
      <c r="A40" s="243" t="s">
        <v>2172</v>
      </c>
      <c r="B40" s="243" t="s">
        <v>1107</v>
      </c>
      <c r="C40" s="243" t="s">
        <v>3349</v>
      </c>
      <c r="D40" s="243" t="s">
        <v>741</v>
      </c>
      <c r="E40" s="235" t="str">
        <f t="array" ref="E40">IFERROR(INDEX(REF_CODES!$B$40:$B$45,MATCH($D40,REF_CODES!$C$40:$C$45,0)),"")</f>
        <v>RA-NFE</v>
      </c>
      <c r="F40" s="243" t="s">
        <v>628</v>
      </c>
      <c r="G40" s="235" t="str">
        <f t="array" ref="G40">IFERROR(INDEX(REF_CODES!$B$34:$B$39,MATCH($F40,REF_CODES!$C$34:$C$39,0)),"")</f>
        <v>RA-DSI</v>
      </c>
      <c r="H40" s="243" t="s">
        <v>3276</v>
      </c>
      <c r="I40" s="243" t="s">
        <v>2224</v>
      </c>
      <c r="J40" s="243" t="s">
        <v>2405</v>
      </c>
      <c r="K40" s="243" t="s">
        <v>3362</v>
      </c>
      <c r="L40" s="248" t="s">
        <v>3364</v>
      </c>
      <c r="M40" s="243" t="s">
        <v>3365</v>
      </c>
      <c r="N40" s="243" t="s">
        <v>202</v>
      </c>
      <c r="O40" s="243" t="s">
        <v>120</v>
      </c>
      <c r="P40" s="243"/>
      <c r="Q40" s="243" t="s">
        <v>2237</v>
      </c>
      <c r="R40" s="243" t="s">
        <v>164</v>
      </c>
      <c r="S40" s="243" t="s">
        <v>1434</v>
      </c>
      <c r="T40" s="243" t="s">
        <v>2203</v>
      </c>
      <c r="U40" s="243" t="s">
        <v>487</v>
      </c>
      <c r="V40" s="243" t="s">
        <v>512</v>
      </c>
      <c r="W40" s="243" t="s">
        <v>149</v>
      </c>
      <c r="X40" s="243" t="s">
        <v>31</v>
      </c>
      <c r="Y40" s="243" t="s">
        <v>2207</v>
      </c>
      <c r="Z40" s="243" t="s">
        <v>2490</v>
      </c>
      <c r="AA40" s="13"/>
      <c r="AB40" s="13"/>
      <c r="AC40" s="255">
        <v>117.0</v>
      </c>
    </row>
    <row r="41" ht="23.25" customHeight="1">
      <c r="A41" s="235" t="s">
        <v>2172</v>
      </c>
      <c r="B41" s="235" t="s">
        <v>1107</v>
      </c>
      <c r="C41" s="235" t="s">
        <v>3377</v>
      </c>
      <c r="D41" s="235" t="s">
        <v>711</v>
      </c>
      <c r="E41" s="235" t="str">
        <f t="array" ref="E41">IFERROR(INDEX(REF_CODES!$B$40:$B$45,MATCH($D41,REF_CODES!$C$40:$C$45,0)),"")</f>
        <v>RA-NGA</v>
      </c>
      <c r="F41" s="235" t="s">
        <v>564</v>
      </c>
      <c r="G41" s="235" t="str">
        <f t="array" ref="G41">IFERROR(INDEX(REF_CODES!$B$34:$B$39,MATCH($F41,REF_CODES!$C$34:$C$39,0)),"")</f>
        <v>RA-DLE</v>
      </c>
      <c r="H41" s="235" t="s">
        <v>3393</v>
      </c>
      <c r="I41" s="235" t="s">
        <v>2191</v>
      </c>
      <c r="J41" s="235" t="s">
        <v>2192</v>
      </c>
      <c r="K41" s="235" t="s">
        <v>2191</v>
      </c>
      <c r="L41" s="235"/>
      <c r="M41" s="235" t="s">
        <v>3396</v>
      </c>
      <c r="N41" s="235" t="s">
        <v>195</v>
      </c>
      <c r="O41" s="235" t="s">
        <v>120</v>
      </c>
      <c r="P41" s="235"/>
      <c r="Q41" s="235"/>
      <c r="R41" s="235" t="s">
        <v>161</v>
      </c>
      <c r="S41" s="235" t="s">
        <v>1434</v>
      </c>
      <c r="T41" s="235" t="s">
        <v>2203</v>
      </c>
      <c r="U41" s="235" t="s">
        <v>473</v>
      </c>
      <c r="V41" s="235" t="s">
        <v>503</v>
      </c>
      <c r="W41" s="235" t="s">
        <v>142</v>
      </c>
      <c r="X41" s="235" t="s">
        <v>31</v>
      </c>
      <c r="Y41" s="235" t="s">
        <v>2207</v>
      </c>
      <c r="Z41" s="235" t="s">
        <v>3404</v>
      </c>
      <c r="AA41" s="13"/>
      <c r="AB41" s="13"/>
    </row>
    <row r="42" ht="23.25" customHeight="1">
      <c r="A42" s="243" t="s">
        <v>2172</v>
      </c>
      <c r="B42" s="243" t="s">
        <v>1107</v>
      </c>
      <c r="C42" s="243" t="s">
        <v>3407</v>
      </c>
      <c r="D42" s="243" t="s">
        <v>725</v>
      </c>
      <c r="E42" s="235" t="str">
        <f t="array" ref="E42">IFERROR(INDEX(REF_CODES!$B$40:$B$45,MATCH($D42,REF_CODES!$C$40:$C$45,0)),"")</f>
        <v>RA-NSP</v>
      </c>
      <c r="F42" s="243" t="s">
        <v>581</v>
      </c>
      <c r="G42" s="235" t="str">
        <f t="array" ref="G42">IFERROR(INDEX(REF_CODES!$B$34:$B$39,MATCH($F42,REF_CODES!$C$34:$C$39,0)),"")</f>
        <v>RA-DMA</v>
      </c>
      <c r="H42" s="243" t="s">
        <v>3420</v>
      </c>
      <c r="I42" s="243" t="s">
        <v>2224</v>
      </c>
      <c r="J42" s="243" t="s">
        <v>2192</v>
      </c>
      <c r="K42" s="243" t="s">
        <v>3421</v>
      </c>
      <c r="L42" s="248" t="s">
        <v>3422</v>
      </c>
      <c r="M42" s="243" t="s">
        <v>3427</v>
      </c>
      <c r="N42" s="243" t="s">
        <v>195</v>
      </c>
      <c r="O42" s="243" t="s">
        <v>120</v>
      </c>
      <c r="P42" s="243"/>
      <c r="Q42" s="243" t="s">
        <v>405</v>
      </c>
      <c r="R42" s="243" t="s">
        <v>161</v>
      </c>
      <c r="S42" s="243" t="s">
        <v>1434</v>
      </c>
      <c r="T42" s="243" t="s">
        <v>2312</v>
      </c>
      <c r="U42" s="243" t="s">
        <v>479</v>
      </c>
      <c r="V42" s="243" t="s">
        <v>512</v>
      </c>
      <c r="W42" s="243" t="s">
        <v>149</v>
      </c>
      <c r="X42" s="243" t="s">
        <v>3433</v>
      </c>
      <c r="Y42" s="243" t="s">
        <v>2207</v>
      </c>
      <c r="Z42" s="243" t="s">
        <v>2386</v>
      </c>
      <c r="AA42" s="13"/>
      <c r="AB42" s="13"/>
      <c r="AC42" s="255">
        <v>107.0</v>
      </c>
    </row>
    <row r="43" ht="23.25" customHeight="1">
      <c r="A43" s="235" t="s">
        <v>2172</v>
      </c>
      <c r="B43" s="235" t="s">
        <v>1107</v>
      </c>
      <c r="C43" s="235" t="s">
        <v>3434</v>
      </c>
      <c r="D43" s="235" t="s">
        <v>764</v>
      </c>
      <c r="E43" s="235" t="str">
        <f t="array" ref="E43">IFERROR(INDEX(REF_CODES!$B$40:$B$45,MATCH($D43,REF_CODES!$C$40:$C$45,0)),"")</f>
        <v>RA-NAM</v>
      </c>
      <c r="F43" s="235" t="s">
        <v>581</v>
      </c>
      <c r="G43" s="235" t="str">
        <f t="array" ref="G43">IFERROR(INDEX(REF_CODES!$B$34:$B$39,MATCH($F43,REF_CODES!$C$34:$C$39,0)),"")</f>
        <v>RA-DMA</v>
      </c>
      <c r="H43" s="235" t="s">
        <v>3451</v>
      </c>
      <c r="I43" s="235" t="s">
        <v>2191</v>
      </c>
      <c r="J43" s="235" t="s">
        <v>2405</v>
      </c>
      <c r="K43" s="235" t="s">
        <v>3453</v>
      </c>
      <c r="L43" s="235" t="s">
        <v>3457</v>
      </c>
      <c r="M43" s="235" t="s">
        <v>3459</v>
      </c>
      <c r="N43" s="235" t="s">
        <v>202</v>
      </c>
      <c r="O43" s="235" t="s">
        <v>120</v>
      </c>
      <c r="P43" s="235"/>
      <c r="Q43" s="235"/>
      <c r="R43" s="235" t="s">
        <v>164</v>
      </c>
      <c r="S43" s="235" t="s">
        <v>2202</v>
      </c>
      <c r="T43" s="235" t="s">
        <v>2312</v>
      </c>
      <c r="U43" s="235" t="s">
        <v>487</v>
      </c>
      <c r="V43" s="235" t="s">
        <v>512</v>
      </c>
      <c r="W43" s="235" t="s">
        <v>142</v>
      </c>
      <c r="X43" s="235" t="s">
        <v>2434</v>
      </c>
      <c r="Y43" s="235" t="s">
        <v>2207</v>
      </c>
      <c r="Z43" s="235" t="s">
        <v>2490</v>
      </c>
      <c r="AA43" s="13"/>
      <c r="AB43" s="13"/>
    </row>
    <row r="44" ht="23.25" customHeight="1">
      <c r="A44" s="243" t="s">
        <v>2172</v>
      </c>
      <c r="B44" s="243" t="s">
        <v>1107</v>
      </c>
      <c r="C44" s="243" t="s">
        <v>3468</v>
      </c>
      <c r="D44" s="243" t="s">
        <v>711</v>
      </c>
      <c r="E44" s="235" t="str">
        <f t="array" ref="E44">IFERROR(INDEX(REF_CODES!$B$40:$B$45,MATCH($D44,REF_CODES!$C$40:$C$45,0)),"")</f>
        <v>RA-NGA</v>
      </c>
      <c r="F44" s="243" t="s">
        <v>581</v>
      </c>
      <c r="G44" s="235" t="str">
        <f t="array" ref="G44">IFERROR(INDEX(REF_CODES!$B$34:$B$39,MATCH($F44,REF_CODES!$C$34:$C$39,0)),"")</f>
        <v>RA-DMA</v>
      </c>
      <c r="H44" s="243" t="s">
        <v>3480</v>
      </c>
      <c r="I44" s="243" t="s">
        <v>2224</v>
      </c>
      <c r="J44" s="243" t="s">
        <v>2512</v>
      </c>
      <c r="K44" s="243" t="s">
        <v>3482</v>
      </c>
      <c r="L44" s="243" t="s">
        <v>2426</v>
      </c>
      <c r="M44" s="243" t="s">
        <v>3135</v>
      </c>
      <c r="N44" s="243" t="s">
        <v>202</v>
      </c>
      <c r="O44" s="243" t="s">
        <v>120</v>
      </c>
      <c r="P44" s="243"/>
      <c r="Q44" s="243"/>
      <c r="R44" s="243" t="s">
        <v>167</v>
      </c>
      <c r="S44" s="243" t="s">
        <v>1434</v>
      </c>
      <c r="T44" s="243" t="s">
        <v>2312</v>
      </c>
      <c r="U44" s="243" t="s">
        <v>487</v>
      </c>
      <c r="V44" s="243" t="s">
        <v>512</v>
      </c>
      <c r="W44" s="243" t="s">
        <v>149</v>
      </c>
      <c r="X44" s="243" t="s">
        <v>2487</v>
      </c>
      <c r="Y44" s="243" t="s">
        <v>2207</v>
      </c>
      <c r="Z44" s="243" t="s">
        <v>2460</v>
      </c>
      <c r="AA44" s="13"/>
      <c r="AB44" s="13"/>
    </row>
    <row r="45" ht="34.5" customHeight="1">
      <c r="A45" s="235" t="s">
        <v>2172</v>
      </c>
      <c r="B45" s="235" t="s">
        <v>1107</v>
      </c>
      <c r="C45" s="235" t="s">
        <v>3487</v>
      </c>
      <c r="D45" s="235" t="s">
        <v>764</v>
      </c>
      <c r="E45" s="235" t="str">
        <f t="array" ref="E45">IFERROR(INDEX(REF_CODES!$B$40:$B$45,MATCH($D45,REF_CODES!$C$40:$C$45,0)),"")</f>
        <v>RA-NAM</v>
      </c>
      <c r="F45" s="235" t="s">
        <v>581</v>
      </c>
      <c r="G45" s="235" t="str">
        <f t="array" ref="G45">IFERROR(INDEX(REF_CODES!$B$34:$B$39,MATCH($F45,REF_CODES!$C$34:$C$39,0)),"")</f>
        <v>RA-DMA</v>
      </c>
      <c r="H45" s="235" t="s">
        <v>3502</v>
      </c>
      <c r="I45" s="235" t="s">
        <v>2416</v>
      </c>
      <c r="J45" s="235" t="s">
        <v>2512</v>
      </c>
      <c r="K45" s="235" t="s">
        <v>2316</v>
      </c>
      <c r="L45" s="235" t="s">
        <v>2332</v>
      </c>
      <c r="M45" s="235" t="s">
        <v>3504</v>
      </c>
      <c r="N45" s="235" t="s">
        <v>202</v>
      </c>
      <c r="O45" s="235" t="s">
        <v>120</v>
      </c>
      <c r="P45" s="235"/>
      <c r="Q45" s="235"/>
      <c r="R45" s="235" t="s">
        <v>167</v>
      </c>
      <c r="S45" s="235" t="s">
        <v>1434</v>
      </c>
      <c r="T45" s="235" t="s">
        <v>2312</v>
      </c>
      <c r="U45" s="235" t="s">
        <v>487</v>
      </c>
      <c r="V45" s="235" t="s">
        <v>512</v>
      </c>
      <c r="W45" s="235" t="s">
        <v>149</v>
      </c>
      <c r="X45" s="235" t="s">
        <v>37</v>
      </c>
      <c r="Y45" s="235" t="s">
        <v>2207</v>
      </c>
      <c r="Z45" s="235" t="s">
        <v>2460</v>
      </c>
      <c r="AA45" s="13"/>
      <c r="AB45" s="13"/>
    </row>
    <row r="46" ht="21.75" customHeight="1">
      <c r="A46" s="243" t="s">
        <v>2172</v>
      </c>
      <c r="B46" s="243" t="s">
        <v>1107</v>
      </c>
      <c r="C46" s="243" t="s">
        <v>3513</v>
      </c>
      <c r="D46" s="243" t="s">
        <v>711</v>
      </c>
      <c r="E46" s="235" t="str">
        <f t="array" ref="E46">IFERROR(INDEX(REF_CODES!$B$40:$B$45,MATCH($D46,REF_CODES!$C$40:$C$45,0)),"")</f>
        <v>RA-NGA</v>
      </c>
      <c r="F46" s="243" t="s">
        <v>564</v>
      </c>
      <c r="G46" s="235" t="str">
        <f t="array" ref="G46">IFERROR(INDEX(REF_CODES!$B$34:$B$39,MATCH($F46,REF_CODES!$C$34:$C$39,0)),"")</f>
        <v>RA-DLE</v>
      </c>
      <c r="H46" s="243" t="s">
        <v>3528</v>
      </c>
      <c r="I46" s="243" t="s">
        <v>2224</v>
      </c>
      <c r="J46" s="243" t="s">
        <v>2192</v>
      </c>
      <c r="K46" s="243" t="s">
        <v>2224</v>
      </c>
      <c r="L46" s="243" t="s">
        <v>3531</v>
      </c>
      <c r="M46" s="243" t="s">
        <v>3532</v>
      </c>
      <c r="N46" s="243" t="s">
        <v>195</v>
      </c>
      <c r="O46" s="243" t="s">
        <v>120</v>
      </c>
      <c r="P46" s="243"/>
      <c r="Q46" s="243"/>
      <c r="R46" s="243" t="s">
        <v>161</v>
      </c>
      <c r="S46" s="243" t="s">
        <v>1434</v>
      </c>
      <c r="T46" s="243" t="s">
        <v>2203</v>
      </c>
      <c r="U46" s="243" t="s">
        <v>473</v>
      </c>
      <c r="V46" s="243" t="s">
        <v>503</v>
      </c>
      <c r="W46" s="243" t="s">
        <v>142</v>
      </c>
      <c r="X46" s="243" t="s">
        <v>37</v>
      </c>
      <c r="Y46" s="243" t="s">
        <v>2207</v>
      </c>
      <c r="Z46" s="243" t="s">
        <v>3404</v>
      </c>
      <c r="AA46" s="13"/>
      <c r="AB46" s="13"/>
    </row>
    <row r="47" ht="23.25" customHeight="1">
      <c r="A47" s="235" t="s">
        <v>2172</v>
      </c>
      <c r="B47" s="235" t="s">
        <v>1107</v>
      </c>
      <c r="C47" s="235" t="s">
        <v>3538</v>
      </c>
      <c r="D47" s="235" t="s">
        <v>711</v>
      </c>
      <c r="E47" s="235" t="str">
        <f t="array" ref="E47">IFERROR(INDEX(REF_CODES!$B$40:$B$45,MATCH($D47,REF_CODES!$C$40:$C$45,0)),"")</f>
        <v>RA-NGA</v>
      </c>
      <c r="F47" s="235" t="s">
        <v>628</v>
      </c>
      <c r="G47" s="235" t="str">
        <f t="array" ref="G47">IFERROR(INDEX(REF_CODES!$B$34:$B$39,MATCH($F47,REF_CODES!$C$34:$C$39,0)),"")</f>
        <v>RA-DSI</v>
      </c>
      <c r="H47" s="235" t="s">
        <v>3550</v>
      </c>
      <c r="I47" s="235" t="s">
        <v>2306</v>
      </c>
      <c r="J47" s="235" t="s">
        <v>2512</v>
      </c>
      <c r="K47" s="235" t="s">
        <v>2514</v>
      </c>
      <c r="L47" s="235" t="s">
        <v>2515</v>
      </c>
      <c r="M47" s="235" t="s">
        <v>3553</v>
      </c>
      <c r="N47" s="235" t="s">
        <v>202</v>
      </c>
      <c r="O47" s="235" t="s">
        <v>120</v>
      </c>
      <c r="P47" s="235"/>
      <c r="Q47" s="235"/>
      <c r="R47" s="235" t="s">
        <v>167</v>
      </c>
      <c r="S47" s="235" t="s">
        <v>1434</v>
      </c>
      <c r="T47" s="235" t="s">
        <v>2312</v>
      </c>
      <c r="U47" s="235" t="s">
        <v>487</v>
      </c>
      <c r="V47" s="235" t="s">
        <v>512</v>
      </c>
      <c r="W47" s="235" t="s">
        <v>149</v>
      </c>
      <c r="X47" s="235" t="s">
        <v>2487</v>
      </c>
      <c r="Y47" s="235" t="s">
        <v>2207</v>
      </c>
      <c r="Z47" s="235" t="s">
        <v>2460</v>
      </c>
      <c r="AA47" s="13"/>
      <c r="AB47" s="13"/>
    </row>
    <row r="48" ht="23.25" customHeight="1">
      <c r="A48" s="243" t="s">
        <v>2172</v>
      </c>
      <c r="B48" s="243" t="s">
        <v>1107</v>
      </c>
      <c r="C48" s="243" t="s">
        <v>3562</v>
      </c>
      <c r="D48" s="243" t="s">
        <v>725</v>
      </c>
      <c r="E48" s="235" t="str">
        <f t="array" ref="E48">IFERROR(INDEX(REF_CODES!$B$40:$B$45,MATCH($D48,REF_CODES!$C$40:$C$45,0)),"")</f>
        <v>RA-NSP</v>
      </c>
      <c r="F48" s="235"/>
      <c r="G48" s="235" t="str">
        <f t="array" ref="G48">IFERROR(INDEX(REF_CODES!$B$34:$B$39,MATCH($F48,REF_CODES!$C$34:$C$39,0)),"")</f>
        <v/>
      </c>
      <c r="H48" s="243" t="s">
        <v>3571</v>
      </c>
      <c r="I48" s="243" t="s">
        <v>3573</v>
      </c>
      <c r="J48" s="243" t="s">
        <v>1229</v>
      </c>
      <c r="K48" s="274" t="s">
        <v>2208</v>
      </c>
      <c r="L48" s="248" t="s">
        <v>3578</v>
      </c>
      <c r="M48" s="243" t="s">
        <v>3579</v>
      </c>
      <c r="N48" s="243" t="s">
        <v>188</v>
      </c>
      <c r="O48" s="243" t="s">
        <v>110</v>
      </c>
      <c r="P48" s="243" t="s">
        <v>2196</v>
      </c>
      <c r="Q48" s="243" t="s">
        <v>405</v>
      </c>
      <c r="R48" s="243" t="s">
        <v>153</v>
      </c>
      <c r="S48" s="243" t="s">
        <v>1434</v>
      </c>
      <c r="T48" s="243" t="s">
        <v>2312</v>
      </c>
      <c r="U48" s="243" t="s">
        <v>463</v>
      </c>
      <c r="V48" s="243" t="s">
        <v>498</v>
      </c>
      <c r="W48" s="243" t="s">
        <v>146</v>
      </c>
      <c r="X48" s="243" t="s">
        <v>2783</v>
      </c>
      <c r="Y48" s="243" t="s">
        <v>2207</v>
      </c>
      <c r="Z48" s="243" t="s">
        <v>1229</v>
      </c>
      <c r="AA48" s="13"/>
      <c r="AB48" s="13"/>
    </row>
    <row r="49" ht="23.25" customHeight="1">
      <c r="A49" s="235" t="s">
        <v>2172</v>
      </c>
      <c r="B49" s="243" t="s">
        <v>1107</v>
      </c>
      <c r="C49" s="243" t="s">
        <v>3591</v>
      </c>
      <c r="D49" s="243" t="s">
        <v>711</v>
      </c>
      <c r="E49" s="235" t="str">
        <f t="array" ref="E49">IFERROR(INDEX(REF_CODES!$B$40:$B$45,MATCH($D49,REF_CODES!$C$40:$C$45,0)),"")</f>
        <v>RA-NGA</v>
      </c>
      <c r="F49" s="243" t="s">
        <v>628</v>
      </c>
      <c r="G49" s="235" t="str">
        <f t="array" ref="G49">IFERROR(INDEX(REF_CODES!$B$34:$B$39,MATCH($F49,REF_CODES!$C$34:$C$39,0)),"")</f>
        <v>RA-DSI</v>
      </c>
      <c r="H49" s="243" t="s">
        <v>3610</v>
      </c>
      <c r="I49" s="243" t="s">
        <v>3611</v>
      </c>
      <c r="J49" s="243" t="s">
        <v>2512</v>
      </c>
      <c r="K49" s="243" t="s">
        <v>2296</v>
      </c>
      <c r="L49" s="243" t="s">
        <v>3612</v>
      </c>
      <c r="M49" s="243" t="s">
        <v>3613</v>
      </c>
      <c r="N49" s="243" t="s">
        <v>202</v>
      </c>
      <c r="O49" s="243" t="s">
        <v>120</v>
      </c>
      <c r="P49" s="243"/>
      <c r="Q49" s="243"/>
      <c r="R49" s="243" t="s">
        <v>167</v>
      </c>
      <c r="S49" s="243" t="s">
        <v>1434</v>
      </c>
      <c r="T49" s="243" t="s">
        <v>2203</v>
      </c>
      <c r="U49" s="243" t="s">
        <v>487</v>
      </c>
      <c r="V49" s="243" t="s">
        <v>512</v>
      </c>
      <c r="W49" s="243" t="s">
        <v>142</v>
      </c>
      <c r="X49" s="243"/>
      <c r="Y49" s="243" t="s">
        <v>2207</v>
      </c>
      <c r="Z49" s="243" t="s">
        <v>2460</v>
      </c>
      <c r="AA49" s="13"/>
      <c r="AB49" s="13"/>
    </row>
    <row r="50" ht="14.25" customHeight="1">
      <c r="A50" s="243" t="s">
        <v>2172</v>
      </c>
      <c r="B50" s="235" t="s">
        <v>1107</v>
      </c>
      <c r="C50" s="235" t="s">
        <v>3625</v>
      </c>
      <c r="D50" s="235" t="s">
        <v>754</v>
      </c>
      <c r="E50" s="235" t="str">
        <f t="array" ref="E50">IFERROR(INDEX(REF_CODES!$B$40:$B$45,MATCH($D50,REF_CODES!$C$40:$C$45,0)),"")</f>
        <v>RA-NVE</v>
      </c>
      <c r="F50" s="235" t="s">
        <v>610</v>
      </c>
      <c r="G50" s="235" t="str">
        <f t="array" ref="G50">IFERROR(INDEX(REF_CODES!$B$34:$B$39,MATCH($F50,REF_CODES!$C$34:$C$39,0)),"")</f>
        <v>RA-DNA</v>
      </c>
      <c r="H50" s="235" t="s">
        <v>3634</v>
      </c>
      <c r="I50" s="235" t="s">
        <v>2306</v>
      </c>
      <c r="J50" s="235" t="s">
        <v>2192</v>
      </c>
      <c r="K50" s="235" t="s">
        <v>2306</v>
      </c>
      <c r="L50" s="235" t="s">
        <v>3639</v>
      </c>
      <c r="M50" s="274" t="s">
        <v>3641</v>
      </c>
      <c r="N50" s="235" t="s">
        <v>195</v>
      </c>
      <c r="O50" s="235" t="s">
        <v>126</v>
      </c>
      <c r="P50" s="235"/>
      <c r="Q50" s="235"/>
      <c r="R50" s="235" t="s">
        <v>158</v>
      </c>
      <c r="S50" s="235" t="s">
        <v>1434</v>
      </c>
      <c r="T50" s="235" t="s">
        <v>2203</v>
      </c>
      <c r="U50" s="235" t="s">
        <v>465</v>
      </c>
      <c r="V50" s="235" t="s">
        <v>503</v>
      </c>
      <c r="W50" s="235" t="s">
        <v>142</v>
      </c>
      <c r="X50" s="235" t="s">
        <v>43</v>
      </c>
      <c r="Y50" s="235" t="s">
        <v>2207</v>
      </c>
      <c r="Z50" s="235" t="s">
        <v>3404</v>
      </c>
      <c r="AA50" s="13"/>
      <c r="AB50" s="13"/>
    </row>
    <row r="51" ht="34.5" customHeight="1">
      <c r="A51" s="235" t="s">
        <v>2172</v>
      </c>
      <c r="B51" s="243" t="s">
        <v>1107</v>
      </c>
      <c r="C51" s="243" t="s">
        <v>3648</v>
      </c>
      <c r="D51" s="243" t="s">
        <v>741</v>
      </c>
      <c r="E51" s="235" t="str">
        <f t="array" ref="E51">IFERROR(INDEX(REF_CODES!$B$40:$B$45,MATCH($D51,REF_CODES!$C$40:$C$45,0)),"")</f>
        <v>RA-NFE</v>
      </c>
      <c r="F51" s="243" t="s">
        <v>594</v>
      </c>
      <c r="G51" s="235" t="str">
        <f t="array" ref="G51">IFERROR(INDEX(REF_CODES!$B$34:$B$39,MATCH($F51,REF_CODES!$C$34:$C$39,0)),"")</f>
        <v>RA-DPO</v>
      </c>
      <c r="H51" s="243" t="s">
        <v>3664</v>
      </c>
      <c r="I51" s="243" t="s">
        <v>2224</v>
      </c>
      <c r="J51" s="243" t="s">
        <v>2405</v>
      </c>
      <c r="K51" s="243" t="s">
        <v>3665</v>
      </c>
      <c r="L51" s="248" t="s">
        <v>3666</v>
      </c>
      <c r="M51" s="243" t="s">
        <v>3667</v>
      </c>
      <c r="N51" s="243" t="s">
        <v>195</v>
      </c>
      <c r="O51" s="243" t="s">
        <v>120</v>
      </c>
      <c r="P51" s="243"/>
      <c r="Q51" s="243" t="s">
        <v>2237</v>
      </c>
      <c r="R51" s="243" t="s">
        <v>164</v>
      </c>
      <c r="S51" s="243" t="s">
        <v>1434</v>
      </c>
      <c r="T51" s="243" t="s">
        <v>2203</v>
      </c>
      <c r="U51" s="243" t="s">
        <v>479</v>
      </c>
      <c r="V51" s="243" t="s">
        <v>512</v>
      </c>
      <c r="W51" s="243" t="s">
        <v>149</v>
      </c>
      <c r="X51" s="243" t="s">
        <v>31</v>
      </c>
      <c r="Y51" s="243" t="s">
        <v>2207</v>
      </c>
      <c r="Z51" s="243" t="s">
        <v>2490</v>
      </c>
      <c r="AA51" s="13"/>
      <c r="AB51" s="13"/>
      <c r="AC51" s="255">
        <v>35.0</v>
      </c>
    </row>
    <row r="52" ht="23.25" customHeight="1">
      <c r="A52" s="243" t="s">
        <v>2172</v>
      </c>
      <c r="B52" s="235" t="s">
        <v>1107</v>
      </c>
      <c r="C52" s="235" t="s">
        <v>3681</v>
      </c>
      <c r="D52" s="235" t="s">
        <v>754</v>
      </c>
      <c r="E52" s="235" t="str">
        <f t="array" ref="E52">IFERROR(INDEX(REF_CODES!$B$40:$B$45,MATCH($D52,REF_CODES!$C$40:$C$45,0)),"")</f>
        <v>RA-NVE</v>
      </c>
      <c r="F52" s="235" t="s">
        <v>564</v>
      </c>
      <c r="G52" s="235" t="str">
        <f t="array" ref="G52">IFERROR(INDEX(REF_CODES!$B$34:$B$39,MATCH($F52,REF_CODES!$C$34:$C$39,0)),"")</f>
        <v>RA-DLE</v>
      </c>
      <c r="H52" s="235" t="s">
        <v>3693</v>
      </c>
      <c r="I52" s="235" t="s">
        <v>2306</v>
      </c>
      <c r="J52" s="235" t="s">
        <v>2192</v>
      </c>
      <c r="K52" s="235" t="s">
        <v>3697</v>
      </c>
      <c r="L52" s="235" t="s">
        <v>3698</v>
      </c>
      <c r="M52" s="235" t="s">
        <v>3700</v>
      </c>
      <c r="N52" s="235" t="s">
        <v>195</v>
      </c>
      <c r="O52" s="235" t="s">
        <v>120</v>
      </c>
      <c r="P52" s="235"/>
      <c r="Q52" s="235" t="s">
        <v>402</v>
      </c>
      <c r="R52" s="235" t="s">
        <v>161</v>
      </c>
      <c r="S52" s="235" t="s">
        <v>1434</v>
      </c>
      <c r="T52" s="235" t="s">
        <v>2312</v>
      </c>
      <c r="U52" s="235" t="s">
        <v>479</v>
      </c>
      <c r="V52" s="235" t="s">
        <v>512</v>
      </c>
      <c r="W52" s="235" t="s">
        <v>142</v>
      </c>
      <c r="X52" s="235" t="s">
        <v>43</v>
      </c>
      <c r="Y52" s="235" t="s">
        <v>2207</v>
      </c>
      <c r="Z52" s="235" t="s">
        <v>3703</v>
      </c>
      <c r="AA52" s="13"/>
      <c r="AB52" s="13"/>
    </row>
    <row r="53" ht="23.25" customHeight="1">
      <c r="A53" s="235" t="s">
        <v>2172</v>
      </c>
      <c r="B53" s="243" t="s">
        <v>1107</v>
      </c>
      <c r="C53" s="243" t="s">
        <v>3707</v>
      </c>
      <c r="D53" s="243" t="s">
        <v>711</v>
      </c>
      <c r="E53" s="235" t="str">
        <f t="array" ref="E53">IFERROR(INDEX(REF_CODES!$B$40:$B$45,MATCH($D53,REF_CODES!$C$40:$C$45,0)),"")</f>
        <v>RA-NGA</v>
      </c>
      <c r="F53" s="243" t="s">
        <v>581</v>
      </c>
      <c r="G53" s="235" t="str">
        <f t="array" ref="G53">IFERROR(INDEX(REF_CODES!$B$34:$B$39,MATCH($F53,REF_CODES!$C$34:$C$39,0)),"")</f>
        <v>RA-DMA</v>
      </c>
      <c r="H53" s="243" t="s">
        <v>3727</v>
      </c>
      <c r="I53" s="243" t="s">
        <v>2306</v>
      </c>
      <c r="J53" s="243" t="s">
        <v>2405</v>
      </c>
      <c r="K53" s="243" t="s">
        <v>3729</v>
      </c>
      <c r="L53" s="243" t="s">
        <v>3730</v>
      </c>
      <c r="M53" s="243" t="s">
        <v>3731</v>
      </c>
      <c r="N53" s="243" t="s">
        <v>202</v>
      </c>
      <c r="O53" s="243" t="s">
        <v>126</v>
      </c>
      <c r="P53" s="243"/>
      <c r="Q53" s="243"/>
      <c r="R53" s="243" t="s">
        <v>164</v>
      </c>
      <c r="S53" s="243" t="s">
        <v>1434</v>
      </c>
      <c r="T53" s="243" t="s">
        <v>2312</v>
      </c>
      <c r="U53" s="243" t="s">
        <v>487</v>
      </c>
      <c r="V53" s="243" t="s">
        <v>512</v>
      </c>
      <c r="W53" s="243" t="s">
        <v>142</v>
      </c>
      <c r="X53" s="243" t="s">
        <v>37</v>
      </c>
      <c r="Y53" s="243" t="s">
        <v>2207</v>
      </c>
      <c r="Z53" s="243" t="s">
        <v>2490</v>
      </c>
      <c r="AA53" s="13"/>
      <c r="AB53" s="13"/>
    </row>
    <row r="54" ht="23.25" customHeight="1">
      <c r="A54" s="243" t="s">
        <v>2172</v>
      </c>
      <c r="B54" s="235" t="s">
        <v>1107</v>
      </c>
      <c r="C54" s="235" t="s">
        <v>3743</v>
      </c>
      <c r="D54" s="235" t="s">
        <v>764</v>
      </c>
      <c r="E54" s="235" t="str">
        <f t="array" ref="E54">IFERROR(INDEX(REF_CODES!$B$40:$B$45,MATCH($D54,REF_CODES!$C$40:$C$45,0)),"")</f>
        <v>RA-NAM</v>
      </c>
      <c r="F54" s="235" t="s">
        <v>581</v>
      </c>
      <c r="G54" s="235" t="str">
        <f t="array" ref="G54">IFERROR(INDEX(REF_CODES!$B$34:$B$39,MATCH($F54,REF_CODES!$C$34:$C$39,0)),"")</f>
        <v>RA-DMA</v>
      </c>
      <c r="H54" s="235" t="s">
        <v>3195</v>
      </c>
      <c r="I54" s="235" t="s">
        <v>2306</v>
      </c>
      <c r="J54" s="235" t="s">
        <v>2405</v>
      </c>
      <c r="K54" s="235" t="s">
        <v>3753</v>
      </c>
      <c r="L54" s="235" t="s">
        <v>3754</v>
      </c>
      <c r="M54" s="235" t="s">
        <v>3755</v>
      </c>
      <c r="N54" s="235" t="s">
        <v>202</v>
      </c>
      <c r="O54" s="235" t="s">
        <v>120</v>
      </c>
      <c r="P54" s="235"/>
      <c r="Q54" s="235"/>
      <c r="R54" s="235" t="s">
        <v>164</v>
      </c>
      <c r="S54" s="235" t="s">
        <v>1434</v>
      </c>
      <c r="T54" s="235" t="s">
        <v>2312</v>
      </c>
      <c r="U54" s="235" t="s">
        <v>487</v>
      </c>
      <c r="V54" s="235" t="s">
        <v>512</v>
      </c>
      <c r="W54" s="235" t="s">
        <v>142</v>
      </c>
      <c r="X54" s="235" t="s">
        <v>37</v>
      </c>
      <c r="Y54" s="235" t="s">
        <v>2207</v>
      </c>
      <c r="Z54" s="235" t="s">
        <v>2386</v>
      </c>
      <c r="AA54" s="13"/>
      <c r="AB54" s="13"/>
    </row>
    <row r="55" ht="23.25" customHeight="1">
      <c r="A55" s="235" t="s">
        <v>2172</v>
      </c>
      <c r="B55" s="243" t="s">
        <v>1107</v>
      </c>
      <c r="C55" s="243" t="s">
        <v>3766</v>
      </c>
      <c r="D55" s="243" t="s">
        <v>711</v>
      </c>
      <c r="E55" s="235" t="str">
        <f t="array" ref="E55">IFERROR(INDEX(REF_CODES!$B$40:$B$45,MATCH($D55,REF_CODES!$C$40:$C$45,0)),"")</f>
        <v>RA-NGA</v>
      </c>
      <c r="F55" s="243" t="s">
        <v>581</v>
      </c>
      <c r="G55" s="235" t="str">
        <f t="array" ref="G55">IFERROR(INDEX(REF_CODES!$B$34:$B$39,MATCH($F55,REF_CODES!$C$34:$C$39,0)),"")</f>
        <v>RA-DMA</v>
      </c>
      <c r="H55" s="243" t="s">
        <v>3776</v>
      </c>
      <c r="I55" s="243" t="s">
        <v>2306</v>
      </c>
      <c r="J55" s="243" t="s">
        <v>2405</v>
      </c>
      <c r="K55" s="243" t="s">
        <v>3780</v>
      </c>
      <c r="L55" s="243" t="s">
        <v>3781</v>
      </c>
      <c r="M55" s="243" t="s">
        <v>3784</v>
      </c>
      <c r="N55" s="243" t="s">
        <v>202</v>
      </c>
      <c r="O55" s="243" t="s">
        <v>120</v>
      </c>
      <c r="P55" s="243"/>
      <c r="Q55" s="243"/>
      <c r="R55" s="243" t="s">
        <v>164</v>
      </c>
      <c r="S55" s="243" t="s">
        <v>1434</v>
      </c>
      <c r="T55" s="243" t="s">
        <v>2312</v>
      </c>
      <c r="U55" s="243" t="s">
        <v>487</v>
      </c>
      <c r="V55" s="243" t="s">
        <v>512</v>
      </c>
      <c r="W55" s="243" t="s">
        <v>149</v>
      </c>
      <c r="X55" s="243" t="s">
        <v>37</v>
      </c>
      <c r="Y55" s="243" t="s">
        <v>2207</v>
      </c>
      <c r="Z55" s="243" t="s">
        <v>2209</v>
      </c>
      <c r="AA55" s="13"/>
      <c r="AB55" s="13"/>
    </row>
    <row r="56" ht="34.5" customHeight="1">
      <c r="A56" s="243" t="s">
        <v>2172</v>
      </c>
      <c r="B56" s="235" t="s">
        <v>1107</v>
      </c>
      <c r="C56" s="235" t="s">
        <v>3792</v>
      </c>
      <c r="D56" s="235" t="s">
        <v>764</v>
      </c>
      <c r="E56" s="235" t="str">
        <f t="array" ref="E56">IFERROR(INDEX(REF_CODES!$B$40:$B$45,MATCH($D56,REF_CODES!$C$40:$C$45,0)),"")</f>
        <v>RA-NAM</v>
      </c>
      <c r="F56" s="235" t="s">
        <v>581</v>
      </c>
      <c r="G56" s="235" t="str">
        <f t="array" ref="G56">IFERROR(INDEX(REF_CODES!$B$34:$B$39,MATCH($F56,REF_CODES!$C$34:$C$39,0)),"")</f>
        <v>RA-DMA</v>
      </c>
      <c r="H56" s="235" t="s">
        <v>3807</v>
      </c>
      <c r="I56" s="235" t="s">
        <v>2306</v>
      </c>
      <c r="J56" s="235" t="s">
        <v>2192</v>
      </c>
      <c r="K56" s="235" t="s">
        <v>3812</v>
      </c>
      <c r="L56" s="235" t="s">
        <v>3813</v>
      </c>
      <c r="M56" s="235" t="s">
        <v>3815</v>
      </c>
      <c r="N56" s="235" t="s">
        <v>195</v>
      </c>
      <c r="O56" s="235" t="s">
        <v>120</v>
      </c>
      <c r="P56" s="235"/>
      <c r="Q56" s="235"/>
      <c r="R56" s="235" t="s">
        <v>161</v>
      </c>
      <c r="S56" s="235" t="s">
        <v>1434</v>
      </c>
      <c r="T56" s="235" t="s">
        <v>2312</v>
      </c>
      <c r="U56" s="235" t="s">
        <v>479</v>
      </c>
      <c r="V56" s="235" t="s">
        <v>512</v>
      </c>
      <c r="W56" s="235" t="s">
        <v>142</v>
      </c>
      <c r="X56" s="235" t="s">
        <v>2434</v>
      </c>
      <c r="Y56" s="235" t="s">
        <v>2207</v>
      </c>
      <c r="Z56" s="235" t="s">
        <v>2209</v>
      </c>
      <c r="AA56" s="13"/>
      <c r="AB56" s="13"/>
      <c r="AC56" s="255">
        <v>49.0</v>
      </c>
    </row>
    <row r="57" ht="23.25" customHeight="1">
      <c r="A57" s="235" t="s">
        <v>2172</v>
      </c>
      <c r="B57" s="243" t="s">
        <v>1107</v>
      </c>
      <c r="C57" s="243" t="s">
        <v>3829</v>
      </c>
      <c r="D57" s="243" t="s">
        <v>764</v>
      </c>
      <c r="E57" s="235" t="str">
        <f t="array" ref="E57">IFERROR(INDEX(REF_CODES!$B$40:$B$45,MATCH($D57,REF_CODES!$C$40:$C$45,0)),"")</f>
        <v>RA-NAM</v>
      </c>
      <c r="F57" s="243" t="s">
        <v>581</v>
      </c>
      <c r="G57" s="235" t="str">
        <f t="array" ref="G57">IFERROR(INDEX(REF_CODES!$B$34:$B$39,MATCH($F57,REF_CODES!$C$34:$C$39,0)),"")</f>
        <v>RA-DMA</v>
      </c>
      <c r="H57" s="243" t="s">
        <v>3841</v>
      </c>
      <c r="I57" s="243" t="s">
        <v>2306</v>
      </c>
      <c r="J57" s="243" t="s">
        <v>2405</v>
      </c>
      <c r="K57" s="243" t="s">
        <v>3843</v>
      </c>
      <c r="L57" s="243" t="s">
        <v>3844</v>
      </c>
      <c r="M57" s="243" t="s">
        <v>3847</v>
      </c>
      <c r="N57" s="243" t="s">
        <v>202</v>
      </c>
      <c r="O57" s="243" t="s">
        <v>120</v>
      </c>
      <c r="P57" s="243"/>
      <c r="Q57" s="243"/>
      <c r="R57" s="243" t="s">
        <v>164</v>
      </c>
      <c r="S57" s="243" t="s">
        <v>2202</v>
      </c>
      <c r="T57" s="243" t="s">
        <v>2312</v>
      </c>
      <c r="U57" s="243" t="s">
        <v>487</v>
      </c>
      <c r="V57" s="243" t="s">
        <v>512</v>
      </c>
      <c r="W57" s="243" t="s">
        <v>142</v>
      </c>
      <c r="X57" s="243" t="s">
        <v>2205</v>
      </c>
      <c r="Y57" s="243" t="s">
        <v>2207</v>
      </c>
      <c r="Z57" s="243" t="s">
        <v>2490</v>
      </c>
      <c r="AA57" s="13"/>
      <c r="AB57" s="13"/>
    </row>
    <row r="58" ht="23.25" customHeight="1">
      <c r="A58" s="243" t="s">
        <v>2172</v>
      </c>
      <c r="B58" s="235" t="s">
        <v>1107</v>
      </c>
      <c r="C58" s="235" t="s">
        <v>3859</v>
      </c>
      <c r="D58" s="235" t="s">
        <v>711</v>
      </c>
      <c r="E58" s="235" t="str">
        <f t="array" ref="E58">IFERROR(INDEX(REF_CODES!$B$40:$B$45,MATCH($D58,REF_CODES!$C$40:$C$45,0)),"")</f>
        <v>RA-NGA</v>
      </c>
      <c r="F58" s="235" t="s">
        <v>546</v>
      </c>
      <c r="G58" s="235" t="str">
        <f t="array" ref="G58">IFERROR(INDEX(REF_CODES!$B$34:$B$39,MATCH($F58,REF_CODES!$C$34:$C$39,0)),"")</f>
        <v>RA-DBR</v>
      </c>
      <c r="H58" s="235" t="s">
        <v>3872</v>
      </c>
      <c r="I58" s="235" t="s">
        <v>2191</v>
      </c>
      <c r="J58" s="235" t="s">
        <v>2192</v>
      </c>
      <c r="K58" s="235" t="s">
        <v>3873</v>
      </c>
      <c r="L58" s="235" t="s">
        <v>3874</v>
      </c>
      <c r="M58" s="235" t="s">
        <v>3875</v>
      </c>
      <c r="N58" s="235" t="s">
        <v>195</v>
      </c>
      <c r="O58" s="235" t="s">
        <v>120</v>
      </c>
      <c r="P58" s="235"/>
      <c r="Q58" s="235"/>
      <c r="R58" s="235" t="s">
        <v>161</v>
      </c>
      <c r="S58" s="235" t="s">
        <v>1434</v>
      </c>
      <c r="T58" s="235" t="s">
        <v>2312</v>
      </c>
      <c r="U58" s="235" t="s">
        <v>479</v>
      </c>
      <c r="V58" s="235" t="s">
        <v>512</v>
      </c>
      <c r="W58" s="235" t="s">
        <v>142</v>
      </c>
      <c r="X58" s="235" t="s">
        <v>37</v>
      </c>
      <c r="Y58" s="235" t="s">
        <v>2207</v>
      </c>
      <c r="Z58" s="235" t="s">
        <v>2209</v>
      </c>
      <c r="AA58" s="13"/>
      <c r="AB58" s="13"/>
    </row>
    <row r="59" ht="23.25" customHeight="1">
      <c r="A59" s="235" t="s">
        <v>2172</v>
      </c>
      <c r="B59" s="243" t="s">
        <v>1107</v>
      </c>
      <c r="C59" s="243" t="s">
        <v>3885</v>
      </c>
      <c r="D59" s="243" t="s">
        <v>711</v>
      </c>
      <c r="E59" s="235" t="str">
        <f t="array" ref="E59">IFERROR(INDEX(REF_CODES!$B$40:$B$45,MATCH($D59,REF_CODES!$C$40:$C$45,0)),"")</f>
        <v>RA-NGA</v>
      </c>
      <c r="F59" s="243" t="s">
        <v>546</v>
      </c>
      <c r="G59" s="235" t="str">
        <f t="array" ref="G59">IFERROR(INDEX(REF_CODES!$B$34:$B$39,MATCH($F59,REF_CODES!$C$34:$C$39,0)),"")</f>
        <v>RA-DBR</v>
      </c>
      <c r="H59" s="243" t="s">
        <v>3901</v>
      </c>
      <c r="I59" s="243" t="s">
        <v>2191</v>
      </c>
      <c r="J59" s="243" t="s">
        <v>2192</v>
      </c>
      <c r="K59" s="243" t="s">
        <v>2191</v>
      </c>
      <c r="L59" s="243"/>
      <c r="M59" s="243" t="s">
        <v>3904</v>
      </c>
      <c r="N59" s="243" t="s">
        <v>195</v>
      </c>
      <c r="O59" s="243" t="s">
        <v>120</v>
      </c>
      <c r="P59" s="243"/>
      <c r="Q59" s="243"/>
      <c r="R59" s="243" t="s">
        <v>161</v>
      </c>
      <c r="S59" s="243" t="s">
        <v>1434</v>
      </c>
      <c r="T59" s="243" t="s">
        <v>2203</v>
      </c>
      <c r="U59" s="243" t="s">
        <v>465</v>
      </c>
      <c r="V59" s="243" t="s">
        <v>503</v>
      </c>
      <c r="W59" s="243" t="s">
        <v>142</v>
      </c>
      <c r="X59" s="243" t="s">
        <v>31</v>
      </c>
      <c r="Y59" s="243" t="s">
        <v>2207</v>
      </c>
      <c r="Z59" s="243" t="s">
        <v>3404</v>
      </c>
      <c r="AA59" s="13"/>
      <c r="AB59" s="13"/>
    </row>
    <row r="60" ht="23.25" customHeight="1">
      <c r="A60" s="243" t="s">
        <v>2172</v>
      </c>
      <c r="B60" s="235" t="s">
        <v>1107</v>
      </c>
      <c r="C60" s="235" t="s">
        <v>3913</v>
      </c>
      <c r="D60" s="235" t="s">
        <v>711</v>
      </c>
      <c r="E60" s="235" t="str">
        <f t="array" ref="E60">IFERROR(INDEX(REF_CODES!$B$40:$B$45,MATCH($D60,REF_CODES!$C$40:$C$45,0)),"")</f>
        <v>RA-NGA</v>
      </c>
      <c r="F60" s="235" t="s">
        <v>546</v>
      </c>
      <c r="G60" s="235" t="str">
        <f t="array" ref="G60">IFERROR(INDEX(REF_CODES!$B$34:$B$39,MATCH($F60,REF_CODES!$C$34:$C$39,0)),"")</f>
        <v>RA-DBR</v>
      </c>
      <c r="H60" s="235" t="s">
        <v>3924</v>
      </c>
      <c r="I60" s="235" t="s">
        <v>2191</v>
      </c>
      <c r="J60" s="235" t="s">
        <v>2192</v>
      </c>
      <c r="K60" s="235" t="s">
        <v>3926</v>
      </c>
      <c r="L60" s="235" t="s">
        <v>3928</v>
      </c>
      <c r="M60" s="235" t="s">
        <v>3929</v>
      </c>
      <c r="N60" s="235" t="s">
        <v>195</v>
      </c>
      <c r="O60" s="235" t="s">
        <v>120</v>
      </c>
      <c r="P60" s="235"/>
      <c r="Q60" s="235"/>
      <c r="R60" s="235" t="s">
        <v>161</v>
      </c>
      <c r="S60" s="235" t="s">
        <v>2202</v>
      </c>
      <c r="T60" s="235" t="s">
        <v>2312</v>
      </c>
      <c r="U60" s="235" t="s">
        <v>479</v>
      </c>
      <c r="V60" s="235" t="s">
        <v>512</v>
      </c>
      <c r="W60" s="235" t="s">
        <v>149</v>
      </c>
      <c r="X60" s="235" t="s">
        <v>43</v>
      </c>
      <c r="Y60" s="235" t="s">
        <v>2207</v>
      </c>
      <c r="Z60" s="235" t="s">
        <v>3939</v>
      </c>
      <c r="AA60" s="13"/>
      <c r="AB60" s="13"/>
    </row>
    <row r="61" ht="34.5" customHeight="1">
      <c r="A61" s="235" t="s">
        <v>2172</v>
      </c>
      <c r="B61" s="243" t="s">
        <v>1107</v>
      </c>
      <c r="C61" s="243" t="s">
        <v>3942</v>
      </c>
      <c r="D61" s="243" t="s">
        <v>754</v>
      </c>
      <c r="E61" s="235" t="str">
        <f t="array" ref="E61">IFERROR(INDEX(REF_CODES!$B$40:$B$45,MATCH($D61,REF_CODES!$C$40:$C$45,0)),"")</f>
        <v>RA-NVE</v>
      </c>
      <c r="F61" s="243" t="s">
        <v>564</v>
      </c>
      <c r="G61" s="235" t="str">
        <f t="array" ref="G61">IFERROR(INDEX(REF_CODES!$B$34:$B$39,MATCH($F61,REF_CODES!$C$34:$C$39,0)),"")</f>
        <v>RA-DLE</v>
      </c>
      <c r="H61" s="243" t="s">
        <v>3180</v>
      </c>
      <c r="I61" s="243" t="s">
        <v>2306</v>
      </c>
      <c r="J61" s="243" t="s">
        <v>2192</v>
      </c>
      <c r="K61" s="243" t="s">
        <v>3958</v>
      </c>
      <c r="L61" s="243" t="s">
        <v>3186</v>
      </c>
      <c r="M61" s="243" t="s">
        <v>3960</v>
      </c>
      <c r="N61" s="243" t="s">
        <v>195</v>
      </c>
      <c r="O61" s="243" t="s">
        <v>120</v>
      </c>
      <c r="P61" s="243"/>
      <c r="Q61" s="243" t="s">
        <v>402</v>
      </c>
      <c r="R61" s="243" t="s">
        <v>161</v>
      </c>
      <c r="S61" s="243" t="s">
        <v>1434</v>
      </c>
      <c r="T61" s="243" t="s">
        <v>2312</v>
      </c>
      <c r="U61" s="243" t="s">
        <v>479</v>
      </c>
      <c r="V61" s="243" t="s">
        <v>512</v>
      </c>
      <c r="W61" s="243" t="s">
        <v>142</v>
      </c>
      <c r="X61" s="243" t="s">
        <v>37</v>
      </c>
      <c r="Y61" s="243" t="s">
        <v>2207</v>
      </c>
      <c r="Z61" s="243" t="s">
        <v>3703</v>
      </c>
      <c r="AA61" s="13"/>
      <c r="AB61" s="13"/>
    </row>
    <row r="62" ht="23.25" customHeight="1">
      <c r="A62" s="243" t="s">
        <v>2172</v>
      </c>
      <c r="B62" s="235" t="s">
        <v>1107</v>
      </c>
      <c r="C62" s="235" t="s">
        <v>3970</v>
      </c>
      <c r="D62" s="235" t="s">
        <v>711</v>
      </c>
      <c r="E62" s="235" t="str">
        <f t="array" ref="E62">IFERROR(INDEX(REF_CODES!$B$40:$B$45,MATCH($D62,REF_CODES!$C$40:$C$45,0)),"")</f>
        <v>RA-NGA</v>
      </c>
      <c r="F62" s="235" t="s">
        <v>628</v>
      </c>
      <c r="G62" s="235" t="str">
        <f t="array" ref="G62">IFERROR(INDEX(REF_CODES!$B$34:$B$39,MATCH($F62,REF_CODES!$C$34:$C$39,0)),"")</f>
        <v>RA-DSI</v>
      </c>
      <c r="H62" s="235" t="s">
        <v>3983</v>
      </c>
      <c r="I62" s="235" t="s">
        <v>2224</v>
      </c>
      <c r="J62" s="235" t="s">
        <v>2405</v>
      </c>
      <c r="K62" s="235" t="s">
        <v>3989</v>
      </c>
      <c r="L62" s="235" t="s">
        <v>3990</v>
      </c>
      <c r="M62" s="235" t="s">
        <v>3991</v>
      </c>
      <c r="N62" s="235" t="s">
        <v>202</v>
      </c>
      <c r="O62" s="235" t="s">
        <v>120</v>
      </c>
      <c r="P62" s="235"/>
      <c r="Q62" s="235"/>
      <c r="R62" s="235" t="s">
        <v>164</v>
      </c>
      <c r="S62" s="235" t="s">
        <v>1434</v>
      </c>
      <c r="T62" s="235" t="s">
        <v>2312</v>
      </c>
      <c r="U62" s="235" t="s">
        <v>487</v>
      </c>
      <c r="V62" s="235" t="s">
        <v>512</v>
      </c>
      <c r="W62" s="235" t="s">
        <v>149</v>
      </c>
      <c r="X62" s="235" t="s">
        <v>37</v>
      </c>
      <c r="Y62" s="235" t="s">
        <v>2207</v>
      </c>
      <c r="Z62" s="235" t="s">
        <v>2490</v>
      </c>
      <c r="AA62" s="13"/>
      <c r="AB62" s="13"/>
    </row>
    <row r="63" ht="34.5" customHeight="1">
      <c r="A63" s="235" t="s">
        <v>2172</v>
      </c>
      <c r="B63" s="243" t="s">
        <v>1107</v>
      </c>
      <c r="C63" s="243" t="s">
        <v>4002</v>
      </c>
      <c r="D63" s="243" t="s">
        <v>711</v>
      </c>
      <c r="E63" s="235" t="str">
        <f t="array" ref="E63">IFERROR(INDEX(REF_CODES!$B$40:$B$45,MATCH($D63,REF_CODES!$C$40:$C$45,0)),"")</f>
        <v>RA-NGA</v>
      </c>
      <c r="F63" s="243" t="s">
        <v>610</v>
      </c>
      <c r="G63" s="235" t="str">
        <f t="array" ref="G63">IFERROR(INDEX(REF_CODES!$B$34:$B$39,MATCH($F63,REF_CODES!$C$34:$C$39,0)),"")</f>
        <v>RA-DNA</v>
      </c>
      <c r="H63" s="243" t="s">
        <v>4023</v>
      </c>
      <c r="I63" s="243" t="s">
        <v>2511</v>
      </c>
      <c r="J63" s="243" t="s">
        <v>2512</v>
      </c>
      <c r="K63" s="243" t="s">
        <v>3523</v>
      </c>
      <c r="L63" s="243" t="s">
        <v>4025</v>
      </c>
      <c r="M63" s="243" t="s">
        <v>4026</v>
      </c>
      <c r="N63" s="243" t="s">
        <v>202</v>
      </c>
      <c r="O63" s="243" t="s">
        <v>120</v>
      </c>
      <c r="P63" s="243"/>
      <c r="Q63" s="243"/>
      <c r="R63" s="243" t="s">
        <v>167</v>
      </c>
      <c r="S63" s="243" t="s">
        <v>1434</v>
      </c>
      <c r="T63" s="243" t="s">
        <v>2203</v>
      </c>
      <c r="U63" s="243" t="s">
        <v>487</v>
      </c>
      <c r="V63" s="243" t="s">
        <v>512</v>
      </c>
      <c r="W63" s="243" t="s">
        <v>133</v>
      </c>
      <c r="X63" s="243" t="s">
        <v>2487</v>
      </c>
      <c r="Y63" s="243" t="s">
        <v>2207</v>
      </c>
      <c r="Z63" s="243" t="s">
        <v>2460</v>
      </c>
      <c r="AA63" s="13"/>
      <c r="AB63" s="13"/>
    </row>
    <row r="64" ht="23.25" customHeight="1">
      <c r="A64" s="243" t="s">
        <v>2172</v>
      </c>
      <c r="B64" s="235" t="s">
        <v>1107</v>
      </c>
      <c r="C64" s="235" t="s">
        <v>4036</v>
      </c>
      <c r="D64" s="235" t="s">
        <v>741</v>
      </c>
      <c r="E64" s="235" t="str">
        <f t="array" ref="E64">IFERROR(INDEX(REF_CODES!$B$40:$B$45,MATCH($D64,REF_CODES!$C$40:$C$45,0)),"")</f>
        <v>RA-NFE</v>
      </c>
      <c r="F64" s="235" t="s">
        <v>628</v>
      </c>
      <c r="G64" s="235" t="str">
        <f t="array" ref="G64">IFERROR(INDEX(REF_CODES!$B$34:$B$39,MATCH($F64,REF_CODES!$C$34:$C$39,0)),"")</f>
        <v>RA-DSI</v>
      </c>
      <c r="H64" s="235" t="s">
        <v>3630</v>
      </c>
      <c r="I64" s="235" t="s">
        <v>2224</v>
      </c>
      <c r="J64" s="235" t="s">
        <v>2405</v>
      </c>
      <c r="K64" s="235" t="s">
        <v>4061</v>
      </c>
      <c r="L64" s="256" t="s">
        <v>4062</v>
      </c>
      <c r="M64" s="235" t="s">
        <v>4063</v>
      </c>
      <c r="N64" s="235" t="s">
        <v>202</v>
      </c>
      <c r="O64" s="235" t="s">
        <v>120</v>
      </c>
      <c r="P64" s="235"/>
      <c r="Q64" s="235" t="s">
        <v>2383</v>
      </c>
      <c r="R64" s="235" t="s">
        <v>164</v>
      </c>
      <c r="S64" s="235" t="s">
        <v>1434</v>
      </c>
      <c r="T64" s="235" t="s">
        <v>2203</v>
      </c>
      <c r="U64" s="235" t="s">
        <v>487</v>
      </c>
      <c r="V64" s="235" t="s">
        <v>512</v>
      </c>
      <c r="W64" s="235" t="s">
        <v>142</v>
      </c>
      <c r="X64" s="235" t="s">
        <v>31</v>
      </c>
      <c r="Y64" s="235" t="s">
        <v>2207</v>
      </c>
      <c r="Z64" s="235" t="s">
        <v>4073</v>
      </c>
      <c r="AA64" s="13"/>
      <c r="AB64" s="13"/>
    </row>
    <row r="65" ht="23.25" customHeight="1">
      <c r="A65" s="235" t="s">
        <v>2172</v>
      </c>
      <c r="B65" s="243" t="s">
        <v>1107</v>
      </c>
      <c r="C65" s="243" t="s">
        <v>4074</v>
      </c>
      <c r="D65" s="243" t="s">
        <v>741</v>
      </c>
      <c r="E65" s="235" t="str">
        <f t="array" ref="E65">IFERROR(INDEX(REF_CODES!$B$40:$B$45,MATCH($D65,REF_CODES!$C$40:$C$45,0)),"")</f>
        <v>RA-NFE</v>
      </c>
      <c r="F65" s="243" t="s">
        <v>594</v>
      </c>
      <c r="G65" s="235" t="str">
        <f t="array" ref="G65">IFERROR(INDEX(REF_CODES!$B$34:$B$39,MATCH($F65,REF_CODES!$C$34:$C$39,0)),"")</f>
        <v>RA-DPO</v>
      </c>
      <c r="H65" s="243" t="s">
        <v>3650</v>
      </c>
      <c r="I65" s="243" t="s">
        <v>3139</v>
      </c>
      <c r="J65" s="243" t="s">
        <v>2192</v>
      </c>
      <c r="K65" s="243" t="s">
        <v>4087</v>
      </c>
      <c r="L65" s="248" t="s">
        <v>4089</v>
      </c>
      <c r="M65" s="243" t="s">
        <v>4093</v>
      </c>
      <c r="N65" s="243" t="s">
        <v>195</v>
      </c>
      <c r="O65" s="243" t="s">
        <v>110</v>
      </c>
      <c r="P65" s="243"/>
      <c r="Q65" s="243" t="s">
        <v>405</v>
      </c>
      <c r="R65" s="243" t="s">
        <v>161</v>
      </c>
      <c r="S65" s="243" t="s">
        <v>1434</v>
      </c>
      <c r="T65" s="243" t="s">
        <v>2312</v>
      </c>
      <c r="U65" s="243" t="s">
        <v>479</v>
      </c>
      <c r="V65" s="243" t="s">
        <v>512</v>
      </c>
      <c r="W65" s="243" t="s">
        <v>133</v>
      </c>
      <c r="X65" s="243" t="s">
        <v>52</v>
      </c>
      <c r="Y65" s="243" t="s">
        <v>2207</v>
      </c>
      <c r="Z65" s="243" t="s">
        <v>4097</v>
      </c>
      <c r="AA65" s="13"/>
      <c r="AB65" s="13"/>
    </row>
    <row r="66" ht="23.25" customHeight="1">
      <c r="A66" s="243" t="s">
        <v>2172</v>
      </c>
      <c r="B66" s="235" t="s">
        <v>1107</v>
      </c>
      <c r="C66" s="235" t="s">
        <v>4100</v>
      </c>
      <c r="D66" s="235" t="s">
        <v>741</v>
      </c>
      <c r="E66" s="235" t="str">
        <f t="array" ref="E66">IFERROR(INDEX(REF_CODES!$B$40:$B$45,MATCH($D66,REF_CODES!$C$40:$C$45,0)),"")</f>
        <v>RA-NFE</v>
      </c>
      <c r="F66" s="235" t="s">
        <v>594</v>
      </c>
      <c r="G66" s="235" t="str">
        <f t="array" ref="G66">IFERROR(INDEX(REF_CODES!$B$34:$B$39,MATCH($F66,REF_CODES!$C$34:$C$39,0)),"")</f>
        <v>RA-DPO</v>
      </c>
      <c r="H66" s="235" t="s">
        <v>4117</v>
      </c>
      <c r="I66" s="235" t="s">
        <v>3139</v>
      </c>
      <c r="J66" s="235" t="s">
        <v>2405</v>
      </c>
      <c r="K66" s="235" t="s">
        <v>2519</v>
      </c>
      <c r="L66" s="256" t="s">
        <v>4119</v>
      </c>
      <c r="M66" s="235" t="s">
        <v>4120</v>
      </c>
      <c r="N66" s="235" t="s">
        <v>202</v>
      </c>
      <c r="O66" s="235" t="s">
        <v>120</v>
      </c>
      <c r="P66" s="235"/>
      <c r="Q66" s="235" t="s">
        <v>2237</v>
      </c>
      <c r="R66" s="235" t="s">
        <v>164</v>
      </c>
      <c r="S66" s="235" t="s">
        <v>1434</v>
      </c>
      <c r="T66" s="235" t="s">
        <v>2203</v>
      </c>
      <c r="U66" s="235" t="s">
        <v>487</v>
      </c>
      <c r="V66" s="235" t="s">
        <v>512</v>
      </c>
      <c r="W66" s="235" t="s">
        <v>149</v>
      </c>
      <c r="X66" s="235" t="s">
        <v>2205</v>
      </c>
      <c r="Y66" s="235" t="s">
        <v>2207</v>
      </c>
      <c r="Z66" s="235" t="s">
        <v>2460</v>
      </c>
      <c r="AA66" s="13"/>
      <c r="AB66" s="13"/>
      <c r="AC66" s="255">
        <v>103.0</v>
      </c>
    </row>
    <row r="67" ht="15.0" customHeight="1">
      <c r="A67" s="243" t="s">
        <v>2172</v>
      </c>
      <c r="B67" s="243" t="s">
        <v>1107</v>
      </c>
      <c r="C67" s="243" t="s">
        <v>4131</v>
      </c>
      <c r="D67" s="243" t="s">
        <v>741</v>
      </c>
      <c r="E67" s="235" t="str">
        <f t="array" ref="E67">IFERROR(INDEX(REF_CODES!$B$40:$B$45,MATCH($D67,REF_CODES!$C$40:$C$45,0)),"")</f>
        <v>RA-NFE</v>
      </c>
      <c r="F67" s="243" t="s">
        <v>628</v>
      </c>
      <c r="G67" s="235" t="str">
        <f t="array" ref="G67">IFERROR(INDEX(REF_CODES!$B$34:$B$39,MATCH($F67,REF_CODES!$C$34:$C$39,0)),"")</f>
        <v>RA-DSI</v>
      </c>
      <c r="H67" s="243" t="s">
        <v>4143</v>
      </c>
      <c r="I67" s="243" t="s">
        <v>3139</v>
      </c>
      <c r="J67" s="243" t="s">
        <v>2405</v>
      </c>
      <c r="K67" s="243" t="s">
        <v>2519</v>
      </c>
      <c r="L67" s="248" t="s">
        <v>4011</v>
      </c>
      <c r="M67" s="243" t="s">
        <v>4146</v>
      </c>
      <c r="N67" s="243" t="s">
        <v>202</v>
      </c>
      <c r="O67" s="243" t="s">
        <v>110</v>
      </c>
      <c r="P67" s="243"/>
      <c r="Q67" s="243" t="s">
        <v>405</v>
      </c>
      <c r="R67" s="243" t="s">
        <v>164</v>
      </c>
      <c r="S67" s="243" t="s">
        <v>1434</v>
      </c>
      <c r="T67" s="243" t="s">
        <v>2203</v>
      </c>
      <c r="U67" s="243" t="s">
        <v>487</v>
      </c>
      <c r="V67" s="243" t="s">
        <v>512</v>
      </c>
      <c r="W67" s="243" t="s">
        <v>146</v>
      </c>
      <c r="X67" s="243" t="s">
        <v>31</v>
      </c>
      <c r="Y67" s="243" t="s">
        <v>2207</v>
      </c>
      <c r="Z67" s="243" t="s">
        <v>4073</v>
      </c>
      <c r="AA67" s="13"/>
      <c r="AB67" s="13"/>
    </row>
    <row r="68" ht="15.0" customHeight="1">
      <c r="A68" s="243" t="s">
        <v>2172</v>
      </c>
      <c r="B68" s="243" t="s">
        <v>1107</v>
      </c>
      <c r="C68" s="243" t="s">
        <v>4157</v>
      </c>
      <c r="D68" s="243" t="s">
        <v>741</v>
      </c>
      <c r="E68" s="235" t="str">
        <f t="array" ref="E68">IFERROR(INDEX(REF_CODES!$B$40:$B$45,MATCH($D68,REF_CODES!$C$40:$C$45,0)),"")</f>
        <v>RA-NFE</v>
      </c>
      <c r="F68" s="235"/>
      <c r="G68" s="235" t="str">
        <f t="array" ref="G68">IFERROR(INDEX(REF_CODES!$B$34:$B$39,MATCH($F68,REF_CODES!$C$34:$C$39,0)),"")</f>
        <v/>
      </c>
      <c r="H68" s="243" t="s">
        <v>4173</v>
      </c>
      <c r="I68" s="243" t="s">
        <v>4174</v>
      </c>
      <c r="J68" s="243" t="s">
        <v>1229</v>
      </c>
      <c r="K68" s="274" t="s">
        <v>2208</v>
      </c>
      <c r="L68" s="248" t="s">
        <v>4176</v>
      </c>
      <c r="M68" s="243" t="s">
        <v>4178</v>
      </c>
      <c r="N68" s="243" t="s">
        <v>188</v>
      </c>
      <c r="O68" s="243" t="s">
        <v>110</v>
      </c>
      <c r="P68" s="243" t="s">
        <v>2196</v>
      </c>
      <c r="Q68" s="243" t="s">
        <v>405</v>
      </c>
      <c r="R68" s="243" t="s">
        <v>153</v>
      </c>
      <c r="S68" s="243" t="s">
        <v>1434</v>
      </c>
      <c r="T68" s="243" t="s">
        <v>2312</v>
      </c>
      <c r="U68" s="243" t="s">
        <v>463</v>
      </c>
      <c r="V68" s="243" t="s">
        <v>498</v>
      </c>
      <c r="W68" s="243" t="s">
        <v>146</v>
      </c>
      <c r="X68" s="243" t="s">
        <v>4183</v>
      </c>
      <c r="Y68" s="243" t="s">
        <v>2207</v>
      </c>
      <c r="Z68" s="243" t="s">
        <v>1229</v>
      </c>
      <c r="AA68" s="13"/>
      <c r="AB68" s="13"/>
    </row>
    <row r="69" ht="15.0" customHeight="1">
      <c r="A69" s="269" t="s">
        <v>2172</v>
      </c>
      <c r="B69" s="269" t="s">
        <v>1107</v>
      </c>
      <c r="C69" s="269" t="s">
        <v>4185</v>
      </c>
      <c r="D69" s="269" t="s">
        <v>754</v>
      </c>
      <c r="E69" s="243" t="str">
        <f t="array" ref="E69">IFERROR(INDEX(REF_CODES!$B$40:$B$45,MATCH($D69,REF_CODES!$C$40:$C$45,0)),"")</f>
        <v>RA-NVE</v>
      </c>
      <c r="F69" s="269"/>
      <c r="G69" s="243" t="str">
        <f t="array" ref="G69">IFERROR(INDEX(REF_CODES!$B$34:$B$39,MATCH($F69,REF_CODES!$C$34:$C$39,0)),"")</f>
        <v/>
      </c>
      <c r="H69" s="269" t="s">
        <v>4194</v>
      </c>
      <c r="I69" s="269" t="s">
        <v>2306</v>
      </c>
      <c r="J69" s="269" t="s">
        <v>2405</v>
      </c>
      <c r="K69" s="269"/>
      <c r="L69" s="280" t="s">
        <v>4195</v>
      </c>
      <c r="M69" s="269" t="s">
        <v>4198</v>
      </c>
      <c r="N69" s="269"/>
      <c r="O69" s="269"/>
      <c r="P69" s="269"/>
      <c r="Q69" s="269"/>
      <c r="R69" s="269"/>
      <c r="S69" s="269"/>
      <c r="T69" s="269"/>
      <c r="U69" s="269"/>
      <c r="V69" s="269"/>
      <c r="W69" s="269"/>
      <c r="X69" s="269"/>
      <c r="Y69" s="269"/>
      <c r="Z69" s="269"/>
      <c r="AA69" s="13"/>
      <c r="AB69" s="13"/>
      <c r="AC69" s="255">
        <v>47.0</v>
      </c>
    </row>
    <row r="70" ht="15.0" customHeight="1">
      <c r="A70" s="269" t="s">
        <v>2172</v>
      </c>
      <c r="B70" s="269" t="s">
        <v>1107</v>
      </c>
      <c r="C70" s="269" t="s">
        <v>4202</v>
      </c>
      <c r="D70" s="269" t="s">
        <v>754</v>
      </c>
      <c r="E70" s="243" t="str">
        <f t="array" ref="E70">IFERROR(INDEX(REF_CODES!$B$40:$B$45,MATCH($D70,REF_CODES!$C$40:$C$45,0)),"")</f>
        <v>RA-NVE</v>
      </c>
      <c r="F70" s="269"/>
      <c r="G70" s="243" t="str">
        <f t="array" ref="G70">IFERROR(INDEX(REF_CODES!$B$34:$B$39,MATCH($F70,REF_CODES!$C$34:$C$39,0)),"")</f>
        <v/>
      </c>
      <c r="H70" s="269" t="s">
        <v>4213</v>
      </c>
      <c r="I70" s="269" t="s">
        <v>2306</v>
      </c>
      <c r="J70" s="269" t="s">
        <v>2192</v>
      </c>
      <c r="K70" s="269"/>
      <c r="L70" s="280" t="s">
        <v>4214</v>
      </c>
      <c r="M70" s="269" t="s">
        <v>4216</v>
      </c>
      <c r="N70" s="269"/>
      <c r="O70" s="269"/>
      <c r="P70" s="269"/>
      <c r="Q70" s="269"/>
      <c r="R70" s="269"/>
      <c r="S70" s="269"/>
      <c r="T70" s="269"/>
      <c r="U70" s="269"/>
      <c r="V70" s="269"/>
      <c r="W70" s="269"/>
      <c r="X70" s="269"/>
      <c r="Y70" s="269"/>
      <c r="Z70" s="269"/>
      <c r="AA70" s="13"/>
      <c r="AB70" s="13"/>
      <c r="AC70" s="255">
        <v>12.0</v>
      </c>
    </row>
    <row r="71" ht="15.0" customHeight="1">
      <c r="A71" s="269" t="s">
        <v>2172</v>
      </c>
      <c r="B71" s="269" t="s">
        <v>1107</v>
      </c>
      <c r="C71" s="269" t="s">
        <v>4218</v>
      </c>
      <c r="D71" s="269" t="s">
        <v>754</v>
      </c>
      <c r="E71" s="243" t="str">
        <f t="array" ref="E71">IFERROR(INDEX(REF_CODES!$B$40:$B$45,MATCH($D71,REF_CODES!$C$40:$C$45,0)),"")</f>
        <v>RA-NVE</v>
      </c>
      <c r="F71" s="269"/>
      <c r="G71" s="243" t="str">
        <f t="array" ref="G71">IFERROR(INDEX(REF_CODES!$B$34:$B$39,MATCH($F71,REF_CODES!$C$34:$C$39,0)),"")</f>
        <v/>
      </c>
      <c r="H71" s="269" t="s">
        <v>3033</v>
      </c>
      <c r="I71" s="269" t="s">
        <v>3035</v>
      </c>
      <c r="J71" s="269" t="s">
        <v>2192</v>
      </c>
      <c r="K71" s="269"/>
      <c r="L71" s="280" t="s">
        <v>4229</v>
      </c>
      <c r="M71" s="269" t="s">
        <v>4230</v>
      </c>
      <c r="N71" s="269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  <c r="AA71" s="13"/>
      <c r="AB71" s="13"/>
      <c r="AC71" s="255">
        <v>35.0</v>
      </c>
    </row>
    <row r="72" ht="15.0" customHeight="1">
      <c r="A72" s="269" t="s">
        <v>2172</v>
      </c>
      <c r="B72" s="269" t="s">
        <v>1107</v>
      </c>
      <c r="C72" s="269" t="s">
        <v>4233</v>
      </c>
      <c r="D72" s="269" t="s">
        <v>754</v>
      </c>
      <c r="E72" s="243" t="str">
        <f t="array" ref="E72">IFERROR(INDEX(REF_CODES!$B$40:$B$45,MATCH($D72,REF_CODES!$C$40:$C$45,0)),"")</f>
        <v>RA-NVE</v>
      </c>
      <c r="F72" s="269"/>
      <c r="G72" s="243" t="str">
        <f t="array" ref="G72">IFERROR(INDEX(REF_CODES!$B$34:$B$39,MATCH($F72,REF_CODES!$C$34:$C$39,0)),"")</f>
        <v/>
      </c>
      <c r="H72" s="269" t="s">
        <v>4242</v>
      </c>
      <c r="I72" s="269" t="s">
        <v>2306</v>
      </c>
      <c r="J72" s="269" t="s">
        <v>2192</v>
      </c>
      <c r="K72" s="269"/>
      <c r="L72" s="280" t="s">
        <v>4245</v>
      </c>
      <c r="M72" s="269" t="s">
        <v>4246</v>
      </c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69"/>
      <c r="Y72" s="269"/>
      <c r="Z72" s="269"/>
      <c r="AA72" s="13"/>
      <c r="AB72" s="13"/>
      <c r="AC72" s="255">
        <v>12.0</v>
      </c>
    </row>
    <row r="73" ht="15.0" customHeight="1">
      <c r="A73" s="269" t="s">
        <v>2172</v>
      </c>
      <c r="B73" s="269" t="s">
        <v>1107</v>
      </c>
      <c r="C73" s="269" t="s">
        <v>4249</v>
      </c>
      <c r="D73" s="269" t="s">
        <v>754</v>
      </c>
      <c r="E73" s="243" t="str">
        <f t="array" ref="E73">IFERROR(INDEX(REF_CODES!$B$40:$B$45,MATCH($D73,REF_CODES!$C$40:$C$45,0)),"")</f>
        <v>RA-NVE</v>
      </c>
      <c r="F73" s="269"/>
      <c r="G73" s="243" t="str">
        <f t="array" ref="G73">IFERROR(INDEX(REF_CODES!$B$34:$B$39,MATCH($F73,REF_CODES!$C$34:$C$39,0)),"")</f>
        <v/>
      </c>
      <c r="H73" s="269" t="s">
        <v>4257</v>
      </c>
      <c r="I73" s="269" t="s">
        <v>2191</v>
      </c>
      <c r="J73" s="269" t="s">
        <v>2192</v>
      </c>
      <c r="K73" s="269"/>
      <c r="L73" s="280" t="s">
        <v>4258</v>
      </c>
      <c r="M73" s="269" t="s">
        <v>4259</v>
      </c>
      <c r="N73" s="269"/>
      <c r="O73" s="269"/>
      <c r="P73" s="269"/>
      <c r="Q73" s="269"/>
      <c r="R73" s="269"/>
      <c r="S73" s="269"/>
      <c r="T73" s="269"/>
      <c r="U73" s="269"/>
      <c r="V73" s="269"/>
      <c r="W73" s="269"/>
      <c r="X73" s="269"/>
      <c r="Y73" s="269"/>
      <c r="Z73" s="269"/>
      <c r="AA73" s="13"/>
      <c r="AB73" s="13"/>
      <c r="AC73" s="255">
        <v>35.0</v>
      </c>
    </row>
    <row r="74" ht="15.0" customHeight="1">
      <c r="A74" s="269" t="s">
        <v>2172</v>
      </c>
      <c r="B74" s="269" t="s">
        <v>1107</v>
      </c>
      <c r="C74" s="269" t="s">
        <v>4266</v>
      </c>
      <c r="D74" s="269" t="s">
        <v>754</v>
      </c>
      <c r="E74" s="243" t="str">
        <f t="array" ref="E74">IFERROR(INDEX(REF_CODES!$B$40:$B$45,MATCH($D74,REF_CODES!$C$40:$C$45,0)),"")</f>
        <v>RA-NVE</v>
      </c>
      <c r="F74" s="269"/>
      <c r="G74" s="243" t="str">
        <f t="array" ref="G74">IFERROR(INDEX(REF_CODES!$B$34:$B$39,MATCH($F74,REF_CODES!$C$34:$C$39,0)),"")</f>
        <v/>
      </c>
      <c r="H74" s="269" t="s">
        <v>4271</v>
      </c>
      <c r="I74" s="269" t="s">
        <v>2224</v>
      </c>
      <c r="J74" s="269" t="s">
        <v>2512</v>
      </c>
      <c r="K74" s="269"/>
      <c r="L74" s="280" t="s">
        <v>4272</v>
      </c>
      <c r="M74" s="269" t="s">
        <v>4273</v>
      </c>
      <c r="N74" s="269"/>
      <c r="O74" s="269"/>
      <c r="P74" s="269"/>
      <c r="Q74" s="269"/>
      <c r="R74" s="269"/>
      <c r="S74" s="269"/>
      <c r="T74" s="269"/>
      <c r="U74" s="269"/>
      <c r="V74" s="269"/>
      <c r="W74" s="269"/>
      <c r="X74" s="269"/>
      <c r="Y74" s="269"/>
      <c r="Z74" s="269"/>
      <c r="AA74" s="13"/>
      <c r="AB74" s="13"/>
      <c r="AC74" s="255">
        <v>70.0</v>
      </c>
    </row>
    <row r="75" ht="15.0" customHeight="1">
      <c r="A75" s="269" t="s">
        <v>2172</v>
      </c>
      <c r="B75" s="269" t="s">
        <v>1107</v>
      </c>
      <c r="C75" s="269" t="s">
        <v>4280</v>
      </c>
      <c r="D75" s="269" t="s">
        <v>741</v>
      </c>
      <c r="E75" s="243" t="str">
        <f t="array" ref="E75">IFERROR(INDEX(REF_CODES!$B$40:$B$45,MATCH($D75,REF_CODES!$C$40:$C$45,0)),"")</f>
        <v>RA-NFE</v>
      </c>
      <c r="F75" s="269"/>
      <c r="G75" s="243" t="str">
        <f t="array" ref="G75">IFERROR(INDEX(REF_CODES!$B$34:$B$39,MATCH($F75,REF_CODES!$C$34:$C$39,0)),"")</f>
        <v/>
      </c>
      <c r="H75" s="269" t="s">
        <v>2989</v>
      </c>
      <c r="I75" s="269" t="s">
        <v>2224</v>
      </c>
      <c r="J75" s="269" t="s">
        <v>2192</v>
      </c>
      <c r="K75" s="269"/>
      <c r="L75" s="280" t="s">
        <v>3713</v>
      </c>
      <c r="M75" s="269" t="s">
        <v>4288</v>
      </c>
      <c r="N75" s="269"/>
      <c r="O75" s="269"/>
      <c r="P75" s="269"/>
      <c r="Q75" s="269"/>
      <c r="R75" s="269"/>
      <c r="S75" s="269"/>
      <c r="T75" s="269"/>
      <c r="U75" s="269"/>
      <c r="V75" s="269"/>
      <c r="W75" s="269"/>
      <c r="X75" s="269"/>
      <c r="Y75" s="269"/>
      <c r="Z75" s="269"/>
      <c r="AA75" s="13"/>
      <c r="AB75" s="13"/>
      <c r="AC75" s="255">
        <v>61.0</v>
      </c>
    </row>
    <row r="76" ht="15.0" customHeight="1">
      <c r="A76" s="269" t="s">
        <v>2172</v>
      </c>
      <c r="B76" s="269" t="s">
        <v>1107</v>
      </c>
      <c r="C76" s="269" t="s">
        <v>4292</v>
      </c>
      <c r="D76" s="269" t="s">
        <v>741</v>
      </c>
      <c r="E76" s="243" t="str">
        <f t="array" ref="E76">IFERROR(INDEX(REF_CODES!$B$40:$B$45,MATCH($D76,REF_CODES!$C$40:$C$45,0)),"")</f>
        <v>RA-NFE</v>
      </c>
      <c r="F76" s="269"/>
      <c r="G76" s="243" t="str">
        <f t="array" ref="G76">IFERROR(INDEX(REF_CODES!$B$34:$B$39,MATCH($F76,REF_CODES!$C$34:$C$39,0)),"")</f>
        <v/>
      </c>
      <c r="H76" s="269" t="s">
        <v>2965</v>
      </c>
      <c r="I76" s="269" t="s">
        <v>2224</v>
      </c>
      <c r="J76" s="269" t="s">
        <v>2405</v>
      </c>
      <c r="K76" s="269"/>
      <c r="L76" s="280" t="s">
        <v>4299</v>
      </c>
      <c r="M76" s="269" t="s">
        <v>4300</v>
      </c>
      <c r="N76" s="269"/>
      <c r="O76" s="269"/>
      <c r="P76" s="269"/>
      <c r="Q76" s="269"/>
      <c r="R76" s="269"/>
      <c r="S76" s="269"/>
      <c r="T76" s="269"/>
      <c r="U76" s="269"/>
      <c r="V76" s="269"/>
      <c r="W76" s="269"/>
      <c r="X76" s="269"/>
      <c r="Y76" s="269"/>
      <c r="Z76" s="269"/>
      <c r="AA76" s="13"/>
      <c r="AB76" s="13"/>
      <c r="AC76" s="255">
        <v>98.0</v>
      </c>
    </row>
    <row r="77" ht="15.0" customHeight="1">
      <c r="A77" s="269" t="s">
        <v>2172</v>
      </c>
      <c r="B77" s="269" t="s">
        <v>1107</v>
      </c>
      <c r="C77" s="269" t="s">
        <v>4308</v>
      </c>
      <c r="D77" s="269" t="s">
        <v>689</v>
      </c>
      <c r="E77" s="243" t="str">
        <f t="array" ref="E77">IFERROR(INDEX(REF_CODES!$B$40:$B$45,MATCH($D77,REF_CODES!$C$40:$C$45,0)),"")</f>
        <v>RA-NRO</v>
      </c>
      <c r="F77" s="269"/>
      <c r="G77" s="243" t="str">
        <f t="array" ref="G77">IFERROR(INDEX(REF_CODES!$B$34:$B$39,MATCH($F77,REF_CODES!$C$34:$C$39,0)),"")</f>
        <v/>
      </c>
      <c r="H77" s="269" t="s">
        <v>4315</v>
      </c>
      <c r="I77" s="269"/>
      <c r="J77" s="269" t="s">
        <v>2192</v>
      </c>
      <c r="K77" s="269"/>
      <c r="L77" s="269"/>
      <c r="M77" s="269" t="s">
        <v>4316</v>
      </c>
      <c r="N77" s="269"/>
      <c r="O77" s="269"/>
      <c r="P77" s="269"/>
      <c r="Q77" s="269"/>
      <c r="R77" s="269"/>
      <c r="S77" s="269"/>
      <c r="T77" s="269"/>
      <c r="U77" s="269"/>
      <c r="V77" s="269"/>
      <c r="W77" s="269"/>
      <c r="X77" s="269"/>
      <c r="Y77" s="269"/>
      <c r="Z77" s="269"/>
      <c r="AA77" s="13"/>
      <c r="AB77" s="13"/>
      <c r="AC77" s="255">
        <v>61.0</v>
      </c>
    </row>
    <row r="78" ht="15.0" customHeight="1">
      <c r="A78" s="235" t="s">
        <v>2172</v>
      </c>
      <c r="B78" s="235" t="s">
        <v>1107</v>
      </c>
      <c r="C78" s="235" t="s">
        <v>4321</v>
      </c>
      <c r="D78" s="235"/>
      <c r="E78" s="235" t="str">
        <f t="array" ref="E78">IFERROR(INDEX(REF_CODES!$B$40:$B$45,MATCH($D78,REF_CODES!$C$40:$C$45,0)),"")</f>
        <v/>
      </c>
      <c r="F78" s="235" t="s">
        <v>546</v>
      </c>
      <c r="G78" s="235" t="str">
        <f t="array" ref="G78">IFERROR(INDEX(REF_CODES!$B$34:$B$39,MATCH($F78,REF_CODES!$C$34:$C$39,0)),"")</f>
        <v>RA-DBR</v>
      </c>
      <c r="H78" s="235" t="s">
        <v>2316</v>
      </c>
      <c r="I78" s="235" t="s">
        <v>2416</v>
      </c>
      <c r="J78" s="235" t="s">
        <v>4328</v>
      </c>
      <c r="K78" s="235" t="s">
        <v>4330</v>
      </c>
      <c r="L78" s="235" t="s">
        <v>2208</v>
      </c>
      <c r="M78" s="235" t="s">
        <v>4332</v>
      </c>
      <c r="N78" s="235"/>
      <c r="O78" s="235"/>
      <c r="P78" s="235"/>
      <c r="Q78" s="235"/>
      <c r="R78" s="235"/>
      <c r="S78" s="235"/>
      <c r="T78" s="235"/>
      <c r="U78" s="235"/>
      <c r="V78" s="235"/>
      <c r="W78" s="235"/>
      <c r="X78" s="235"/>
      <c r="Y78" s="235"/>
      <c r="Z78" s="235" t="s">
        <v>2209</v>
      </c>
      <c r="AA78" s="13"/>
      <c r="AB78" s="13"/>
    </row>
    <row r="79" ht="15.0" customHeight="1">
      <c r="A79" s="235" t="s">
        <v>2172</v>
      </c>
      <c r="B79" s="235" t="s">
        <v>1107</v>
      </c>
      <c r="C79" s="235" t="s">
        <v>4337</v>
      </c>
      <c r="D79" s="235"/>
      <c r="E79" s="235" t="str">
        <f t="array" ref="E79">IFERROR(INDEX(REF_CODES!$B$40:$B$45,MATCH($D79,REF_CODES!$C$40:$C$45,0)),"")</f>
        <v/>
      </c>
      <c r="F79" s="235" t="s">
        <v>546</v>
      </c>
      <c r="G79" s="235" t="str">
        <f t="array" ref="G79">IFERROR(INDEX(REF_CODES!$B$34:$B$39,MATCH($F79,REF_CODES!$C$34:$C$39,0)),"")</f>
        <v>RA-DBR</v>
      </c>
      <c r="H79" s="235" t="s">
        <v>2278</v>
      </c>
      <c r="I79" s="235" t="s">
        <v>2208</v>
      </c>
      <c r="J79" s="235" t="s">
        <v>4328</v>
      </c>
      <c r="K79" s="235" t="s">
        <v>2208</v>
      </c>
      <c r="L79" s="235" t="s">
        <v>2208</v>
      </c>
      <c r="M79" s="235" t="s">
        <v>4332</v>
      </c>
      <c r="N79" s="235"/>
      <c r="O79" s="235"/>
      <c r="P79" s="235"/>
      <c r="Q79" s="235"/>
      <c r="R79" s="235"/>
      <c r="S79" s="235"/>
      <c r="T79" s="235"/>
      <c r="U79" s="235"/>
      <c r="V79" s="235"/>
      <c r="W79" s="235"/>
      <c r="X79" s="235"/>
      <c r="Y79" s="235"/>
      <c r="Z79" s="235" t="s">
        <v>2209</v>
      </c>
      <c r="AA79" s="13"/>
      <c r="AB79" s="13"/>
    </row>
    <row r="80" ht="15.0" customHeight="1">
      <c r="A80" s="235" t="s">
        <v>2172</v>
      </c>
      <c r="B80" s="235" t="s">
        <v>1107</v>
      </c>
      <c r="C80" s="235" t="s">
        <v>4350</v>
      </c>
      <c r="D80" s="235" t="s">
        <v>689</v>
      </c>
      <c r="E80" s="235" t="str">
        <f t="array" ref="E80">IFERROR(INDEX(REF_CODES!$B$40:$B$45,MATCH($D80,REF_CODES!$C$40:$C$45,0)),"")</f>
        <v>RA-NRO</v>
      </c>
      <c r="F80" s="235"/>
      <c r="G80" s="235"/>
      <c r="H80" s="235" t="s">
        <v>3169</v>
      </c>
      <c r="I80" s="235" t="s">
        <v>2884</v>
      </c>
      <c r="J80" s="235"/>
      <c r="K80" s="235" t="s">
        <v>4357</v>
      </c>
      <c r="L80" s="235" t="s">
        <v>4358</v>
      </c>
      <c r="M80" s="235" t="s">
        <v>4359</v>
      </c>
      <c r="N80" s="235"/>
      <c r="O80" s="235"/>
      <c r="P80" s="235"/>
      <c r="Q80" s="235"/>
      <c r="R80" s="235"/>
      <c r="S80" s="235"/>
      <c r="T80" s="235"/>
      <c r="U80" s="235"/>
      <c r="V80" s="235"/>
      <c r="W80" s="235"/>
      <c r="X80" s="235"/>
      <c r="Y80" s="235"/>
      <c r="Z80" s="235"/>
      <c r="AA80" s="13"/>
      <c r="AB80" s="13"/>
    </row>
    <row r="81" ht="15.0" customHeight="1">
      <c r="A81" s="235" t="s">
        <v>2172</v>
      </c>
      <c r="B81" s="235" t="s">
        <v>1107</v>
      </c>
      <c r="C81" s="235" t="s">
        <v>4363</v>
      </c>
      <c r="D81" s="235" t="s">
        <v>689</v>
      </c>
      <c r="E81" s="235" t="str">
        <f t="array" ref="E81">IFERROR(INDEX(REF_CODES!$B$40:$B$45,MATCH($D81,REF_CODES!$C$40:$C$45,0)),"")</f>
        <v>RA-NRO</v>
      </c>
      <c r="F81" s="235"/>
      <c r="G81" s="235"/>
      <c r="H81" s="235" t="s">
        <v>4365</v>
      </c>
      <c r="I81" s="235" t="s">
        <v>2306</v>
      </c>
      <c r="J81" s="235"/>
      <c r="K81" s="235" t="s">
        <v>4368</v>
      </c>
      <c r="L81" s="235" t="s">
        <v>4369</v>
      </c>
      <c r="M81" s="235" t="s">
        <v>4370</v>
      </c>
      <c r="N81" s="235"/>
      <c r="O81" s="235"/>
      <c r="P81" s="235"/>
      <c r="Q81" s="235"/>
      <c r="R81" s="235"/>
      <c r="S81" s="235"/>
      <c r="T81" s="235"/>
      <c r="U81" s="235"/>
      <c r="V81" s="235"/>
      <c r="W81" s="235"/>
      <c r="X81" s="235"/>
      <c r="Y81" s="235"/>
      <c r="Z81" s="235"/>
      <c r="AA81" s="13"/>
      <c r="AB81" s="13"/>
    </row>
    <row r="82" ht="15.0" customHeight="1">
      <c r="A82" s="235" t="s">
        <v>2172</v>
      </c>
      <c r="B82" s="235" t="s">
        <v>1107</v>
      </c>
      <c r="C82" s="235" t="s">
        <v>4373</v>
      </c>
      <c r="D82" s="235" t="s">
        <v>689</v>
      </c>
      <c r="E82" s="235" t="str">
        <f t="array" ref="E82">IFERROR(INDEX(REF_CODES!$B$40:$B$45,MATCH($D82,REF_CODES!$C$40:$C$45,0)),"")</f>
        <v>RA-NRO</v>
      </c>
      <c r="F82" s="235"/>
      <c r="G82" s="235"/>
      <c r="H82" s="235" t="s">
        <v>3195</v>
      </c>
      <c r="I82" s="235" t="s">
        <v>4376</v>
      </c>
      <c r="J82" s="235"/>
      <c r="K82" s="235" t="s">
        <v>4377</v>
      </c>
      <c r="L82" s="235" t="s">
        <v>4379</v>
      </c>
      <c r="M82" s="235" t="s">
        <v>4380</v>
      </c>
      <c r="N82" s="235"/>
      <c r="O82" s="235"/>
      <c r="P82" s="235"/>
      <c r="Q82" s="235"/>
      <c r="R82" s="235"/>
      <c r="S82" s="235"/>
      <c r="T82" s="235"/>
      <c r="U82" s="235"/>
      <c r="V82" s="235"/>
      <c r="W82" s="235"/>
      <c r="X82" s="235"/>
      <c r="Y82" s="235"/>
      <c r="Z82" s="235"/>
      <c r="AA82" s="13"/>
      <c r="AB82" s="13"/>
    </row>
    <row r="83" ht="15.0" customHeight="1">
      <c r="A83" s="235" t="s">
        <v>2172</v>
      </c>
      <c r="B83" s="235" t="s">
        <v>1107</v>
      </c>
      <c r="C83" s="235" t="s">
        <v>4387</v>
      </c>
      <c r="D83" s="235" t="s">
        <v>689</v>
      </c>
      <c r="E83" s="235" t="str">
        <f t="array" ref="E83">IFERROR(INDEX(REF_CODES!$B$40:$B$45,MATCH($D83,REF_CODES!$C$40:$C$45,0)),"")</f>
        <v>RA-NRO</v>
      </c>
      <c r="F83" s="235"/>
      <c r="G83" s="235"/>
      <c r="H83" s="235" t="s">
        <v>4389</v>
      </c>
      <c r="I83" s="235" t="s">
        <v>2707</v>
      </c>
      <c r="J83" s="235"/>
      <c r="K83" s="235" t="s">
        <v>4391</v>
      </c>
      <c r="L83" s="235" t="s">
        <v>4393</v>
      </c>
      <c r="M83" s="235" t="s">
        <v>4394</v>
      </c>
      <c r="N83" s="235"/>
      <c r="O83" s="235"/>
      <c r="P83" s="235"/>
      <c r="Q83" s="235"/>
      <c r="R83" s="235"/>
      <c r="S83" s="235"/>
      <c r="T83" s="235"/>
      <c r="U83" s="235"/>
      <c r="V83" s="235"/>
      <c r="W83" s="235"/>
      <c r="X83" s="235"/>
      <c r="Y83" s="235"/>
      <c r="Z83" s="235"/>
      <c r="AA83" s="13"/>
      <c r="AB83" s="13"/>
    </row>
    <row r="84" ht="15.0" customHeight="1">
      <c r="A84" s="235" t="s">
        <v>2172</v>
      </c>
      <c r="B84" s="235" t="s">
        <v>1107</v>
      </c>
      <c r="C84" s="235" t="s">
        <v>4400</v>
      </c>
      <c r="D84" s="235" t="s">
        <v>689</v>
      </c>
      <c r="E84" s="235" t="str">
        <f t="array" ref="E84">IFERROR(INDEX(REF_CODES!$B$40:$B$45,MATCH($D84,REF_CODES!$C$40:$C$45,0)),"")</f>
        <v>RA-NRO</v>
      </c>
      <c r="F84" s="235"/>
      <c r="G84" s="235"/>
      <c r="H84" s="235" t="s">
        <v>4404</v>
      </c>
      <c r="I84" s="235" t="s">
        <v>2514</v>
      </c>
      <c r="J84" s="235"/>
      <c r="K84" s="235" t="s">
        <v>4406</v>
      </c>
      <c r="L84" s="235" t="s">
        <v>4407</v>
      </c>
      <c r="M84" s="235" t="s">
        <v>4408</v>
      </c>
      <c r="N84" s="235"/>
      <c r="O84" s="235"/>
      <c r="P84" s="235"/>
      <c r="Q84" s="235"/>
      <c r="R84" s="235"/>
      <c r="S84" s="235"/>
      <c r="T84" s="235"/>
      <c r="U84" s="235"/>
      <c r="V84" s="235"/>
      <c r="W84" s="235"/>
      <c r="X84" s="235"/>
      <c r="Y84" s="235"/>
      <c r="Z84" s="235"/>
      <c r="AA84" s="13"/>
      <c r="AB84" s="13"/>
    </row>
    <row r="85" ht="15.0" customHeight="1">
      <c r="A85" s="235" t="s">
        <v>2172</v>
      </c>
      <c r="B85" s="235" t="s">
        <v>1107</v>
      </c>
      <c r="C85" s="235" t="s">
        <v>4416</v>
      </c>
      <c r="D85" s="235" t="s">
        <v>689</v>
      </c>
      <c r="E85" s="235" t="str">
        <f t="array" ref="E85">IFERROR(INDEX(REF_CODES!$B$40:$B$45,MATCH($D85,REF_CODES!$C$40:$C$45,0)),"")</f>
        <v>RA-NRO</v>
      </c>
      <c r="F85" s="235"/>
      <c r="G85" s="235"/>
      <c r="H85" s="235" t="s">
        <v>4421</v>
      </c>
      <c r="I85" s="235" t="s">
        <v>2416</v>
      </c>
      <c r="J85" s="235"/>
      <c r="K85" s="235" t="s">
        <v>4330</v>
      </c>
      <c r="L85" s="235" t="s">
        <v>4424</v>
      </c>
      <c r="M85" s="235" t="s">
        <v>4425</v>
      </c>
      <c r="N85" s="235"/>
      <c r="O85" s="235"/>
      <c r="P85" s="235"/>
      <c r="Q85" s="235"/>
      <c r="R85" s="235"/>
      <c r="S85" s="235"/>
      <c r="T85" s="235"/>
      <c r="U85" s="235"/>
      <c r="V85" s="235"/>
      <c r="W85" s="235"/>
      <c r="X85" s="235"/>
      <c r="Y85" s="235"/>
      <c r="Z85" s="235"/>
      <c r="AA85" s="13"/>
      <c r="AB85" s="13"/>
    </row>
    <row r="86" ht="15.0" customHeight="1">
      <c r="A86" s="235" t="s">
        <v>2172</v>
      </c>
      <c r="B86" s="235" t="s">
        <v>1107</v>
      </c>
      <c r="C86" s="235" t="s">
        <v>4432</v>
      </c>
      <c r="D86" s="235" t="s">
        <v>689</v>
      </c>
      <c r="E86" s="235" t="str">
        <f t="array" ref="E86">IFERROR(INDEX(REF_CODES!$B$40:$B$45,MATCH($D86,REF_CODES!$C$40:$C$45,0)),"")</f>
        <v>RA-NRO</v>
      </c>
      <c r="F86" s="235"/>
      <c r="G86" s="235"/>
      <c r="H86" s="235" t="s">
        <v>4440</v>
      </c>
      <c r="I86" s="235" t="s">
        <v>2191</v>
      </c>
      <c r="J86" s="235"/>
      <c r="K86" s="235" t="s">
        <v>4442</v>
      </c>
      <c r="L86" s="235" t="s">
        <v>4443</v>
      </c>
      <c r="M86" s="235" t="s">
        <v>4444</v>
      </c>
      <c r="N86" s="235"/>
      <c r="O86" s="235"/>
      <c r="P86" s="235"/>
      <c r="Q86" s="235"/>
      <c r="R86" s="235"/>
      <c r="S86" s="235"/>
      <c r="T86" s="235"/>
      <c r="U86" s="235"/>
      <c r="V86" s="235"/>
      <c r="W86" s="235"/>
      <c r="X86" s="235"/>
      <c r="Y86" s="235"/>
      <c r="Z86" s="235"/>
      <c r="AA86" s="13"/>
      <c r="AB86" s="13"/>
    </row>
    <row r="87" ht="15.0" customHeight="1">
      <c r="A87" s="235" t="s">
        <v>2172</v>
      </c>
      <c r="B87" s="235" t="s">
        <v>1107</v>
      </c>
      <c r="C87" s="235" t="s">
        <v>4447</v>
      </c>
      <c r="D87" s="235" t="s">
        <v>689</v>
      </c>
      <c r="E87" s="235" t="str">
        <f t="array" ref="E87">IFERROR(INDEX(REF_CODES!$B$40:$B$45,MATCH($D87,REF_CODES!$C$40:$C$45,0)),"")</f>
        <v>RA-NRO</v>
      </c>
      <c r="F87" s="235"/>
      <c r="G87" s="235"/>
      <c r="H87" s="235" t="s">
        <v>4455</v>
      </c>
      <c r="I87" s="235" t="s">
        <v>4456</v>
      </c>
      <c r="J87" s="235"/>
      <c r="K87" s="235" t="s">
        <v>4457</v>
      </c>
      <c r="L87" s="235" t="s">
        <v>1229</v>
      </c>
      <c r="M87" s="235" t="s">
        <v>4458</v>
      </c>
      <c r="N87" s="235"/>
      <c r="O87" s="235"/>
      <c r="P87" s="235"/>
      <c r="Q87" s="235"/>
      <c r="R87" s="235"/>
      <c r="S87" s="235"/>
      <c r="T87" s="235"/>
      <c r="U87" s="235"/>
      <c r="V87" s="235"/>
      <c r="W87" s="235"/>
      <c r="X87" s="235"/>
      <c r="Y87" s="235"/>
      <c r="Z87" s="235"/>
      <c r="AA87" s="13"/>
      <c r="AB87" s="13"/>
    </row>
    <row r="88" ht="15.0" customHeight="1">
      <c r="A88" s="235" t="s">
        <v>2172</v>
      </c>
      <c r="B88" s="235" t="s">
        <v>1107</v>
      </c>
      <c r="C88" s="235" t="s">
        <v>4462</v>
      </c>
      <c r="D88" s="235" t="s">
        <v>689</v>
      </c>
      <c r="E88" s="235" t="str">
        <f t="array" ref="E88">IFERROR(INDEX(REF_CODES!$B$40:$B$45,MATCH($D88,REF_CODES!$C$40:$C$45,0)),"")</f>
        <v>RA-NRO</v>
      </c>
      <c r="F88" s="235"/>
      <c r="G88" s="235"/>
      <c r="H88" s="235" t="s">
        <v>2476</v>
      </c>
      <c r="I88" s="235" t="s">
        <v>2445</v>
      </c>
      <c r="J88" s="235"/>
      <c r="K88" s="235" t="s">
        <v>4466</v>
      </c>
      <c r="L88" s="235" t="s">
        <v>4467</v>
      </c>
      <c r="M88" s="235" t="s">
        <v>4469</v>
      </c>
      <c r="N88" s="235"/>
      <c r="O88" s="235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13"/>
      <c r="AB88" s="13"/>
    </row>
    <row r="89" ht="15.0" customHeight="1">
      <c r="A89" s="235" t="s">
        <v>2172</v>
      </c>
      <c r="B89" s="235" t="s">
        <v>1107</v>
      </c>
      <c r="C89" s="235" t="s">
        <v>4475</v>
      </c>
      <c r="D89" s="235" t="s">
        <v>725</v>
      </c>
      <c r="E89" s="235" t="str">
        <f t="array" ref="E89">IFERROR(INDEX(REF_CODES!$B$40:$B$45,MATCH($D89,REF_CODES!$C$40:$C$45,0)),"")</f>
        <v>RA-NSP</v>
      </c>
      <c r="F89" s="235"/>
      <c r="G89" s="235"/>
      <c r="H89" s="235" t="s">
        <v>2379</v>
      </c>
      <c r="I89" s="235" t="s">
        <v>2224</v>
      </c>
      <c r="J89" s="235"/>
      <c r="K89" s="235" t="s">
        <v>4479</v>
      </c>
      <c r="L89" s="235" t="s">
        <v>4480</v>
      </c>
      <c r="M89" s="235" t="s">
        <v>4481</v>
      </c>
      <c r="N89" s="235"/>
      <c r="O89" s="235"/>
      <c r="P89" s="235"/>
      <c r="Q89" s="235"/>
      <c r="R89" s="235"/>
      <c r="S89" s="235"/>
      <c r="T89" s="235"/>
      <c r="U89" s="235"/>
      <c r="V89" s="235"/>
      <c r="W89" s="235"/>
      <c r="X89" s="235"/>
      <c r="Y89" s="235"/>
      <c r="Z89" s="235"/>
      <c r="AA89" s="13"/>
      <c r="AB89" s="13"/>
    </row>
    <row r="90" ht="15.0" customHeight="1">
      <c r="A90" s="235" t="s">
        <v>2172</v>
      </c>
      <c r="B90" s="235" t="s">
        <v>1107</v>
      </c>
      <c r="C90" s="235" t="s">
        <v>4486</v>
      </c>
      <c r="D90" s="235" t="s">
        <v>725</v>
      </c>
      <c r="E90" s="235" t="str">
        <f t="array" ref="E90">IFERROR(INDEX(REF_CODES!$B$40:$B$45,MATCH($D90,REF_CODES!$C$40:$C$45,0)),"")</f>
        <v>RA-NSP</v>
      </c>
      <c r="F90" s="235"/>
      <c r="G90" s="235"/>
      <c r="H90" s="235" t="s">
        <v>3721</v>
      </c>
      <c r="I90" s="235" t="s">
        <v>2306</v>
      </c>
      <c r="J90" s="235"/>
      <c r="K90" s="235" t="s">
        <v>4490</v>
      </c>
      <c r="L90" s="235" t="s">
        <v>4491</v>
      </c>
      <c r="M90" s="235" t="s">
        <v>4493</v>
      </c>
      <c r="N90" s="235"/>
      <c r="O90" s="235"/>
      <c r="P90" s="235"/>
      <c r="Q90" s="235"/>
      <c r="R90" s="235"/>
      <c r="S90" s="235"/>
      <c r="T90" s="235"/>
      <c r="U90" s="235"/>
      <c r="V90" s="235"/>
      <c r="W90" s="235"/>
      <c r="X90" s="235"/>
      <c r="Y90" s="235"/>
      <c r="Z90" s="235"/>
      <c r="AA90" s="13"/>
      <c r="AB90" s="13"/>
    </row>
    <row r="91" ht="15.0" customHeight="1">
      <c r="A91" s="235" t="s">
        <v>2172</v>
      </c>
      <c r="B91" s="235" t="s">
        <v>1107</v>
      </c>
      <c r="C91" s="235" t="s">
        <v>4498</v>
      </c>
      <c r="D91" s="235" t="s">
        <v>725</v>
      </c>
      <c r="E91" s="235" t="str">
        <f t="array" ref="E91">IFERROR(INDEX(REF_CODES!$B$40:$B$45,MATCH($D91,REF_CODES!$C$40:$C$45,0)),"")</f>
        <v>RA-NSP</v>
      </c>
      <c r="F91" s="235"/>
      <c r="G91" s="235"/>
      <c r="H91" s="235" t="s">
        <v>3777</v>
      </c>
      <c r="I91" s="235" t="s">
        <v>2224</v>
      </c>
      <c r="J91" s="235"/>
      <c r="K91" s="235" t="s">
        <v>4501</v>
      </c>
      <c r="L91" s="235" t="s">
        <v>4503</v>
      </c>
      <c r="M91" s="235" t="s">
        <v>4504</v>
      </c>
      <c r="N91" s="235"/>
      <c r="O91" s="235"/>
      <c r="P91" s="235"/>
      <c r="Q91" s="235"/>
      <c r="R91" s="235"/>
      <c r="S91" s="235"/>
      <c r="T91" s="235"/>
      <c r="U91" s="235"/>
      <c r="V91" s="235"/>
      <c r="W91" s="235"/>
      <c r="X91" s="235"/>
      <c r="Y91" s="235"/>
      <c r="Z91" s="235"/>
      <c r="AA91" s="13"/>
      <c r="AB91" s="13"/>
    </row>
    <row r="92" ht="15.0" customHeight="1">
      <c r="A92" s="235" t="s">
        <v>2172</v>
      </c>
      <c r="B92" s="235" t="s">
        <v>1107</v>
      </c>
      <c r="C92" s="235" t="s">
        <v>4510</v>
      </c>
      <c r="D92" s="235" t="s">
        <v>725</v>
      </c>
      <c r="E92" s="235" t="str">
        <f t="array" ref="E92">IFERROR(INDEX(REF_CODES!$B$40:$B$45,MATCH($D92,REF_CODES!$C$40:$C$45,0)),"")</f>
        <v>RA-NSP</v>
      </c>
      <c r="F92" s="235"/>
      <c r="G92" s="235"/>
      <c r="H92" s="235" t="s">
        <v>2989</v>
      </c>
      <c r="I92" s="235" t="s">
        <v>2224</v>
      </c>
      <c r="J92" s="235"/>
      <c r="K92" s="235" t="s">
        <v>4515</v>
      </c>
      <c r="L92" s="235" t="s">
        <v>4516</v>
      </c>
      <c r="M92" s="235" t="s">
        <v>4517</v>
      </c>
      <c r="N92" s="235"/>
      <c r="O92" s="235"/>
      <c r="P92" s="235"/>
      <c r="Q92" s="235"/>
      <c r="R92" s="235"/>
      <c r="S92" s="235"/>
      <c r="T92" s="235"/>
      <c r="U92" s="235"/>
      <c r="V92" s="235"/>
      <c r="W92" s="235"/>
      <c r="X92" s="235"/>
      <c r="Y92" s="235"/>
      <c r="Z92" s="235"/>
      <c r="AA92" s="13"/>
      <c r="AB92" s="13"/>
    </row>
    <row r="93" ht="15.0" customHeight="1">
      <c r="A93" s="235" t="s">
        <v>2172</v>
      </c>
      <c r="B93" s="235" t="s">
        <v>1107</v>
      </c>
      <c r="C93" s="235" t="s">
        <v>4521</v>
      </c>
      <c r="D93" s="235" t="s">
        <v>725</v>
      </c>
      <c r="E93" s="235" t="str">
        <f t="array" ref="E93">IFERROR(INDEX(REF_CODES!$B$40:$B$45,MATCH($D93,REF_CODES!$C$40:$C$45,0)),"")</f>
        <v>RA-NSP</v>
      </c>
      <c r="F93" s="235"/>
      <c r="G93" s="235"/>
      <c r="H93" s="235" t="s">
        <v>4008</v>
      </c>
      <c r="I93" s="235" t="s">
        <v>3236</v>
      </c>
      <c r="J93" s="235"/>
      <c r="K93" s="235" t="s">
        <v>4526</v>
      </c>
      <c r="L93" s="235" t="s">
        <v>4527</v>
      </c>
      <c r="M93" s="235" t="s">
        <v>4528</v>
      </c>
      <c r="N93" s="235"/>
      <c r="O93" s="235"/>
      <c r="P93" s="235"/>
      <c r="Q93" s="235"/>
      <c r="R93" s="235"/>
      <c r="S93" s="235"/>
      <c r="T93" s="235"/>
      <c r="U93" s="235"/>
      <c r="V93" s="235"/>
      <c r="W93" s="235"/>
      <c r="X93" s="235"/>
      <c r="Y93" s="235"/>
      <c r="Z93" s="235"/>
      <c r="AA93" s="13"/>
      <c r="AB93" s="13"/>
    </row>
    <row r="94" ht="15.0" customHeight="1">
      <c r="A94" s="235" t="s">
        <v>2172</v>
      </c>
      <c r="B94" s="235" t="s">
        <v>1107</v>
      </c>
      <c r="C94" s="235" t="s">
        <v>4531</v>
      </c>
      <c r="D94" s="235" t="s">
        <v>725</v>
      </c>
      <c r="E94" s="235" t="str">
        <f t="array" ref="E94">IFERROR(INDEX(REF_CODES!$B$40:$B$45,MATCH($D94,REF_CODES!$C$40:$C$45,0)),"")</f>
        <v>RA-NSP</v>
      </c>
      <c r="F94" s="235"/>
      <c r="G94" s="235"/>
      <c r="H94" s="235" t="s">
        <v>3767</v>
      </c>
      <c r="I94" s="235" t="s">
        <v>2306</v>
      </c>
      <c r="J94" s="235"/>
      <c r="K94" s="235" t="s">
        <v>4534</v>
      </c>
      <c r="L94" s="235" t="s">
        <v>4536</v>
      </c>
      <c r="M94" s="235" t="s">
        <v>4538</v>
      </c>
      <c r="N94" s="235"/>
      <c r="O94" s="235"/>
      <c r="P94" s="235"/>
      <c r="Q94" s="235"/>
      <c r="R94" s="235"/>
      <c r="S94" s="235"/>
      <c r="T94" s="235"/>
      <c r="U94" s="235"/>
      <c r="V94" s="235"/>
      <c r="W94" s="235"/>
      <c r="X94" s="235"/>
      <c r="Y94" s="235"/>
      <c r="Z94" s="235"/>
      <c r="AA94" s="13"/>
      <c r="AB94" s="13"/>
    </row>
    <row r="95" ht="15.0" customHeight="1">
      <c r="A95" s="235" t="s">
        <v>2172</v>
      </c>
      <c r="B95" s="235" t="s">
        <v>1107</v>
      </c>
      <c r="C95" s="235" t="s">
        <v>4542</v>
      </c>
      <c r="D95" s="235" t="s">
        <v>725</v>
      </c>
      <c r="E95" s="235" t="str">
        <f t="array" ref="E95">IFERROR(INDEX(REF_CODES!$B$40:$B$45,MATCH($D95,REF_CODES!$C$40:$C$45,0)),"")</f>
        <v>RA-NSP</v>
      </c>
      <c r="F95" s="235"/>
      <c r="G95" s="235"/>
      <c r="H95" s="235" t="s">
        <v>3262</v>
      </c>
      <c r="I95" s="235" t="s">
        <v>2191</v>
      </c>
      <c r="J95" s="235"/>
      <c r="K95" s="235" t="s">
        <v>4544</v>
      </c>
      <c r="L95" s="235" t="s">
        <v>4546</v>
      </c>
      <c r="M95" s="235" t="s">
        <v>4547</v>
      </c>
      <c r="N95" s="235"/>
      <c r="O95" s="235"/>
      <c r="P95" s="235"/>
      <c r="Q95" s="235"/>
      <c r="R95" s="235"/>
      <c r="S95" s="235"/>
      <c r="T95" s="235"/>
      <c r="U95" s="235"/>
      <c r="V95" s="235"/>
      <c r="W95" s="235"/>
      <c r="X95" s="235"/>
      <c r="Y95" s="235"/>
      <c r="Z95" s="235"/>
      <c r="AA95" s="13"/>
      <c r="AB95" s="13"/>
    </row>
    <row r="96" ht="15.0" customHeight="1">
      <c r="A96" s="235" t="s">
        <v>2172</v>
      </c>
      <c r="B96" s="235" t="s">
        <v>1107</v>
      </c>
      <c r="C96" s="235" t="s">
        <v>4553</v>
      </c>
      <c r="D96" s="235" t="s">
        <v>725</v>
      </c>
      <c r="E96" s="235" t="str">
        <f t="array" ref="E96">IFERROR(INDEX(REF_CODES!$B$40:$B$45,MATCH($D96,REF_CODES!$C$40:$C$45,0)),"")</f>
        <v>RA-NSP</v>
      </c>
      <c r="F96" s="235"/>
      <c r="G96" s="235"/>
      <c r="H96" s="235" t="s">
        <v>4555</v>
      </c>
      <c r="I96" s="235" t="s">
        <v>1919</v>
      </c>
      <c r="J96" s="235"/>
      <c r="K96" s="235" t="s">
        <v>4556</v>
      </c>
      <c r="L96" s="235" t="s">
        <v>4557</v>
      </c>
      <c r="M96" s="235" t="s">
        <v>4558</v>
      </c>
      <c r="N96" s="235"/>
      <c r="O96" s="235"/>
      <c r="P96" s="235"/>
      <c r="Q96" s="235"/>
      <c r="R96" s="235"/>
      <c r="S96" s="235"/>
      <c r="T96" s="235"/>
      <c r="U96" s="235"/>
      <c r="V96" s="235"/>
      <c r="W96" s="235"/>
      <c r="X96" s="235"/>
      <c r="Y96" s="235"/>
      <c r="Z96" s="235"/>
      <c r="AA96" s="13"/>
      <c r="AB96" s="13"/>
    </row>
    <row r="97" ht="15.0" customHeight="1">
      <c r="A97" s="235" t="s">
        <v>2172</v>
      </c>
      <c r="B97" s="235" t="s">
        <v>1107</v>
      </c>
      <c r="C97" s="235" t="s">
        <v>4562</v>
      </c>
      <c r="D97" s="235" t="s">
        <v>725</v>
      </c>
      <c r="E97" s="235" t="str">
        <f t="array" ref="E97">IFERROR(INDEX(REF_CODES!$B$40:$B$45,MATCH($D97,REF_CODES!$C$40:$C$45,0)),"")</f>
        <v>RA-NSP</v>
      </c>
      <c r="F97" s="235"/>
      <c r="G97" s="235"/>
      <c r="H97" s="235" t="s">
        <v>4567</v>
      </c>
      <c r="I97" s="235" t="s">
        <v>1919</v>
      </c>
      <c r="J97" s="235"/>
      <c r="K97" s="235" t="s">
        <v>3948</v>
      </c>
      <c r="L97" s="235" t="s">
        <v>4568</v>
      </c>
      <c r="M97" s="235" t="s">
        <v>4570</v>
      </c>
      <c r="N97" s="235"/>
      <c r="O97" s="235"/>
      <c r="P97" s="235"/>
      <c r="Q97" s="235"/>
      <c r="R97" s="235"/>
      <c r="S97" s="235"/>
      <c r="T97" s="235"/>
      <c r="U97" s="235"/>
      <c r="V97" s="235"/>
      <c r="W97" s="235"/>
      <c r="X97" s="235"/>
      <c r="Y97" s="235"/>
      <c r="Z97" s="235"/>
      <c r="AA97" s="13"/>
      <c r="AB97" s="13"/>
    </row>
    <row r="98" ht="15.0" customHeight="1">
      <c r="A98" s="235" t="s">
        <v>2172</v>
      </c>
      <c r="B98" s="235" t="s">
        <v>1107</v>
      </c>
      <c r="C98" s="235" t="s">
        <v>4574</v>
      </c>
      <c r="D98" s="235" t="s">
        <v>711</v>
      </c>
      <c r="E98" s="235" t="str">
        <f t="array" ref="E98">IFERROR(INDEX(REF_CODES!$B$40:$B$45,MATCH($D98,REF_CODES!$C$40:$C$45,0)),"")</f>
        <v>RA-NGA</v>
      </c>
      <c r="F98" s="235"/>
      <c r="G98" s="235"/>
      <c r="H98" s="235" t="s">
        <v>4577</v>
      </c>
      <c r="I98" s="235" t="s">
        <v>2191</v>
      </c>
      <c r="J98" s="235"/>
      <c r="K98" s="235" t="s">
        <v>4578</v>
      </c>
      <c r="L98" s="235" t="s">
        <v>4580</v>
      </c>
      <c r="M98" s="235" t="s">
        <v>4582</v>
      </c>
      <c r="N98" s="235"/>
      <c r="O98" s="235"/>
      <c r="P98" s="235"/>
      <c r="Q98" s="235"/>
      <c r="R98" s="235"/>
      <c r="S98" s="235"/>
      <c r="T98" s="235"/>
      <c r="U98" s="235"/>
      <c r="V98" s="235"/>
      <c r="W98" s="235"/>
      <c r="X98" s="235"/>
      <c r="Y98" s="235"/>
      <c r="Z98" s="235"/>
      <c r="AA98" s="13"/>
      <c r="AB98" s="13"/>
    </row>
    <row r="99" ht="15.0" customHeight="1">
      <c r="A99" s="235" t="s">
        <v>2172</v>
      </c>
      <c r="B99" s="235" t="s">
        <v>1107</v>
      </c>
      <c r="C99" s="235" t="s">
        <v>4590</v>
      </c>
      <c r="D99" s="235" t="s">
        <v>711</v>
      </c>
      <c r="E99" s="235" t="str">
        <f t="array" ref="E99">IFERROR(INDEX(REF_CODES!$B$40:$B$45,MATCH($D99,REF_CODES!$C$40:$C$45,0)),"")</f>
        <v>RA-NGA</v>
      </c>
      <c r="F99" s="235"/>
      <c r="G99" s="235"/>
      <c r="H99" s="235" t="s">
        <v>4592</v>
      </c>
      <c r="I99" s="235" t="s">
        <v>2707</v>
      </c>
      <c r="J99" s="235"/>
      <c r="K99" s="235" t="s">
        <v>4594</v>
      </c>
      <c r="L99" s="235" t="s">
        <v>4595</v>
      </c>
      <c r="M99" s="235" t="s">
        <v>4597</v>
      </c>
      <c r="N99" s="235"/>
      <c r="O99" s="235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13"/>
      <c r="AB99" s="13"/>
    </row>
    <row r="100" ht="15.0" customHeight="1">
      <c r="A100" s="235" t="s">
        <v>2172</v>
      </c>
      <c r="B100" s="235" t="s">
        <v>1107</v>
      </c>
      <c r="C100" s="235" t="s">
        <v>4603</v>
      </c>
      <c r="D100" s="235" t="s">
        <v>711</v>
      </c>
      <c r="E100" s="235" t="str">
        <f t="array" ref="E100">IFERROR(INDEX(REF_CODES!$B$40:$B$45,MATCH($D100,REF_CODES!$C$40:$C$45,0)),"")</f>
        <v>RA-NGA</v>
      </c>
      <c r="F100" s="235"/>
      <c r="G100" s="235"/>
      <c r="H100" s="235" t="s">
        <v>3502</v>
      </c>
      <c r="I100" s="235" t="s">
        <v>4175</v>
      </c>
      <c r="J100" s="235"/>
      <c r="K100" s="235" t="s">
        <v>2316</v>
      </c>
      <c r="L100" s="235" t="s">
        <v>4606</v>
      </c>
      <c r="M100" s="235" t="s">
        <v>4608</v>
      </c>
      <c r="N100" s="235"/>
      <c r="O100" s="235"/>
      <c r="P100" s="235"/>
      <c r="Q100" s="235"/>
      <c r="R100" s="235"/>
      <c r="S100" s="235"/>
      <c r="T100" s="235"/>
      <c r="U100" s="235"/>
      <c r="V100" s="235"/>
      <c r="W100" s="235"/>
      <c r="X100" s="235"/>
      <c r="Y100" s="235"/>
      <c r="Z100" s="235"/>
      <c r="AA100" s="13"/>
      <c r="AB100" s="13"/>
    </row>
    <row r="101" ht="15.0" customHeight="1">
      <c r="A101" s="235" t="s">
        <v>2172</v>
      </c>
      <c r="B101" s="235" t="s">
        <v>1107</v>
      </c>
      <c r="C101" s="235" t="s">
        <v>4612</v>
      </c>
      <c r="D101" s="235" t="s">
        <v>711</v>
      </c>
      <c r="E101" s="235" t="str">
        <f t="array" ref="E101">IFERROR(INDEX(REF_CODES!$B$40:$B$45,MATCH($D101,REF_CODES!$C$40:$C$45,0)),"")</f>
        <v>RA-NGA</v>
      </c>
      <c r="F101" s="235"/>
      <c r="G101" s="235"/>
      <c r="H101" s="235" t="s">
        <v>4616</v>
      </c>
      <c r="I101" s="235" t="s">
        <v>4617</v>
      </c>
      <c r="J101" s="235"/>
      <c r="K101" s="235" t="s">
        <v>4617</v>
      </c>
      <c r="L101" s="235" t="s">
        <v>4619</v>
      </c>
      <c r="M101" s="235" t="s">
        <v>4620</v>
      </c>
      <c r="N101" s="235"/>
      <c r="O101" s="235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13"/>
      <c r="AB101" s="13"/>
    </row>
    <row r="102" ht="15.0" customHeight="1">
      <c r="A102" s="235" t="s">
        <v>2172</v>
      </c>
      <c r="B102" s="235" t="s">
        <v>1107</v>
      </c>
      <c r="C102" s="235" t="s">
        <v>4624</v>
      </c>
      <c r="D102" s="235" t="s">
        <v>711</v>
      </c>
      <c r="E102" s="235" t="str">
        <f t="array" ref="E102">IFERROR(INDEX(REF_CODES!$B$40:$B$45,MATCH($D102,REF_CODES!$C$40:$C$45,0)),"")</f>
        <v>RA-NGA</v>
      </c>
      <c r="F102" s="235"/>
      <c r="G102" s="235"/>
      <c r="H102" s="235" t="s">
        <v>4629</v>
      </c>
      <c r="I102" s="235" t="s">
        <v>4630</v>
      </c>
      <c r="J102" s="235"/>
      <c r="K102" s="235" t="s">
        <v>4630</v>
      </c>
      <c r="L102" s="235" t="s">
        <v>4634</v>
      </c>
      <c r="M102" s="235" t="s">
        <v>4635</v>
      </c>
      <c r="N102" s="235"/>
      <c r="O102" s="235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13"/>
      <c r="AB102" s="13"/>
    </row>
    <row r="103" ht="15.0" customHeight="1">
      <c r="A103" s="235" t="s">
        <v>2172</v>
      </c>
      <c r="B103" s="235" t="s">
        <v>1107</v>
      </c>
      <c r="C103" s="235" t="s">
        <v>4641</v>
      </c>
      <c r="D103" s="235" t="s">
        <v>711</v>
      </c>
      <c r="E103" s="235" t="str">
        <f t="array" ref="E103">IFERROR(INDEX(REF_CODES!$B$40:$B$45,MATCH($D103,REF_CODES!$C$40:$C$45,0)),"")</f>
        <v>RA-NGA</v>
      </c>
      <c r="F103" s="235"/>
      <c r="G103" s="235"/>
      <c r="H103" s="235" t="s">
        <v>4644</v>
      </c>
      <c r="I103" s="235" t="s">
        <v>2191</v>
      </c>
      <c r="J103" s="235"/>
      <c r="K103" s="235" t="s">
        <v>4646</v>
      </c>
      <c r="L103" s="235" t="s">
        <v>4648</v>
      </c>
      <c r="M103" s="235" t="s">
        <v>4650</v>
      </c>
      <c r="N103" s="235"/>
      <c r="O103" s="235"/>
      <c r="P103" s="235"/>
      <c r="Q103" s="235"/>
      <c r="R103" s="235"/>
      <c r="S103" s="235"/>
      <c r="T103" s="235"/>
      <c r="U103" s="235"/>
      <c r="V103" s="235"/>
      <c r="W103" s="235"/>
      <c r="X103" s="235"/>
      <c r="Y103" s="235"/>
      <c r="Z103" s="235"/>
      <c r="AA103" s="13"/>
      <c r="AB103" s="13"/>
    </row>
    <row r="104" ht="15.0" customHeight="1">
      <c r="A104" s="235" t="s">
        <v>2172</v>
      </c>
      <c r="B104" s="235" t="s">
        <v>1107</v>
      </c>
      <c r="C104" s="235" t="s">
        <v>4653</v>
      </c>
      <c r="D104" s="235" t="s">
        <v>764</v>
      </c>
      <c r="E104" s="235" t="str">
        <f t="array" ref="E104">IFERROR(INDEX(REF_CODES!$B$40:$B$45,MATCH($D104,REF_CODES!$C$40:$C$45,0)),"")</f>
        <v>RA-NAM</v>
      </c>
      <c r="F104" s="235"/>
      <c r="G104" s="235"/>
      <c r="H104" s="235" t="s">
        <v>4656</v>
      </c>
      <c r="I104" s="235" t="s">
        <v>2306</v>
      </c>
      <c r="J104" s="235"/>
      <c r="K104" s="235" t="s">
        <v>2306</v>
      </c>
      <c r="L104" s="235" t="s">
        <v>4657</v>
      </c>
      <c r="M104" s="235" t="s">
        <v>4658</v>
      </c>
      <c r="N104" s="235"/>
      <c r="O104" s="235"/>
      <c r="P104" s="235"/>
      <c r="Q104" s="235"/>
      <c r="R104" s="235"/>
      <c r="S104" s="235"/>
      <c r="T104" s="235"/>
      <c r="U104" s="235"/>
      <c r="V104" s="235"/>
      <c r="W104" s="235"/>
      <c r="X104" s="235"/>
      <c r="Y104" s="235"/>
      <c r="Z104" s="235"/>
      <c r="AA104" s="13"/>
      <c r="AB104" s="13"/>
    </row>
    <row r="105" ht="15.0" customHeight="1">
      <c r="A105" s="235" t="s">
        <v>2172</v>
      </c>
      <c r="B105" s="235" t="s">
        <v>1107</v>
      </c>
      <c r="C105" s="235" t="s">
        <v>4661</v>
      </c>
      <c r="D105" s="235" t="s">
        <v>764</v>
      </c>
      <c r="E105" s="235" t="str">
        <f t="array" ref="E105">IFERROR(INDEX(REF_CODES!$B$40:$B$45,MATCH($D105,REF_CODES!$C$40:$C$45,0)),"")</f>
        <v>RA-NAM</v>
      </c>
      <c r="F105" s="235"/>
      <c r="G105" s="235"/>
      <c r="H105" s="235" t="s">
        <v>4663</v>
      </c>
      <c r="I105" s="235" t="s">
        <v>2191</v>
      </c>
      <c r="J105" s="235"/>
      <c r="K105" s="235" t="s">
        <v>2191</v>
      </c>
      <c r="L105" s="235" t="s">
        <v>4664</v>
      </c>
      <c r="M105" s="235" t="s">
        <v>4658</v>
      </c>
      <c r="N105" s="235"/>
      <c r="O105" s="235"/>
      <c r="P105" s="235"/>
      <c r="Q105" s="235"/>
      <c r="R105" s="235"/>
      <c r="S105" s="235"/>
      <c r="T105" s="235"/>
      <c r="U105" s="235"/>
      <c r="V105" s="235"/>
      <c r="W105" s="235"/>
      <c r="X105" s="235"/>
      <c r="Y105" s="235"/>
      <c r="Z105" s="235"/>
      <c r="AA105" s="13"/>
      <c r="AB105" s="13"/>
    </row>
    <row r="106" ht="15.0" customHeight="1">
      <c r="A106" s="235" t="s">
        <v>2172</v>
      </c>
      <c r="B106" s="235" t="s">
        <v>1107</v>
      </c>
      <c r="C106" s="235" t="s">
        <v>4669</v>
      </c>
      <c r="D106" s="235" t="s">
        <v>764</v>
      </c>
      <c r="E106" s="235" t="str">
        <f t="array" ref="E106">IFERROR(INDEX(REF_CODES!$B$40:$B$45,MATCH($D106,REF_CODES!$C$40:$C$45,0)),"")</f>
        <v>RA-NAM</v>
      </c>
      <c r="F106" s="235"/>
      <c r="G106" s="235"/>
      <c r="H106" s="235" t="s">
        <v>2333</v>
      </c>
      <c r="I106" s="235" t="s">
        <v>2335</v>
      </c>
      <c r="J106" s="235"/>
      <c r="K106" s="235" t="s">
        <v>2335</v>
      </c>
      <c r="L106" s="235" t="s">
        <v>4678</v>
      </c>
      <c r="M106" s="235" t="s">
        <v>4658</v>
      </c>
      <c r="N106" s="235"/>
      <c r="O106" s="235"/>
      <c r="P106" s="235"/>
      <c r="Q106" s="235"/>
      <c r="R106" s="235"/>
      <c r="S106" s="235"/>
      <c r="T106" s="235"/>
      <c r="U106" s="235"/>
      <c r="V106" s="235"/>
      <c r="W106" s="235"/>
      <c r="X106" s="235"/>
      <c r="Y106" s="235"/>
      <c r="Z106" s="235"/>
      <c r="AA106" s="13"/>
      <c r="AB106" s="13"/>
    </row>
    <row r="107" ht="15.0" customHeight="1">
      <c r="A107" s="235" t="s">
        <v>2172</v>
      </c>
      <c r="B107" s="235" t="s">
        <v>1107</v>
      </c>
      <c r="C107" s="235" t="s">
        <v>4680</v>
      </c>
      <c r="D107" s="235" t="s">
        <v>764</v>
      </c>
      <c r="E107" s="235" t="str">
        <f t="array" ref="E107">IFERROR(INDEX(REF_CODES!$B$40:$B$45,MATCH($D107,REF_CODES!$C$40:$C$45,0)),"")</f>
        <v>RA-NAM</v>
      </c>
      <c r="F107" s="235"/>
      <c r="G107" s="235"/>
      <c r="H107" s="235" t="s">
        <v>2916</v>
      </c>
      <c r="I107" s="235" t="s">
        <v>4687</v>
      </c>
      <c r="J107" s="235"/>
      <c r="K107" s="235" t="s">
        <v>4687</v>
      </c>
      <c r="L107" s="235" t="s">
        <v>4688</v>
      </c>
      <c r="M107" s="235" t="s">
        <v>4658</v>
      </c>
      <c r="N107" s="235"/>
      <c r="O107" s="235"/>
      <c r="P107" s="235"/>
      <c r="Q107" s="235"/>
      <c r="R107" s="235"/>
      <c r="S107" s="235"/>
      <c r="T107" s="235"/>
      <c r="U107" s="235"/>
      <c r="V107" s="235"/>
      <c r="W107" s="235"/>
      <c r="X107" s="235"/>
      <c r="Y107" s="235"/>
      <c r="Z107" s="235"/>
      <c r="AA107" s="13"/>
      <c r="AB107" s="13"/>
    </row>
    <row r="108" ht="15.0" customHeight="1">
      <c r="A108" s="235" t="s">
        <v>2172</v>
      </c>
      <c r="B108" s="235" t="s">
        <v>1107</v>
      </c>
      <c r="C108" s="235" t="s">
        <v>4690</v>
      </c>
      <c r="D108" s="235" t="s">
        <v>764</v>
      </c>
      <c r="E108" s="235" t="str">
        <f t="array" ref="E108">IFERROR(INDEX(REF_CODES!$B$40:$B$45,MATCH($D108,REF_CODES!$C$40:$C$45,0)),"")</f>
        <v>RA-NAM</v>
      </c>
      <c r="F108" s="235"/>
      <c r="G108" s="235"/>
      <c r="H108" s="235" t="s">
        <v>4702</v>
      </c>
      <c r="I108" s="235" t="s">
        <v>4703</v>
      </c>
      <c r="J108" s="235"/>
      <c r="K108" s="235" t="s">
        <v>4703</v>
      </c>
      <c r="L108" s="235" t="s">
        <v>4704</v>
      </c>
      <c r="M108" s="235" t="s">
        <v>4658</v>
      </c>
      <c r="N108" s="235"/>
      <c r="O108" s="235"/>
      <c r="P108" s="235"/>
      <c r="Q108" s="235"/>
      <c r="R108" s="235"/>
      <c r="S108" s="235"/>
      <c r="T108" s="235"/>
      <c r="U108" s="235"/>
      <c r="V108" s="235"/>
      <c r="W108" s="235"/>
      <c r="X108" s="235"/>
      <c r="Y108" s="235"/>
      <c r="Z108" s="235"/>
      <c r="AA108" s="13"/>
      <c r="AB108" s="13"/>
    </row>
    <row r="109" ht="15.0" customHeight="1">
      <c r="A109" s="235" t="s">
        <v>2172</v>
      </c>
      <c r="B109" s="235" t="s">
        <v>1107</v>
      </c>
      <c r="C109" s="235" t="s">
        <v>4715</v>
      </c>
      <c r="D109" s="235" t="s">
        <v>754</v>
      </c>
      <c r="E109" s="235" t="str">
        <f t="array" ref="E109">IFERROR(INDEX(REF_CODES!$B$40:$B$45,MATCH($D109,REF_CODES!$C$40:$C$45,0)),"")</f>
        <v>RA-NVE</v>
      </c>
      <c r="F109" s="235"/>
      <c r="G109" s="235"/>
      <c r="H109" s="235" t="s">
        <v>4720</v>
      </c>
      <c r="I109" s="235" t="s">
        <v>4703</v>
      </c>
      <c r="J109" s="235"/>
      <c r="K109" s="235" t="s">
        <v>4721</v>
      </c>
      <c r="L109" s="235" t="s">
        <v>4722</v>
      </c>
      <c r="M109" s="235" t="s">
        <v>4724</v>
      </c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13"/>
      <c r="AB109" s="13"/>
    </row>
    <row r="110" ht="15.0" customHeight="1">
      <c r="A110" s="235" t="s">
        <v>2172</v>
      </c>
      <c r="B110" s="235" t="s">
        <v>1107</v>
      </c>
      <c r="C110" s="235" t="s">
        <v>4733</v>
      </c>
      <c r="D110" s="235" t="s">
        <v>754</v>
      </c>
      <c r="E110" s="235" t="str">
        <f t="array" ref="E110">IFERROR(INDEX(REF_CODES!$B$40:$B$45,MATCH($D110,REF_CODES!$C$40:$C$45,0)),"")</f>
        <v>RA-NVE</v>
      </c>
      <c r="F110" s="235"/>
      <c r="G110" s="235"/>
      <c r="H110" s="235" t="s">
        <v>4741</v>
      </c>
      <c r="I110" s="235" t="s">
        <v>2836</v>
      </c>
      <c r="J110" s="235"/>
      <c r="K110" s="235" t="s">
        <v>4747</v>
      </c>
      <c r="L110" s="235" t="s">
        <v>4749</v>
      </c>
      <c r="M110" s="235" t="s">
        <v>4751</v>
      </c>
      <c r="N110" s="235"/>
      <c r="O110" s="235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13"/>
      <c r="AB110" s="13"/>
    </row>
    <row r="111" ht="15.0" customHeight="1">
      <c r="A111" s="235" t="s">
        <v>2172</v>
      </c>
      <c r="B111" s="235" t="s">
        <v>1107</v>
      </c>
      <c r="C111" s="235" t="s">
        <v>4762</v>
      </c>
      <c r="D111" s="235" t="s">
        <v>754</v>
      </c>
      <c r="E111" s="235" t="str">
        <f t="array" ref="E111">IFERROR(INDEX(REF_CODES!$B$40:$B$45,MATCH($D111,REF_CODES!$C$40:$C$45,0)),"")</f>
        <v>RA-NVE</v>
      </c>
      <c r="F111" s="235"/>
      <c r="G111" s="235"/>
      <c r="H111" s="235" t="s">
        <v>4773</v>
      </c>
      <c r="I111" s="235" t="s">
        <v>4775</v>
      </c>
      <c r="J111" s="235"/>
      <c r="K111" s="235" t="s">
        <v>4778</v>
      </c>
      <c r="L111" s="235" t="s">
        <v>4779</v>
      </c>
      <c r="M111" s="235" t="s">
        <v>4780</v>
      </c>
      <c r="N111" s="235"/>
      <c r="O111" s="235"/>
      <c r="P111" s="235"/>
      <c r="Q111" s="235"/>
      <c r="R111" s="235"/>
      <c r="S111" s="235"/>
      <c r="T111" s="235"/>
      <c r="U111" s="235"/>
      <c r="V111" s="235"/>
      <c r="W111" s="235"/>
      <c r="X111" s="235"/>
      <c r="Y111" s="235"/>
      <c r="Z111" s="235"/>
      <c r="AA111" s="13"/>
      <c r="AB111" s="13"/>
    </row>
    <row r="112" ht="15.0" customHeight="1">
      <c r="A112" s="235" t="s">
        <v>2172</v>
      </c>
      <c r="B112" s="235" t="s">
        <v>1107</v>
      </c>
      <c r="C112" s="235" t="s">
        <v>4789</v>
      </c>
      <c r="D112" s="235" t="s">
        <v>754</v>
      </c>
      <c r="E112" s="235" t="str">
        <f t="array" ref="E112">IFERROR(INDEX(REF_CODES!$B$40:$B$45,MATCH($D112,REF_CODES!$C$40:$C$45,0)),"")</f>
        <v>RA-NVE</v>
      </c>
      <c r="F112" s="235"/>
      <c r="G112" s="235"/>
      <c r="H112" s="235" t="s">
        <v>4792</v>
      </c>
      <c r="I112" s="235" t="s">
        <v>2836</v>
      </c>
      <c r="J112" s="235"/>
      <c r="K112" s="235" t="s">
        <v>4793</v>
      </c>
      <c r="L112" s="235" t="s">
        <v>4704</v>
      </c>
      <c r="M112" s="235" t="s">
        <v>4796</v>
      </c>
      <c r="N112" s="235"/>
      <c r="O112" s="235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13"/>
      <c r="AB112" s="13"/>
    </row>
    <row r="113" ht="15.0" customHeight="1">
      <c r="A113" s="235" t="s">
        <v>2172</v>
      </c>
      <c r="B113" s="235" t="s">
        <v>1107</v>
      </c>
      <c r="C113" s="235" t="s">
        <v>4806</v>
      </c>
      <c r="D113" s="235" t="s">
        <v>754</v>
      </c>
      <c r="E113" s="235" t="str">
        <f t="array" ref="E113">IFERROR(INDEX(REF_CODES!$B$40:$B$45,MATCH($D113,REF_CODES!$C$40:$C$45,0)),"")</f>
        <v>RA-NVE</v>
      </c>
      <c r="F113" s="235"/>
      <c r="G113" s="235"/>
      <c r="H113" s="235" t="s">
        <v>4813</v>
      </c>
      <c r="I113" s="235" t="s">
        <v>2306</v>
      </c>
      <c r="J113" s="235"/>
      <c r="K113" s="235" t="s">
        <v>4815</v>
      </c>
      <c r="L113" s="235" t="s">
        <v>4816</v>
      </c>
      <c r="M113" s="235" t="s">
        <v>4818</v>
      </c>
      <c r="N113" s="235"/>
      <c r="O113" s="235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13"/>
      <c r="AB113" s="13"/>
    </row>
    <row r="114" ht="15.0" customHeight="1">
      <c r="A114" s="235" t="s">
        <v>2172</v>
      </c>
      <c r="B114" s="235" t="s">
        <v>1107</v>
      </c>
      <c r="C114" s="235" t="s">
        <v>4827</v>
      </c>
      <c r="D114" s="235" t="s">
        <v>754</v>
      </c>
      <c r="E114" s="235" t="str">
        <f t="array" ref="E114">IFERROR(INDEX(REF_CODES!$B$40:$B$45,MATCH($D114,REF_CODES!$C$40:$C$45,0)),"")</f>
        <v>RA-NVE</v>
      </c>
      <c r="F114" s="235"/>
      <c r="G114" s="235"/>
      <c r="H114" s="235" t="s">
        <v>4832</v>
      </c>
      <c r="I114" s="235" t="s">
        <v>4833</v>
      </c>
      <c r="J114" s="235"/>
      <c r="K114" s="235" t="s">
        <v>4835</v>
      </c>
      <c r="L114" s="235" t="s">
        <v>4837</v>
      </c>
      <c r="M114" s="235" t="s">
        <v>4839</v>
      </c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13"/>
      <c r="AB114" s="13"/>
    </row>
    <row r="115" ht="15.0" customHeight="1">
      <c r="A115" s="235" t="s">
        <v>2172</v>
      </c>
      <c r="B115" s="235" t="s">
        <v>1107</v>
      </c>
      <c r="C115" s="235" t="s">
        <v>4850</v>
      </c>
      <c r="D115" s="235" t="s">
        <v>754</v>
      </c>
      <c r="E115" s="235" t="str">
        <f t="array" ref="E115">IFERROR(INDEX(REF_CODES!$B$40:$B$45,MATCH($D115,REF_CODES!$C$40:$C$45,0)),"")</f>
        <v>RA-NVE</v>
      </c>
      <c r="F115" s="235"/>
      <c r="G115" s="235"/>
      <c r="H115" s="235" t="s">
        <v>4855</v>
      </c>
      <c r="I115" s="235" t="s">
        <v>4856</v>
      </c>
      <c r="J115" s="235"/>
      <c r="K115" s="235" t="s">
        <v>4857</v>
      </c>
      <c r="L115" s="235" t="s">
        <v>4858</v>
      </c>
      <c r="M115" s="235" t="s">
        <v>4859</v>
      </c>
      <c r="N115" s="235"/>
      <c r="O115" s="235"/>
      <c r="P115" s="235"/>
      <c r="Q115" s="235"/>
      <c r="R115" s="235"/>
      <c r="S115" s="235"/>
      <c r="T115" s="235"/>
      <c r="U115" s="235"/>
      <c r="V115" s="235"/>
      <c r="W115" s="235"/>
      <c r="X115" s="235"/>
      <c r="Y115" s="235"/>
      <c r="Z115" s="235"/>
      <c r="AA115" s="13"/>
      <c r="AB115" s="13"/>
    </row>
    <row r="116" ht="15.0" customHeight="1">
      <c r="A116" s="235" t="s">
        <v>2172</v>
      </c>
      <c r="B116" s="235" t="s">
        <v>1107</v>
      </c>
      <c r="C116" s="235" t="s">
        <v>4868</v>
      </c>
      <c r="D116" s="235" t="s">
        <v>754</v>
      </c>
      <c r="E116" s="235" t="str">
        <f t="array" ref="E116">IFERROR(INDEX(REF_CODES!$B$40:$B$45,MATCH($D116,REF_CODES!$C$40:$C$45,0)),"")</f>
        <v>RA-NVE</v>
      </c>
      <c r="F116" s="235"/>
      <c r="G116" s="235"/>
      <c r="H116" s="235" t="s">
        <v>4873</v>
      </c>
      <c r="I116" s="235" t="s">
        <v>1919</v>
      </c>
      <c r="J116" s="235"/>
      <c r="K116" s="235" t="s">
        <v>4875</v>
      </c>
      <c r="L116" s="235" t="s">
        <v>4876</v>
      </c>
      <c r="M116" s="235" t="s">
        <v>4877</v>
      </c>
      <c r="N116" s="235"/>
      <c r="O116" s="235"/>
      <c r="P116" s="235"/>
      <c r="Q116" s="235"/>
      <c r="R116" s="235"/>
      <c r="S116" s="235"/>
      <c r="T116" s="235"/>
      <c r="U116" s="235"/>
      <c r="V116" s="235"/>
      <c r="W116" s="235"/>
      <c r="X116" s="235"/>
      <c r="Y116" s="235"/>
      <c r="Z116" s="235"/>
      <c r="AA116" s="13"/>
      <c r="AB116" s="13"/>
    </row>
    <row r="117" ht="15.0" customHeight="1">
      <c r="A117" s="235" t="s">
        <v>2172</v>
      </c>
      <c r="B117" s="235" t="s">
        <v>1107</v>
      </c>
      <c r="C117" s="235" t="s">
        <v>4884</v>
      </c>
      <c r="D117" s="235" t="s">
        <v>754</v>
      </c>
      <c r="E117" s="235" t="str">
        <f t="array" ref="E117">IFERROR(INDEX(REF_CODES!$B$40:$B$45,MATCH($D117,REF_CODES!$C$40:$C$45,0)),"")</f>
        <v>RA-NVE</v>
      </c>
      <c r="F117" s="235"/>
      <c r="G117" s="235"/>
      <c r="H117" s="235" t="s">
        <v>4887</v>
      </c>
      <c r="I117" s="235" t="s">
        <v>1919</v>
      </c>
      <c r="J117" s="235"/>
      <c r="K117" s="235" t="s">
        <v>1229</v>
      </c>
      <c r="L117" s="235" t="s">
        <v>1229</v>
      </c>
      <c r="M117" s="235" t="s">
        <v>3014</v>
      </c>
      <c r="N117" s="235"/>
      <c r="O117" s="235"/>
      <c r="P117" s="235"/>
      <c r="Q117" s="235"/>
      <c r="R117" s="235"/>
      <c r="S117" s="235"/>
      <c r="T117" s="235"/>
      <c r="U117" s="235"/>
      <c r="V117" s="235"/>
      <c r="W117" s="235"/>
      <c r="X117" s="235"/>
      <c r="Y117" s="235"/>
      <c r="Z117" s="235"/>
      <c r="AA117" s="13"/>
      <c r="AB117" s="13"/>
    </row>
    <row r="118" ht="15.0" customHeight="1">
      <c r="A118" s="235" t="s">
        <v>2172</v>
      </c>
      <c r="B118" s="235" t="s">
        <v>1107</v>
      </c>
      <c r="C118" s="235" t="s">
        <v>4895</v>
      </c>
      <c r="D118" s="235"/>
      <c r="E118" s="235"/>
      <c r="F118" s="235" t="s">
        <v>546</v>
      </c>
      <c r="G118" s="235" t="str">
        <f t="array" ref="G118">IFERROR(INDEX(REF_CODES!$B$34:$B$39,MATCH($F118,REF_CODES!$C$34:$C$39,0)),"")</f>
        <v>RA-DBR</v>
      </c>
      <c r="H118" s="235" t="s">
        <v>4902</v>
      </c>
      <c r="I118" s="235" t="s">
        <v>2191</v>
      </c>
      <c r="J118" s="235"/>
      <c r="K118" s="235" t="s">
        <v>4904</v>
      </c>
      <c r="L118" s="235" t="s">
        <v>4906</v>
      </c>
      <c r="M118" s="235" t="s">
        <v>4907</v>
      </c>
      <c r="N118" s="235"/>
      <c r="O118" s="235"/>
      <c r="P118" s="235"/>
      <c r="Q118" s="235"/>
      <c r="R118" s="235"/>
      <c r="S118" s="235"/>
      <c r="T118" s="235"/>
      <c r="U118" s="235"/>
      <c r="V118" s="235"/>
      <c r="W118" s="235"/>
      <c r="X118" s="235"/>
      <c r="Y118" s="235"/>
      <c r="Z118" s="235"/>
      <c r="AA118" s="13"/>
      <c r="AB118" s="13"/>
    </row>
    <row r="119" ht="15.0" customHeight="1">
      <c r="A119" s="235" t="s">
        <v>2172</v>
      </c>
      <c r="B119" s="235" t="s">
        <v>1107</v>
      </c>
      <c r="C119" s="235" t="s">
        <v>4911</v>
      </c>
      <c r="D119" s="235"/>
      <c r="E119" s="235"/>
      <c r="F119" s="235" t="s">
        <v>546</v>
      </c>
      <c r="G119" s="235" t="str">
        <f t="array" ref="G119">IFERROR(INDEX(REF_CODES!$B$34:$B$39,MATCH($F119,REF_CODES!$C$34:$C$39,0)),"")</f>
        <v>RA-DBR</v>
      </c>
      <c r="H119" s="235" t="s">
        <v>4913</v>
      </c>
      <c r="I119" s="235" t="s">
        <v>4914</v>
      </c>
      <c r="J119" s="235"/>
      <c r="K119" s="235" t="s">
        <v>4915</v>
      </c>
      <c r="L119" s="235" t="s">
        <v>4917</v>
      </c>
      <c r="M119" s="235" t="s">
        <v>4918</v>
      </c>
      <c r="N119" s="235"/>
      <c r="O119" s="235"/>
      <c r="P119" s="235"/>
      <c r="Q119" s="235"/>
      <c r="R119" s="235"/>
      <c r="S119" s="235"/>
      <c r="T119" s="235"/>
      <c r="U119" s="235"/>
      <c r="V119" s="235"/>
      <c r="W119" s="235"/>
      <c r="X119" s="235"/>
      <c r="Y119" s="235"/>
      <c r="Z119" s="235"/>
      <c r="AA119" s="13"/>
      <c r="AB119" s="13"/>
    </row>
    <row r="120" ht="15.0" customHeight="1">
      <c r="A120" s="235" t="s">
        <v>2172</v>
      </c>
      <c r="B120" s="235" t="s">
        <v>1107</v>
      </c>
      <c r="C120" s="235" t="s">
        <v>4926</v>
      </c>
      <c r="D120" s="235"/>
      <c r="E120" s="235"/>
      <c r="F120" s="235" t="s">
        <v>546</v>
      </c>
      <c r="G120" s="235" t="str">
        <f t="array" ref="G120">IFERROR(INDEX(REF_CODES!$B$34:$B$39,MATCH($F120,REF_CODES!$C$34:$C$39,0)),"")</f>
        <v>RA-DBR</v>
      </c>
      <c r="H120" s="235" t="s">
        <v>4931</v>
      </c>
      <c r="I120" s="235" t="s">
        <v>2306</v>
      </c>
      <c r="J120" s="235"/>
      <c r="K120" s="235" t="s">
        <v>4932</v>
      </c>
      <c r="L120" s="235" t="s">
        <v>4933</v>
      </c>
      <c r="M120" s="235" t="s">
        <v>4934</v>
      </c>
      <c r="N120" s="235"/>
      <c r="O120" s="235"/>
      <c r="P120" s="235"/>
      <c r="Q120" s="235"/>
      <c r="R120" s="235"/>
      <c r="S120" s="235"/>
      <c r="T120" s="235"/>
      <c r="U120" s="235"/>
      <c r="V120" s="235"/>
      <c r="W120" s="235"/>
      <c r="X120" s="235"/>
      <c r="Y120" s="235"/>
      <c r="Z120" s="235"/>
      <c r="AA120" s="13"/>
      <c r="AB120" s="13"/>
    </row>
    <row r="121" ht="15.0" customHeight="1">
      <c r="A121" s="235" t="s">
        <v>2172</v>
      </c>
      <c r="B121" s="235" t="s">
        <v>1107</v>
      </c>
      <c r="C121" s="235" t="s">
        <v>4938</v>
      </c>
      <c r="D121" s="235"/>
      <c r="E121" s="235"/>
      <c r="F121" s="235" t="s">
        <v>546</v>
      </c>
      <c r="G121" s="235" t="str">
        <f t="array" ref="G121">IFERROR(INDEX(REF_CODES!$B$34:$B$39,MATCH($F121,REF_CODES!$C$34:$C$39,0)),"")</f>
        <v>RA-DBR</v>
      </c>
      <c r="H121" s="235" t="s">
        <v>4943</v>
      </c>
      <c r="I121" s="235" t="s">
        <v>2191</v>
      </c>
      <c r="J121" s="235"/>
      <c r="K121" s="235" t="s">
        <v>4945</v>
      </c>
      <c r="L121" s="235" t="s">
        <v>4946</v>
      </c>
      <c r="M121" s="235" t="s">
        <v>4948</v>
      </c>
      <c r="N121" s="235"/>
      <c r="O121" s="235"/>
      <c r="P121" s="235"/>
      <c r="Q121" s="235"/>
      <c r="R121" s="235"/>
      <c r="S121" s="235"/>
      <c r="T121" s="235"/>
      <c r="U121" s="235"/>
      <c r="V121" s="235"/>
      <c r="W121" s="235"/>
      <c r="X121" s="235"/>
      <c r="Y121" s="235"/>
      <c r="Z121" s="235"/>
      <c r="AA121" s="13"/>
      <c r="AB121" s="13"/>
    </row>
    <row r="122" ht="15.0" customHeight="1">
      <c r="A122" s="235" t="s">
        <v>2172</v>
      </c>
      <c r="B122" s="235" t="s">
        <v>1107</v>
      </c>
      <c r="C122" s="235" t="s">
        <v>4953</v>
      </c>
      <c r="D122" s="235"/>
      <c r="E122" s="235"/>
      <c r="F122" s="235" t="s">
        <v>546</v>
      </c>
      <c r="G122" s="235" t="str">
        <f t="array" ref="G122">IFERROR(INDEX(REF_CODES!$B$34:$B$39,MATCH($F122,REF_CODES!$C$34:$C$39,0)),"")</f>
        <v>RA-DBR</v>
      </c>
      <c r="H122" s="235" t="s">
        <v>4955</v>
      </c>
      <c r="I122" s="235" t="s">
        <v>2191</v>
      </c>
      <c r="J122" s="235"/>
      <c r="K122" s="235" t="s">
        <v>4956</v>
      </c>
      <c r="L122" s="235" t="s">
        <v>4957</v>
      </c>
      <c r="M122" s="235" t="s">
        <v>4958</v>
      </c>
      <c r="N122" s="235"/>
      <c r="O122" s="235"/>
      <c r="P122" s="235"/>
      <c r="Q122" s="235"/>
      <c r="R122" s="235"/>
      <c r="S122" s="235"/>
      <c r="T122" s="235"/>
      <c r="U122" s="235"/>
      <c r="V122" s="235"/>
      <c r="W122" s="235"/>
      <c r="X122" s="235"/>
      <c r="Y122" s="235"/>
      <c r="Z122" s="235"/>
      <c r="AA122" s="13"/>
      <c r="AB122" s="13"/>
    </row>
    <row r="123" ht="15.0" customHeight="1">
      <c r="A123" s="235" t="s">
        <v>2172</v>
      </c>
      <c r="B123" s="235" t="s">
        <v>1107</v>
      </c>
      <c r="C123" s="235" t="s">
        <v>4965</v>
      </c>
      <c r="D123" s="235"/>
      <c r="E123" s="235"/>
      <c r="F123" s="235" t="s">
        <v>546</v>
      </c>
      <c r="G123" s="235" t="str">
        <f t="array" ref="G123">IFERROR(INDEX(REF_CODES!$B$34:$B$39,MATCH($F123,REF_CODES!$C$34:$C$39,0)),"")</f>
        <v>RA-DBR</v>
      </c>
      <c r="H123" s="235" t="s">
        <v>4967</v>
      </c>
      <c r="I123" s="235" t="s">
        <v>2406</v>
      </c>
      <c r="J123" s="235"/>
      <c r="K123" s="235" t="s">
        <v>4968</v>
      </c>
      <c r="L123" s="235" t="s">
        <v>4969</v>
      </c>
      <c r="M123" s="235" t="s">
        <v>4970</v>
      </c>
      <c r="N123" s="235"/>
      <c r="O123" s="235"/>
      <c r="P123" s="235"/>
      <c r="Q123" s="235"/>
      <c r="R123" s="235"/>
      <c r="S123" s="235"/>
      <c r="T123" s="235"/>
      <c r="U123" s="235"/>
      <c r="V123" s="235"/>
      <c r="W123" s="235"/>
      <c r="X123" s="235"/>
      <c r="Y123" s="235"/>
      <c r="Z123" s="235"/>
      <c r="AA123" s="13"/>
      <c r="AB123" s="13"/>
    </row>
    <row r="124" ht="15.0" customHeight="1">
      <c r="A124" s="235" t="s">
        <v>2172</v>
      </c>
      <c r="B124" s="235" t="s">
        <v>1107</v>
      </c>
      <c r="C124" s="235" t="s">
        <v>4980</v>
      </c>
      <c r="D124" s="235"/>
      <c r="E124" s="235"/>
      <c r="F124" s="235" t="s">
        <v>546</v>
      </c>
      <c r="G124" s="235" t="str">
        <f t="array" ref="G124">IFERROR(INDEX(REF_CODES!$B$34:$B$39,MATCH($F124,REF_CODES!$C$34:$C$39,0)),"")</f>
        <v>RA-DBR</v>
      </c>
      <c r="H124" s="235" t="s">
        <v>4984</v>
      </c>
      <c r="I124" s="235" t="s">
        <v>2191</v>
      </c>
      <c r="J124" s="235"/>
      <c r="K124" s="235" t="s">
        <v>4985</v>
      </c>
      <c r="L124" s="235" t="s">
        <v>4986</v>
      </c>
      <c r="M124" s="235" t="s">
        <v>4989</v>
      </c>
      <c r="N124" s="235"/>
      <c r="O124" s="235"/>
      <c r="P124" s="235"/>
      <c r="Q124" s="235"/>
      <c r="R124" s="235"/>
      <c r="S124" s="235"/>
      <c r="T124" s="235"/>
      <c r="U124" s="235"/>
      <c r="V124" s="235"/>
      <c r="W124" s="235"/>
      <c r="X124" s="235"/>
      <c r="Y124" s="235"/>
      <c r="Z124" s="235"/>
      <c r="AA124" s="13"/>
      <c r="AB124" s="13"/>
    </row>
    <row r="125" ht="15.0" customHeight="1">
      <c r="A125" s="235" t="s">
        <v>2172</v>
      </c>
      <c r="B125" s="235" t="s">
        <v>1107</v>
      </c>
      <c r="C125" s="235" t="s">
        <v>4995</v>
      </c>
      <c r="D125" s="235"/>
      <c r="E125" s="235"/>
      <c r="F125" s="235" t="s">
        <v>546</v>
      </c>
      <c r="G125" s="235" t="str">
        <f t="array" ref="G125">IFERROR(INDEX(REF_CODES!$B$34:$B$39,MATCH($F125,REF_CODES!$C$34:$C$39,0)),"")</f>
        <v>RA-DBR</v>
      </c>
      <c r="H125" s="235" t="s">
        <v>4998</v>
      </c>
      <c r="I125" s="235" t="s">
        <v>2306</v>
      </c>
      <c r="J125" s="235"/>
      <c r="K125" s="235" t="s">
        <v>4999</v>
      </c>
      <c r="L125" s="235" t="s">
        <v>5000</v>
      </c>
      <c r="M125" s="235" t="s">
        <v>5001</v>
      </c>
      <c r="N125" s="235"/>
      <c r="O125" s="235"/>
      <c r="P125" s="235"/>
      <c r="Q125" s="235"/>
      <c r="R125" s="235"/>
      <c r="S125" s="235"/>
      <c r="T125" s="235"/>
      <c r="U125" s="235"/>
      <c r="V125" s="235"/>
      <c r="W125" s="235"/>
      <c r="X125" s="235"/>
      <c r="Y125" s="235"/>
      <c r="Z125" s="235"/>
      <c r="AA125" s="13"/>
      <c r="AB125" s="13"/>
    </row>
    <row r="126" ht="15.0" customHeight="1">
      <c r="A126" s="235" t="s">
        <v>2172</v>
      </c>
      <c r="B126" s="235" t="s">
        <v>1107</v>
      </c>
      <c r="C126" s="235" t="s">
        <v>5007</v>
      </c>
      <c r="D126" s="235"/>
      <c r="E126" s="235"/>
      <c r="F126" s="235" t="s">
        <v>546</v>
      </c>
      <c r="G126" s="235" t="str">
        <f t="array" ref="G126">IFERROR(INDEX(REF_CODES!$B$34:$B$39,MATCH($F126,REF_CODES!$C$34:$C$39,0)),"")</f>
        <v>RA-DBR</v>
      </c>
      <c r="H126" s="235" t="s">
        <v>5010</v>
      </c>
      <c r="I126" s="235" t="s">
        <v>2306</v>
      </c>
      <c r="J126" s="235"/>
      <c r="K126" s="235" t="s">
        <v>5012</v>
      </c>
      <c r="L126" s="235" t="s">
        <v>5015</v>
      </c>
      <c r="M126" s="235" t="s">
        <v>5017</v>
      </c>
      <c r="N126" s="235"/>
      <c r="O126" s="235"/>
      <c r="P126" s="235"/>
      <c r="Q126" s="235"/>
      <c r="R126" s="235"/>
      <c r="S126" s="235"/>
      <c r="T126" s="235"/>
      <c r="U126" s="235"/>
      <c r="V126" s="235"/>
      <c r="W126" s="235"/>
      <c r="X126" s="235"/>
      <c r="Y126" s="235"/>
      <c r="Z126" s="235"/>
      <c r="AA126" s="13"/>
      <c r="AB126" s="13"/>
    </row>
    <row r="127" ht="15.0" customHeight="1">
      <c r="A127" s="235" t="s">
        <v>2172</v>
      </c>
      <c r="B127" s="235" t="s">
        <v>1107</v>
      </c>
      <c r="C127" s="235" t="s">
        <v>5021</v>
      </c>
      <c r="D127" s="235"/>
      <c r="E127" s="235" t="str">
        <f t="array" ref="E127">IFERROR(INDEX(REF_CODES!$B$40:$B$45,MATCH($D127,REF_CODES!$C$40:$C$45,0)),"")</f>
        <v/>
      </c>
      <c r="F127" s="235" t="s">
        <v>546</v>
      </c>
      <c r="G127" s="235" t="str">
        <f t="array" ref="G127">IFERROR(INDEX(REF_CODES!$B$34:$B$39,MATCH($F127,REF_CODES!$C$34:$C$39,0)),"")</f>
        <v>RA-DBR</v>
      </c>
      <c r="H127" s="235" t="s">
        <v>2333</v>
      </c>
      <c r="I127" s="235" t="s">
        <v>2200</v>
      </c>
      <c r="J127" s="235" t="s">
        <v>2192</v>
      </c>
      <c r="K127" s="235"/>
      <c r="L127" s="235" t="s">
        <v>4024</v>
      </c>
      <c r="M127" s="235"/>
      <c r="N127" s="235" t="s">
        <v>195</v>
      </c>
      <c r="O127" s="235"/>
      <c r="P127" s="235"/>
      <c r="Q127" s="235"/>
      <c r="R127" s="235" t="s">
        <v>158</v>
      </c>
      <c r="S127" s="235"/>
      <c r="T127" s="235"/>
      <c r="U127" s="235"/>
      <c r="V127" s="235" t="s">
        <v>4022</v>
      </c>
      <c r="W127" s="235"/>
      <c r="X127" s="235"/>
      <c r="Y127" s="235"/>
      <c r="Z127" s="235"/>
      <c r="AA127" s="13"/>
      <c r="AB127" s="13"/>
    </row>
    <row r="128" ht="15.0" customHeight="1">
      <c r="A128" s="235" t="s">
        <v>2172</v>
      </c>
      <c r="B128" s="235" t="s">
        <v>1107</v>
      </c>
      <c r="C128" s="235" t="s">
        <v>5037</v>
      </c>
      <c r="D128" s="235"/>
      <c r="E128" s="235" t="str">
        <f t="array" ref="E128">IFERROR(INDEX(REF_CODES!$B$40:$B$45,MATCH($D128,REF_CODES!$C$40:$C$45,0)),"")</f>
        <v/>
      </c>
      <c r="F128" s="235" t="s">
        <v>546</v>
      </c>
      <c r="G128" s="235" t="str">
        <f t="array" ref="G128">IFERROR(INDEX(REF_CODES!$B$34:$B$39,MATCH($F128,REF_CODES!$C$34:$C$39,0)),"")</f>
        <v>RA-DBR</v>
      </c>
      <c r="H128" s="235" t="s">
        <v>3581</v>
      </c>
      <c r="I128" s="235" t="s">
        <v>2200</v>
      </c>
      <c r="J128" s="235" t="s">
        <v>4328</v>
      </c>
      <c r="K128" s="235"/>
      <c r="L128" s="235" t="s">
        <v>4024</v>
      </c>
      <c r="M128" s="235"/>
      <c r="N128" s="235" t="s">
        <v>195</v>
      </c>
      <c r="O128" s="235"/>
      <c r="P128" s="235"/>
      <c r="Q128" s="235"/>
      <c r="R128" s="235" t="s">
        <v>161</v>
      </c>
      <c r="S128" s="235"/>
      <c r="T128" s="235"/>
      <c r="U128" s="235"/>
      <c r="V128" s="235" t="s">
        <v>4022</v>
      </c>
      <c r="W128" s="235"/>
      <c r="X128" s="235"/>
      <c r="Y128" s="235"/>
      <c r="Z128" s="235"/>
      <c r="AA128" s="13"/>
      <c r="AB128" s="13"/>
    </row>
    <row r="129" ht="15.0" customHeight="1">
      <c r="A129" s="235" t="s">
        <v>2172</v>
      </c>
      <c r="B129" s="235" t="s">
        <v>1107</v>
      </c>
      <c r="C129" s="235" t="s">
        <v>5051</v>
      </c>
      <c r="D129" s="235"/>
      <c r="E129" s="235" t="str">
        <f t="array" ref="E129">IFERROR(INDEX(REF_CODES!$B$40:$B$45,MATCH($D129,REF_CODES!$C$40:$C$45,0)),"")</f>
        <v/>
      </c>
      <c r="F129" s="235" t="s">
        <v>546</v>
      </c>
      <c r="G129" s="235" t="str">
        <f t="array" ref="G129">IFERROR(INDEX(REF_CODES!$B$34:$B$39,MATCH($F129,REF_CODES!$C$34:$C$39,0)),"")</f>
        <v>RA-DBR</v>
      </c>
      <c r="H129" s="235" t="s">
        <v>5054</v>
      </c>
      <c r="I129" s="235" t="s">
        <v>2200</v>
      </c>
      <c r="J129" s="235" t="s">
        <v>4328</v>
      </c>
      <c r="K129" s="235"/>
      <c r="L129" s="235" t="s">
        <v>4024</v>
      </c>
      <c r="M129" s="235"/>
      <c r="N129" s="235" t="s">
        <v>195</v>
      </c>
      <c r="O129" s="235"/>
      <c r="P129" s="235"/>
      <c r="Q129" s="235"/>
      <c r="R129" s="235" t="s">
        <v>161</v>
      </c>
      <c r="S129" s="235"/>
      <c r="T129" s="235"/>
      <c r="U129" s="235"/>
      <c r="V129" s="235" t="s">
        <v>4022</v>
      </c>
      <c r="W129" s="235"/>
      <c r="X129" s="235"/>
      <c r="Y129" s="235"/>
      <c r="Z129" s="235"/>
      <c r="AA129" s="13"/>
      <c r="AB129" s="13"/>
    </row>
    <row r="130" ht="15.0" customHeight="1">
      <c r="A130" s="235" t="s">
        <v>2172</v>
      </c>
      <c r="B130" s="235" t="s">
        <v>1107</v>
      </c>
      <c r="C130" s="235" t="s">
        <v>5062</v>
      </c>
      <c r="D130" s="235" t="s">
        <v>689</v>
      </c>
      <c r="E130" s="235" t="str">
        <f t="array" ref="E130">IFERROR(INDEX(REF_CODES!$B$40:$B$45,MATCH($D130,REF_CODES!$C$40:$C$45,0)),"")</f>
        <v>RA-NRO</v>
      </c>
      <c r="F130" s="235"/>
      <c r="G130" s="235" t="str">
        <f t="array" ref="G130">IFERROR(INDEX(REF_CODES!$B$34:$B$39,MATCH($F130,REF_CODES!$C$34:$C$39,0)),"")</f>
        <v/>
      </c>
      <c r="H130" s="235" t="s">
        <v>3169</v>
      </c>
      <c r="I130" s="235" t="s">
        <v>2200</v>
      </c>
      <c r="J130" s="235" t="s">
        <v>4328</v>
      </c>
      <c r="K130" s="235"/>
      <c r="L130" s="235" t="s">
        <v>4024</v>
      </c>
      <c r="M130" s="235"/>
      <c r="N130" s="235" t="s">
        <v>202</v>
      </c>
      <c r="O130" s="235"/>
      <c r="P130" s="235"/>
      <c r="Q130" s="235"/>
      <c r="R130" s="235" t="s">
        <v>164</v>
      </c>
      <c r="S130" s="235"/>
      <c r="T130" s="235"/>
      <c r="U130" s="235"/>
      <c r="V130" s="235" t="s">
        <v>4022</v>
      </c>
      <c r="W130" s="235"/>
      <c r="X130" s="235"/>
      <c r="Y130" s="235"/>
      <c r="Z130" s="235"/>
      <c r="AA130" s="13"/>
      <c r="AB130" s="13"/>
    </row>
    <row r="131" ht="15.0" customHeight="1">
      <c r="A131" s="235" t="s">
        <v>2172</v>
      </c>
      <c r="B131" s="235" t="s">
        <v>1107</v>
      </c>
      <c r="C131" s="235" t="s">
        <v>5071</v>
      </c>
      <c r="D131" s="235" t="s">
        <v>689</v>
      </c>
      <c r="E131" s="235" t="str">
        <f t="array" ref="E131">IFERROR(INDEX(REF_CODES!$B$40:$B$45,MATCH($D131,REF_CODES!$C$40:$C$45,0)),"")</f>
        <v>RA-NRO</v>
      </c>
      <c r="F131" s="235"/>
      <c r="G131" s="235" t="str">
        <f t="array" ref="G131">IFERROR(INDEX(REF_CODES!$B$34:$B$39,MATCH($F131,REF_CODES!$C$34:$C$39,0)),"")</f>
        <v/>
      </c>
      <c r="H131" s="235" t="s">
        <v>5077</v>
      </c>
      <c r="I131" s="235" t="s">
        <v>2200</v>
      </c>
      <c r="J131" s="235" t="s">
        <v>4328</v>
      </c>
      <c r="K131" s="235"/>
      <c r="L131" s="235" t="s">
        <v>4024</v>
      </c>
      <c r="M131" s="235"/>
      <c r="N131" s="235" t="s">
        <v>202</v>
      </c>
      <c r="O131" s="235"/>
      <c r="P131" s="235"/>
      <c r="Q131" s="235"/>
      <c r="R131" s="235" t="s">
        <v>167</v>
      </c>
      <c r="S131" s="235"/>
      <c r="T131" s="235"/>
      <c r="U131" s="235"/>
      <c r="V131" s="235" t="s">
        <v>4022</v>
      </c>
      <c r="W131" s="235"/>
      <c r="X131" s="235"/>
      <c r="Y131" s="235"/>
      <c r="Z131" s="235"/>
      <c r="AA131" s="13"/>
      <c r="AB131" s="13"/>
    </row>
    <row r="132" ht="15.0" customHeight="1">
      <c r="A132" s="235" t="s">
        <v>2172</v>
      </c>
      <c r="B132" s="235" t="s">
        <v>1107</v>
      </c>
      <c r="C132" s="235" t="s">
        <v>5082</v>
      </c>
      <c r="D132" s="235" t="s">
        <v>689</v>
      </c>
      <c r="E132" s="235" t="str">
        <f t="array" ref="E132">IFERROR(INDEX(REF_CODES!$B$40:$B$45,MATCH($D132,REF_CODES!$C$40:$C$45,0)),"")</f>
        <v>RA-NRO</v>
      </c>
      <c r="F132" s="235"/>
      <c r="G132" s="235" t="str">
        <f t="array" ref="G132">IFERROR(INDEX(REF_CODES!$B$34:$B$39,MATCH($F132,REF_CODES!$C$34:$C$39,0)),"")</f>
        <v/>
      </c>
      <c r="H132" s="235" t="s">
        <v>3924</v>
      </c>
      <c r="I132" s="235" t="s">
        <v>4031</v>
      </c>
      <c r="J132" s="235" t="s">
        <v>2192</v>
      </c>
      <c r="K132" s="235"/>
      <c r="L132" s="235" t="s">
        <v>4024</v>
      </c>
      <c r="M132" s="235"/>
      <c r="N132" s="235" t="s">
        <v>195</v>
      </c>
      <c r="O132" s="235"/>
      <c r="P132" s="235"/>
      <c r="Q132" s="235"/>
      <c r="R132" s="235" t="s">
        <v>161</v>
      </c>
      <c r="S132" s="235"/>
      <c r="T132" s="235"/>
      <c r="U132" s="235"/>
      <c r="V132" s="235" t="s">
        <v>4022</v>
      </c>
      <c r="W132" s="235"/>
      <c r="X132" s="235"/>
      <c r="Y132" s="235"/>
      <c r="Z132" s="235"/>
      <c r="AA132" s="13"/>
      <c r="AB132" s="13"/>
    </row>
    <row r="133" ht="15.0" customHeight="1">
      <c r="A133" s="235" t="s">
        <v>2172</v>
      </c>
      <c r="B133" s="235" t="s">
        <v>1107</v>
      </c>
      <c r="C133" s="235" t="s">
        <v>5095</v>
      </c>
      <c r="D133" s="235" t="s">
        <v>725</v>
      </c>
      <c r="E133" s="235" t="str">
        <f t="array" ref="E133">IFERROR(INDEX(REF_CODES!$B$40:$B$45,MATCH($D133,REF_CODES!$C$40:$C$45,0)),"")</f>
        <v>RA-NSP</v>
      </c>
      <c r="F133" s="235"/>
      <c r="G133" s="235" t="str">
        <f t="array" ref="G133">IFERROR(INDEX(REF_CODES!$B$34:$B$39,MATCH($F133,REF_CODES!$C$34:$C$39,0)),"")</f>
        <v/>
      </c>
      <c r="H133" s="235" t="s">
        <v>2379</v>
      </c>
      <c r="I133" s="235" t="s">
        <v>2224</v>
      </c>
      <c r="J133" s="235" t="s">
        <v>2192</v>
      </c>
      <c r="K133" s="235"/>
      <c r="L133" s="235" t="s">
        <v>4024</v>
      </c>
      <c r="M133" s="235"/>
      <c r="N133" s="235" t="s">
        <v>195</v>
      </c>
      <c r="O133" s="235"/>
      <c r="P133" s="235"/>
      <c r="Q133" s="235"/>
      <c r="R133" s="235" t="s">
        <v>161</v>
      </c>
      <c r="S133" s="235"/>
      <c r="T133" s="235"/>
      <c r="U133" s="235"/>
      <c r="V133" s="235" t="s">
        <v>4022</v>
      </c>
      <c r="W133" s="235"/>
      <c r="X133" s="235"/>
      <c r="Y133" s="235"/>
      <c r="Z133" s="235"/>
      <c r="AA133" s="13"/>
      <c r="AB133" s="13"/>
    </row>
    <row r="134" ht="15.0" customHeight="1">
      <c r="A134" s="235" t="s">
        <v>2172</v>
      </c>
      <c r="B134" s="235" t="s">
        <v>1107</v>
      </c>
      <c r="C134" s="235" t="s">
        <v>5107</v>
      </c>
      <c r="D134" s="235" t="s">
        <v>725</v>
      </c>
      <c r="E134" s="235" t="str">
        <f t="array" ref="E134">IFERROR(INDEX(REF_CODES!$B$40:$B$45,MATCH($D134,REF_CODES!$C$40:$C$45,0)),"")</f>
        <v>RA-NSP</v>
      </c>
      <c r="F134" s="235"/>
      <c r="G134" s="235" t="str">
        <f t="array" ref="G134">IFERROR(INDEX(REF_CODES!$B$34:$B$39,MATCH($F134,REF_CODES!$C$34:$C$39,0)),"")</f>
        <v/>
      </c>
      <c r="H134" s="235" t="s">
        <v>5114</v>
      </c>
      <c r="I134" s="235" t="s">
        <v>2224</v>
      </c>
      <c r="J134" s="235" t="s">
        <v>2192</v>
      </c>
      <c r="K134" s="235"/>
      <c r="L134" s="235" t="s">
        <v>4024</v>
      </c>
      <c r="M134" s="235"/>
      <c r="N134" s="235" t="s">
        <v>195</v>
      </c>
      <c r="O134" s="235"/>
      <c r="P134" s="235"/>
      <c r="Q134" s="235"/>
      <c r="R134" s="235" t="s">
        <v>161</v>
      </c>
      <c r="S134" s="235"/>
      <c r="T134" s="235"/>
      <c r="U134" s="235"/>
      <c r="V134" s="235" t="s">
        <v>4022</v>
      </c>
      <c r="W134" s="235"/>
      <c r="X134" s="235"/>
      <c r="Y134" s="235"/>
      <c r="Z134" s="235"/>
      <c r="AA134" s="13"/>
      <c r="AB134" s="13"/>
    </row>
    <row r="135" ht="15.0" customHeight="1">
      <c r="A135" s="235" t="s">
        <v>2172</v>
      </c>
      <c r="B135" s="235" t="s">
        <v>1107</v>
      </c>
      <c r="C135" s="235" t="s">
        <v>5120</v>
      </c>
      <c r="D135" s="235" t="s">
        <v>725</v>
      </c>
      <c r="E135" s="235" t="str">
        <f t="array" ref="E135">IFERROR(INDEX(REF_CODES!$B$40:$B$45,MATCH($D135,REF_CODES!$C$40:$C$45,0)),"")</f>
        <v>RA-NSP</v>
      </c>
      <c r="F135" s="235"/>
      <c r="G135" s="235" t="str">
        <f t="array" ref="G135">IFERROR(INDEX(REF_CODES!$B$34:$B$39,MATCH($F135,REF_CODES!$C$34:$C$39,0)),"")</f>
        <v/>
      </c>
      <c r="H135" s="235" t="s">
        <v>5127</v>
      </c>
      <c r="I135" s="235" t="s">
        <v>3139</v>
      </c>
      <c r="J135" s="235" t="s">
        <v>2192</v>
      </c>
      <c r="K135" s="235"/>
      <c r="L135" s="235" t="s">
        <v>4024</v>
      </c>
      <c r="M135" s="235"/>
      <c r="N135" s="235" t="s">
        <v>195</v>
      </c>
      <c r="O135" s="235"/>
      <c r="P135" s="235"/>
      <c r="Q135" s="235"/>
      <c r="R135" s="235" t="s">
        <v>161</v>
      </c>
      <c r="S135" s="235"/>
      <c r="T135" s="235"/>
      <c r="U135" s="235"/>
      <c r="V135" s="235" t="s">
        <v>4022</v>
      </c>
      <c r="W135" s="235"/>
      <c r="X135" s="235"/>
      <c r="Y135" s="235"/>
      <c r="Z135" s="235"/>
      <c r="AA135" s="13"/>
      <c r="AB135" s="13"/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Z$91">
    <sortState ref="B2:Z91">
      <sortCondition ref="C2:C91"/>
    </sortState>
  </autoFilter>
  <dataValidations>
    <dataValidation type="list" allowBlank="1" showErrorMessage="1" sqref="AB3:AB91">
      <formula1>POI_TAGS</formula1>
    </dataValidation>
    <dataValidation type="list" allowBlank="1" showErrorMessage="1" sqref="F3:F91">
      <formula1>REF_CODES!$C$34:$C$39</formula1>
    </dataValidation>
    <dataValidation type="list" allowBlank="1" showErrorMessage="1" sqref="D3:D91">
      <formula1>REF_CODES!$C$40:$C$45</formula1>
    </dataValidation>
    <dataValidation type="list" allowBlank="1" showErrorMessage="1" sqref="AA3:AA91">
      <formula1>ACC_TAGS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3" width="17.75"/>
    <col customWidth="1" min="4" max="4" width="21.0"/>
    <col customWidth="1" min="5" max="5" width="17.75"/>
    <col customWidth="1" min="6" max="6" width="29.63"/>
    <col customWidth="1" min="7" max="7" width="30.0"/>
    <col customWidth="1" min="8" max="8" width="36.38"/>
    <col customWidth="1" min="9" max="9" width="17.75"/>
    <col customWidth="1" min="10" max="10" width="21.0"/>
    <col customWidth="1" min="11" max="11" width="17.75"/>
    <col customWidth="1" min="12" max="18" width="20.0"/>
    <col customWidth="1" min="19" max="28" width="18.0"/>
    <col customWidth="1" min="29" max="29" width="26.63"/>
    <col customWidth="1" min="33" max="33" width="13.0"/>
    <col customWidth="1" min="34" max="34" width="27.5"/>
    <col customWidth="1" min="35" max="35" width="56.75"/>
  </cols>
  <sheetData>
    <row r="1" ht="15.0" customHeight="1">
      <c r="A1" s="246" t="s">
        <v>2221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7"/>
    </row>
    <row r="2" ht="42.0" customHeight="1">
      <c r="A2" s="231" t="s">
        <v>2134</v>
      </c>
      <c r="B2" s="231" t="s">
        <v>2136</v>
      </c>
      <c r="C2" s="231" t="s">
        <v>2137</v>
      </c>
      <c r="D2" s="231" t="s">
        <v>2152</v>
      </c>
      <c r="E2" s="231" t="s">
        <v>8</v>
      </c>
      <c r="F2" s="231" t="s">
        <v>2143</v>
      </c>
      <c r="G2" s="231" t="s">
        <v>2239</v>
      </c>
      <c r="H2" s="231" t="s">
        <v>2241</v>
      </c>
      <c r="I2" s="231" t="s">
        <v>2243</v>
      </c>
      <c r="J2" s="231" t="s">
        <v>2244</v>
      </c>
      <c r="K2" s="231" t="s">
        <v>2185</v>
      </c>
      <c r="L2" s="231" t="s">
        <v>2150</v>
      </c>
      <c r="M2" s="231" t="s">
        <v>2246</v>
      </c>
      <c r="N2" s="231" t="s">
        <v>2158</v>
      </c>
      <c r="O2" s="231" t="s">
        <v>2159</v>
      </c>
      <c r="P2" s="231" t="s">
        <v>2161</v>
      </c>
      <c r="Q2" s="231" t="s">
        <v>27</v>
      </c>
      <c r="R2" s="231" t="s">
        <v>2162</v>
      </c>
      <c r="S2" s="231" t="s">
        <v>2250</v>
      </c>
      <c r="T2" s="231" t="s">
        <v>2251</v>
      </c>
      <c r="U2" s="231" t="s">
        <v>2253</v>
      </c>
      <c r="V2" s="231" t="s">
        <v>2182</v>
      </c>
      <c r="W2" s="231" t="s">
        <v>2183</v>
      </c>
      <c r="X2" s="231" t="s">
        <v>2255</v>
      </c>
      <c r="Y2" s="231" t="s">
        <v>2257</v>
      </c>
      <c r="Z2" s="231" t="s">
        <v>2259</v>
      </c>
      <c r="AA2" s="231" t="s">
        <v>2261</v>
      </c>
      <c r="AB2" s="231" t="s">
        <v>2263</v>
      </c>
      <c r="AC2" s="234" t="s">
        <v>2168</v>
      </c>
      <c r="AD2" s="234" t="s">
        <v>2266</v>
      </c>
      <c r="AE2" s="234" t="s">
        <v>2267</v>
      </c>
      <c r="AF2" s="234" t="s">
        <v>2268</v>
      </c>
      <c r="AG2" s="234" t="s">
        <v>2269</v>
      </c>
      <c r="AH2" s="234" t="s">
        <v>2270</v>
      </c>
      <c r="AI2" s="234" t="s">
        <v>2272</v>
      </c>
    </row>
    <row r="3" ht="15.0" customHeight="1">
      <c r="A3" s="249" t="s">
        <v>2172</v>
      </c>
      <c r="B3" s="249" t="s">
        <v>1133</v>
      </c>
      <c r="C3" s="249" t="s">
        <v>2274</v>
      </c>
      <c r="D3" s="249" t="s">
        <v>483</v>
      </c>
      <c r="E3" s="249" t="str">
        <f t="array" ref="E3">IFERROR(INDEX(REF_CODES!$B$27:$B$33,MATCH($D3,REF_CODES!$C$27:$C$33,0)),IFERROR(INDEX(REF_CODES!$B$51:$B$55,MATCH($D3,REF_CODES!$C$51:$C$55,0)),""))</f>
        <v>AU-BIE</v>
      </c>
      <c r="F3" s="249" t="s">
        <v>2314</v>
      </c>
      <c r="G3" s="5" t="s">
        <v>2316</v>
      </c>
      <c r="H3" s="249" t="s">
        <v>2318</v>
      </c>
      <c r="I3" s="249">
        <v>180.0</v>
      </c>
      <c r="J3" s="251"/>
      <c r="K3" s="251" t="s">
        <v>195</v>
      </c>
      <c r="L3" s="5" t="s">
        <v>97</v>
      </c>
      <c r="M3" s="5" t="s">
        <v>2312</v>
      </c>
      <c r="N3" s="5" t="s">
        <v>469</v>
      </c>
      <c r="O3" s="5" t="s">
        <v>498</v>
      </c>
      <c r="P3" s="5" t="s">
        <v>133</v>
      </c>
      <c r="Q3" s="5" t="s">
        <v>2330</v>
      </c>
      <c r="R3" s="5" t="s">
        <v>2207</v>
      </c>
      <c r="S3" s="252" t="s">
        <v>2208</v>
      </c>
      <c r="T3" s="5" t="s">
        <v>2332</v>
      </c>
      <c r="U3" s="252" t="s">
        <v>2334</v>
      </c>
      <c r="V3" s="252" t="s">
        <v>2208</v>
      </c>
      <c r="W3" s="252" t="s">
        <v>2338</v>
      </c>
      <c r="X3" s="252" t="s">
        <v>2338</v>
      </c>
      <c r="Y3" s="252" t="s">
        <v>2340</v>
      </c>
      <c r="Z3" s="5" t="s">
        <v>2342</v>
      </c>
      <c r="AA3" s="5" t="s">
        <v>1229</v>
      </c>
      <c r="AB3" s="252" t="s">
        <v>2344</v>
      </c>
      <c r="AC3" s="13"/>
      <c r="AG3" s="253" t="s">
        <v>2345</v>
      </c>
      <c r="AH3" s="244" t="s">
        <v>2347</v>
      </c>
      <c r="AI3" s="254" t="s">
        <v>2348</v>
      </c>
    </row>
    <row r="4" ht="15.0" customHeight="1">
      <c r="A4" s="249" t="s">
        <v>2172</v>
      </c>
      <c r="B4" s="249" t="s">
        <v>1133</v>
      </c>
      <c r="C4" s="249" t="s">
        <v>2350</v>
      </c>
      <c r="D4" s="249" t="s">
        <v>483</v>
      </c>
      <c r="E4" s="249" t="str">
        <f t="array" ref="E4">IFERROR(INDEX(REF_CODES!$B$27:$B$33,MATCH($D4,REF_CODES!$C$27:$C$33,0)),IFERROR(INDEX(REF_CODES!$B$51:$B$55,MATCH($D4,REF_CODES!$C$51:$C$55,0)),""))</f>
        <v>AU-BIE</v>
      </c>
      <c r="F4" s="249" t="s">
        <v>2365</v>
      </c>
      <c r="G4" s="5" t="s">
        <v>2366</v>
      </c>
      <c r="H4" s="249" t="s">
        <v>2367</v>
      </c>
      <c r="I4" s="249">
        <v>150.0</v>
      </c>
      <c r="J4" s="251"/>
      <c r="K4" s="251" t="s">
        <v>195</v>
      </c>
      <c r="L4" s="5" t="s">
        <v>97</v>
      </c>
      <c r="M4" s="5" t="s">
        <v>2312</v>
      </c>
      <c r="N4" s="5" t="s">
        <v>469</v>
      </c>
      <c r="O4" s="5" t="s">
        <v>498</v>
      </c>
      <c r="P4" s="5" t="s">
        <v>133</v>
      </c>
      <c r="Q4" s="5" t="s">
        <v>2330</v>
      </c>
      <c r="R4" s="5" t="s">
        <v>2207</v>
      </c>
      <c r="S4" s="252" t="s">
        <v>2208</v>
      </c>
      <c r="T4" s="5" t="s">
        <v>2371</v>
      </c>
      <c r="U4" s="252" t="s">
        <v>2334</v>
      </c>
      <c r="V4" s="252" t="s">
        <v>2208</v>
      </c>
      <c r="W4" s="252" t="s">
        <v>2338</v>
      </c>
      <c r="X4" s="252" t="s">
        <v>2338</v>
      </c>
      <c r="Y4" s="252" t="s">
        <v>2340</v>
      </c>
      <c r="Z4" s="5" t="s">
        <v>2342</v>
      </c>
      <c r="AA4" s="5" t="s">
        <v>1229</v>
      </c>
      <c r="AB4" s="252" t="s">
        <v>2344</v>
      </c>
      <c r="AC4" s="13"/>
      <c r="AG4" s="253" t="s">
        <v>2345</v>
      </c>
      <c r="AH4" s="244" t="s">
        <v>2347</v>
      </c>
      <c r="AI4" s="254" t="s">
        <v>2348</v>
      </c>
    </row>
    <row r="5" ht="15.0" customHeight="1">
      <c r="A5" s="249" t="s">
        <v>2172</v>
      </c>
      <c r="B5" s="249" t="s">
        <v>1133</v>
      </c>
      <c r="C5" s="249" t="s">
        <v>2376</v>
      </c>
      <c r="D5" s="249" t="s">
        <v>470</v>
      </c>
      <c r="E5" s="249" t="str">
        <f t="array" ref="E5">IFERROR(INDEX(REF_CODES!$B$27:$B$33,MATCH($D5,REF_CODES!$C$27:$C$33,0)),IFERROR(INDEX(REF_CODES!$B$51:$B$55,MATCH($D5,REF_CODES!$C$51:$C$55,0)),""))</f>
        <v>AU-CUL</v>
      </c>
      <c r="F5" s="249" t="s">
        <v>2384</v>
      </c>
      <c r="G5" s="5" t="s">
        <v>2384</v>
      </c>
      <c r="H5" s="249" t="s">
        <v>1919</v>
      </c>
      <c r="I5" s="249">
        <v>90.0</v>
      </c>
      <c r="J5" s="251" t="s">
        <v>2385</v>
      </c>
      <c r="K5" s="251" t="s">
        <v>188</v>
      </c>
      <c r="L5" s="5" t="s">
        <v>97</v>
      </c>
      <c r="M5" s="5" t="s">
        <v>2312</v>
      </c>
      <c r="N5" s="5" t="s">
        <v>463</v>
      </c>
      <c r="O5" s="5" t="s">
        <v>498</v>
      </c>
      <c r="P5" s="5" t="s">
        <v>142</v>
      </c>
      <c r="Q5" s="5" t="s">
        <v>2391</v>
      </c>
      <c r="R5" s="5" t="s">
        <v>2207</v>
      </c>
      <c r="S5" s="252" t="s">
        <v>2208</v>
      </c>
      <c r="T5" s="5" t="s">
        <v>2392</v>
      </c>
      <c r="U5" s="252" t="s">
        <v>2334</v>
      </c>
      <c r="V5" s="252" t="s">
        <v>2208</v>
      </c>
      <c r="W5" s="252" t="s">
        <v>2338</v>
      </c>
      <c r="X5" s="252" t="s">
        <v>2338</v>
      </c>
      <c r="Y5" s="252" t="s">
        <v>2340</v>
      </c>
      <c r="Z5" s="5" t="s">
        <v>2342</v>
      </c>
      <c r="AA5" s="5" t="s">
        <v>1229</v>
      </c>
      <c r="AB5" s="252" t="s">
        <v>2344</v>
      </c>
      <c r="AC5" s="13"/>
      <c r="AG5" s="253">
        <f>I5</f>
        <v>90</v>
      </c>
      <c r="AH5" s="244" t="s">
        <v>2398</v>
      </c>
      <c r="AI5" s="254" t="s">
        <v>2399</v>
      </c>
    </row>
    <row r="6" ht="15.0" customHeight="1">
      <c r="A6" s="249" t="s">
        <v>2172</v>
      </c>
      <c r="B6" s="249" t="s">
        <v>1133</v>
      </c>
      <c r="C6" s="249" t="s">
        <v>2401</v>
      </c>
      <c r="D6" s="249" t="s">
        <v>483</v>
      </c>
      <c r="E6" s="249" t="str">
        <f t="array" ref="E6">IFERROR(INDEX(REF_CODES!$B$27:$B$33,MATCH($D6,REF_CODES!$C$27:$C$33,0)),IFERROR(INDEX(REF_CODES!$B$51:$B$55,MATCH($D6,REF_CODES!$C$51:$C$55,0)),""))</f>
        <v>AU-BIE</v>
      </c>
      <c r="F6" s="249" t="s">
        <v>2408</v>
      </c>
      <c r="G6" s="5" t="s">
        <v>2409</v>
      </c>
      <c r="H6" s="249" t="s">
        <v>2410</v>
      </c>
      <c r="I6" s="249">
        <v>80.0</v>
      </c>
      <c r="J6" s="251"/>
      <c r="K6" s="251" t="s">
        <v>188</v>
      </c>
      <c r="L6" s="5" t="s">
        <v>97</v>
      </c>
      <c r="M6" s="5" t="s">
        <v>2312</v>
      </c>
      <c r="N6" s="5" t="s">
        <v>463</v>
      </c>
      <c r="O6" s="5" t="s">
        <v>498</v>
      </c>
      <c r="P6" s="5" t="s">
        <v>133</v>
      </c>
      <c r="Q6" s="5" t="s">
        <v>2330</v>
      </c>
      <c r="R6" s="5" t="s">
        <v>2207</v>
      </c>
      <c r="S6" s="252" t="s">
        <v>2208</v>
      </c>
      <c r="T6" s="5" t="s">
        <v>2412</v>
      </c>
      <c r="U6" s="252" t="s">
        <v>2334</v>
      </c>
      <c r="V6" s="252" t="s">
        <v>2208</v>
      </c>
      <c r="W6" s="252" t="s">
        <v>2338</v>
      </c>
      <c r="X6" s="252" t="s">
        <v>2338</v>
      </c>
      <c r="Y6" s="252" t="s">
        <v>2340</v>
      </c>
      <c r="Z6" s="5" t="s">
        <v>2342</v>
      </c>
      <c r="AA6" s="5" t="s">
        <v>1229</v>
      </c>
      <c r="AB6" s="252" t="s">
        <v>2344</v>
      </c>
      <c r="AC6" s="13"/>
      <c r="AG6" s="253" t="s">
        <v>2345</v>
      </c>
      <c r="AH6" s="244" t="s">
        <v>2347</v>
      </c>
      <c r="AI6" s="254" t="s">
        <v>2348</v>
      </c>
    </row>
    <row r="7" ht="15.0" customHeight="1">
      <c r="A7" s="249" t="s">
        <v>2172</v>
      </c>
      <c r="B7" s="249" t="s">
        <v>1133</v>
      </c>
      <c r="C7" s="249" t="s">
        <v>2417</v>
      </c>
      <c r="D7" s="249" t="s">
        <v>493</v>
      </c>
      <c r="E7" s="249" t="str">
        <f t="array" ref="E7">IFERROR(INDEX(REF_CODES!$B$27:$B$33,MATCH($D7,REF_CODES!$C$27:$C$33,0)),IFERROR(INDEX(REF_CODES!$B$51:$B$55,MATCH($D7,REF_CODES!$C$51:$C$55,0)),""))</f>
        <v>AU-ELI</v>
      </c>
      <c r="F7" s="249" t="s">
        <v>2427</v>
      </c>
      <c r="G7" s="5" t="s">
        <v>2429</v>
      </c>
      <c r="H7" s="249" t="s">
        <v>2430</v>
      </c>
      <c r="I7" s="249">
        <v>200.0</v>
      </c>
      <c r="J7" s="251" t="s">
        <v>2431</v>
      </c>
      <c r="K7" s="251" t="s">
        <v>195</v>
      </c>
      <c r="L7" s="5" t="s">
        <v>90</v>
      </c>
      <c r="M7" s="5" t="s">
        <v>2203</v>
      </c>
      <c r="N7" s="5" t="s">
        <v>469</v>
      </c>
      <c r="O7" s="5" t="s">
        <v>498</v>
      </c>
      <c r="P7" s="5" t="s">
        <v>138</v>
      </c>
      <c r="Q7" s="5" t="s">
        <v>2205</v>
      </c>
      <c r="R7" s="5" t="s">
        <v>2207</v>
      </c>
      <c r="S7" s="252" t="s">
        <v>2208</v>
      </c>
      <c r="T7" s="5" t="s">
        <v>2435</v>
      </c>
      <c r="U7" s="252" t="s">
        <v>2334</v>
      </c>
      <c r="V7" s="252" t="s">
        <v>2208</v>
      </c>
      <c r="W7" s="252" t="s">
        <v>2338</v>
      </c>
      <c r="X7" s="252" t="s">
        <v>2338</v>
      </c>
      <c r="Y7" s="252" t="s">
        <v>2340</v>
      </c>
      <c r="Z7" s="5" t="s">
        <v>2342</v>
      </c>
      <c r="AA7" s="5" t="s">
        <v>1229</v>
      </c>
      <c r="AB7" s="252" t="s">
        <v>2344</v>
      </c>
      <c r="AC7" s="13"/>
      <c r="AG7" s="253">
        <f>ROUND(I7*0.5,0)</f>
        <v>100</v>
      </c>
      <c r="AH7" s="244" t="s">
        <v>2438</v>
      </c>
      <c r="AI7" s="254" t="s">
        <v>2439</v>
      </c>
    </row>
    <row r="8" ht="15.0" customHeight="1">
      <c r="A8" s="249" t="s">
        <v>2172</v>
      </c>
      <c r="B8" s="249" t="s">
        <v>1133</v>
      </c>
      <c r="C8" s="249" t="s">
        <v>2440</v>
      </c>
      <c r="D8" s="249" t="s">
        <v>483</v>
      </c>
      <c r="E8" s="249" t="str">
        <f t="array" ref="E8">IFERROR(INDEX(REF_CODES!$B$27:$B$33,MATCH($D8,REF_CODES!$C$27:$C$33,0)),IFERROR(INDEX(REF_CODES!$B$51:$B$55,MATCH($D8,REF_CODES!$C$51:$C$55,0)),""))</f>
        <v>AU-BIE</v>
      </c>
      <c r="F8" s="249" t="s">
        <v>2455</v>
      </c>
      <c r="G8" s="5" t="s">
        <v>2457</v>
      </c>
      <c r="H8" s="249" t="s">
        <v>2459</v>
      </c>
      <c r="I8" s="249">
        <v>150.0</v>
      </c>
      <c r="J8" s="251"/>
      <c r="K8" s="251" t="s">
        <v>195</v>
      </c>
      <c r="L8" s="5" t="s">
        <v>97</v>
      </c>
      <c r="M8" s="5" t="s">
        <v>2312</v>
      </c>
      <c r="N8" s="5" t="s">
        <v>469</v>
      </c>
      <c r="O8" s="5" t="s">
        <v>498</v>
      </c>
      <c r="P8" s="5" t="s">
        <v>133</v>
      </c>
      <c r="Q8" s="5" t="s">
        <v>2330</v>
      </c>
      <c r="R8" s="5" t="s">
        <v>2207</v>
      </c>
      <c r="S8" s="252" t="s">
        <v>2208</v>
      </c>
      <c r="T8" s="5" t="s">
        <v>2467</v>
      </c>
      <c r="U8" s="252" t="s">
        <v>2334</v>
      </c>
      <c r="V8" s="252" t="s">
        <v>2208</v>
      </c>
      <c r="W8" s="252" t="s">
        <v>2338</v>
      </c>
      <c r="X8" s="252" t="s">
        <v>2338</v>
      </c>
      <c r="Y8" s="252" t="s">
        <v>2340</v>
      </c>
      <c r="Z8" s="5" t="s">
        <v>2342</v>
      </c>
      <c r="AA8" s="5" t="s">
        <v>1229</v>
      </c>
      <c r="AB8" s="252" t="s">
        <v>2344</v>
      </c>
      <c r="AC8" s="13"/>
      <c r="AG8" s="253" t="s">
        <v>2345</v>
      </c>
      <c r="AH8" s="244" t="s">
        <v>2347</v>
      </c>
      <c r="AI8" s="254" t="s">
        <v>2348</v>
      </c>
    </row>
    <row r="9" ht="15.0" customHeight="1">
      <c r="A9" s="249" t="s">
        <v>2172</v>
      </c>
      <c r="B9" s="249" t="s">
        <v>1133</v>
      </c>
      <c r="C9" s="249" t="s">
        <v>2469</v>
      </c>
      <c r="D9" s="249" t="s">
        <v>483</v>
      </c>
      <c r="E9" s="249" t="str">
        <f t="array" ref="E9">IFERROR(INDEX(REF_CODES!$B$27:$B$33,MATCH($D9,REF_CODES!$C$27:$C$33,0)),IFERROR(INDEX(REF_CODES!$B$51:$B$55,MATCH($D9,REF_CODES!$C$51:$C$55,0)),""))</f>
        <v>AU-BIE</v>
      </c>
      <c r="F9" s="249" t="s">
        <v>2481</v>
      </c>
      <c r="G9" s="5" t="s">
        <v>2481</v>
      </c>
      <c r="H9" s="249" t="s">
        <v>2306</v>
      </c>
      <c r="I9" s="249">
        <v>60.0</v>
      </c>
      <c r="J9" s="251"/>
      <c r="K9" s="251" t="s">
        <v>188</v>
      </c>
      <c r="L9" s="5" t="s">
        <v>97</v>
      </c>
      <c r="M9" s="5" t="s">
        <v>2312</v>
      </c>
      <c r="N9" s="5" t="s">
        <v>463</v>
      </c>
      <c r="O9" s="5" t="s">
        <v>498</v>
      </c>
      <c r="P9" s="5" t="s">
        <v>133</v>
      </c>
      <c r="Q9" s="5" t="s">
        <v>2330</v>
      </c>
      <c r="R9" s="5" t="s">
        <v>2207</v>
      </c>
      <c r="S9" s="252" t="s">
        <v>2208</v>
      </c>
      <c r="T9" s="5" t="s">
        <v>2495</v>
      </c>
      <c r="U9" s="252" t="s">
        <v>2334</v>
      </c>
      <c r="V9" s="252" t="s">
        <v>2208</v>
      </c>
      <c r="W9" s="252" t="s">
        <v>2338</v>
      </c>
      <c r="X9" s="252" t="s">
        <v>2338</v>
      </c>
      <c r="Y9" s="252" t="s">
        <v>2340</v>
      </c>
      <c r="Z9" s="5" t="s">
        <v>2342</v>
      </c>
      <c r="AA9" s="5" t="s">
        <v>1229</v>
      </c>
      <c r="AB9" s="252" t="s">
        <v>2344</v>
      </c>
      <c r="AC9" s="13"/>
      <c r="AG9" s="253" t="s">
        <v>2345</v>
      </c>
      <c r="AH9" s="244" t="s">
        <v>2347</v>
      </c>
      <c r="AI9" s="254" t="s">
        <v>2348</v>
      </c>
    </row>
    <row r="10" ht="15.0" customHeight="1">
      <c r="A10" s="249" t="s">
        <v>2172</v>
      </c>
      <c r="B10" s="249" t="s">
        <v>1133</v>
      </c>
      <c r="C10" s="249" t="s">
        <v>2502</v>
      </c>
      <c r="D10" s="249" t="s">
        <v>483</v>
      </c>
      <c r="E10" s="249" t="str">
        <f t="array" ref="E10">IFERROR(INDEX(REF_CODES!$B$27:$B$33,MATCH($D10,REF_CODES!$C$27:$C$33,0)),IFERROR(INDEX(REF_CODES!$B$51:$B$55,MATCH($D10,REF_CODES!$C$51:$C$55,0)),""))</f>
        <v>AU-BIE</v>
      </c>
      <c r="F10" s="249" t="s">
        <v>2516</v>
      </c>
      <c r="G10" s="5" t="s">
        <v>2518</v>
      </c>
      <c r="H10" s="249" t="s">
        <v>2519</v>
      </c>
      <c r="I10" s="249">
        <v>70.0</v>
      </c>
      <c r="J10" s="251"/>
      <c r="K10" s="251" t="s">
        <v>188</v>
      </c>
      <c r="L10" s="5" t="s">
        <v>97</v>
      </c>
      <c r="M10" s="5" t="s">
        <v>2312</v>
      </c>
      <c r="N10" s="5" t="s">
        <v>463</v>
      </c>
      <c r="O10" s="5" t="s">
        <v>498</v>
      </c>
      <c r="P10" s="5" t="s">
        <v>133</v>
      </c>
      <c r="Q10" s="5" t="s">
        <v>2330</v>
      </c>
      <c r="R10" s="5" t="s">
        <v>2207</v>
      </c>
      <c r="S10" s="252" t="s">
        <v>2208</v>
      </c>
      <c r="T10" s="5" t="s">
        <v>2528</v>
      </c>
      <c r="U10" s="252" t="s">
        <v>2334</v>
      </c>
      <c r="V10" s="252" t="s">
        <v>2208</v>
      </c>
      <c r="W10" s="252" t="s">
        <v>2338</v>
      </c>
      <c r="X10" s="252" t="s">
        <v>2338</v>
      </c>
      <c r="Y10" s="252" t="s">
        <v>2340</v>
      </c>
      <c r="Z10" s="5" t="s">
        <v>2342</v>
      </c>
      <c r="AA10" s="5" t="s">
        <v>1229</v>
      </c>
      <c r="AB10" s="252" t="s">
        <v>2344</v>
      </c>
      <c r="AC10" s="13"/>
      <c r="AG10" s="253" t="s">
        <v>2345</v>
      </c>
      <c r="AH10" s="244" t="s">
        <v>2347</v>
      </c>
      <c r="AI10" s="254" t="s">
        <v>2348</v>
      </c>
    </row>
    <row r="11" ht="15.0" customHeight="1">
      <c r="A11" s="249" t="s">
        <v>2172</v>
      </c>
      <c r="B11" s="249" t="s">
        <v>1133</v>
      </c>
      <c r="C11" s="249" t="s">
        <v>2536</v>
      </c>
      <c r="D11" s="249" t="s">
        <v>483</v>
      </c>
      <c r="E11" s="249" t="str">
        <f t="array" ref="E11">IFERROR(INDEX(REF_CODES!$B$27:$B$33,MATCH($D11,REF_CODES!$C$27:$C$33,0)),IFERROR(INDEX(REF_CODES!$B$51:$B$55,MATCH($D11,REF_CODES!$C$51:$C$55,0)),""))</f>
        <v>AU-BIE</v>
      </c>
      <c r="F11" s="249" t="s">
        <v>2546</v>
      </c>
      <c r="G11" s="5" t="s">
        <v>2547</v>
      </c>
      <c r="H11" s="249" t="s">
        <v>2550</v>
      </c>
      <c r="I11" s="249">
        <v>120.0</v>
      </c>
      <c r="J11" s="251"/>
      <c r="K11" s="251" t="s">
        <v>188</v>
      </c>
      <c r="L11" s="5" t="s">
        <v>97</v>
      </c>
      <c r="M11" s="5" t="s">
        <v>2312</v>
      </c>
      <c r="N11" s="5" t="s">
        <v>469</v>
      </c>
      <c r="O11" s="5" t="s">
        <v>498</v>
      </c>
      <c r="P11" s="5" t="s">
        <v>133</v>
      </c>
      <c r="Q11" s="5" t="s">
        <v>2330</v>
      </c>
      <c r="R11" s="5" t="s">
        <v>2207</v>
      </c>
      <c r="S11" s="252" t="s">
        <v>2208</v>
      </c>
      <c r="T11" s="5" t="s">
        <v>2564</v>
      </c>
      <c r="U11" s="252" t="s">
        <v>2334</v>
      </c>
      <c r="V11" s="252" t="s">
        <v>2208</v>
      </c>
      <c r="W11" s="252" t="s">
        <v>2338</v>
      </c>
      <c r="X11" s="252" t="s">
        <v>2338</v>
      </c>
      <c r="Y11" s="252" t="s">
        <v>2340</v>
      </c>
      <c r="Z11" s="5" t="s">
        <v>2342</v>
      </c>
      <c r="AA11" s="5" t="s">
        <v>1229</v>
      </c>
      <c r="AB11" s="252" t="s">
        <v>2344</v>
      </c>
      <c r="AC11" s="13"/>
      <c r="AG11" s="253" t="s">
        <v>2345</v>
      </c>
      <c r="AH11" s="244" t="s">
        <v>2347</v>
      </c>
      <c r="AI11" s="254" t="s">
        <v>2348</v>
      </c>
    </row>
    <row r="12" ht="15.0" customHeight="1">
      <c r="A12" s="249" t="s">
        <v>2172</v>
      </c>
      <c r="B12" s="249" t="s">
        <v>1133</v>
      </c>
      <c r="C12" s="249" t="s">
        <v>2570</v>
      </c>
      <c r="D12" s="249" t="s">
        <v>483</v>
      </c>
      <c r="E12" s="249" t="str">
        <f t="array" ref="E12">IFERROR(INDEX(REF_CODES!$B$27:$B$33,MATCH($D12,REF_CODES!$C$27:$C$33,0)),IFERROR(INDEX(REF_CODES!$B$51:$B$55,MATCH($D12,REF_CODES!$C$51:$C$55,0)),""))</f>
        <v>AU-BIE</v>
      </c>
      <c r="F12" s="249" t="s">
        <v>2589</v>
      </c>
      <c r="G12" s="5" t="s">
        <v>2589</v>
      </c>
      <c r="H12" s="249" t="s">
        <v>2306</v>
      </c>
      <c r="I12" s="249">
        <v>60.0</v>
      </c>
      <c r="J12" s="251"/>
      <c r="K12" s="251" t="s">
        <v>188</v>
      </c>
      <c r="L12" s="5" t="s">
        <v>97</v>
      </c>
      <c r="M12" s="5" t="s">
        <v>2312</v>
      </c>
      <c r="N12" s="5" t="s">
        <v>463</v>
      </c>
      <c r="O12" s="5" t="s">
        <v>498</v>
      </c>
      <c r="P12" s="5" t="s">
        <v>133</v>
      </c>
      <c r="Q12" s="5" t="s">
        <v>2330</v>
      </c>
      <c r="R12" s="5" t="s">
        <v>2207</v>
      </c>
      <c r="S12" s="252" t="s">
        <v>2208</v>
      </c>
      <c r="T12" s="5" t="s">
        <v>2596</v>
      </c>
      <c r="U12" s="252" t="s">
        <v>2334</v>
      </c>
      <c r="V12" s="252" t="s">
        <v>2208</v>
      </c>
      <c r="W12" s="252" t="s">
        <v>2338</v>
      </c>
      <c r="X12" s="252" t="s">
        <v>2338</v>
      </c>
      <c r="Y12" s="252" t="s">
        <v>2340</v>
      </c>
      <c r="Z12" s="5" t="s">
        <v>2342</v>
      </c>
      <c r="AA12" s="5" t="s">
        <v>1229</v>
      </c>
      <c r="AB12" s="252" t="s">
        <v>2344</v>
      </c>
      <c r="AC12" s="13"/>
      <c r="AG12" s="253" t="s">
        <v>2345</v>
      </c>
      <c r="AH12" s="244" t="s">
        <v>2347</v>
      </c>
      <c r="AI12" s="254" t="s">
        <v>2348</v>
      </c>
    </row>
    <row r="13" ht="15.0" customHeight="1">
      <c r="A13" s="249" t="s">
        <v>2172</v>
      </c>
      <c r="B13" s="249" t="s">
        <v>1133</v>
      </c>
      <c r="C13" s="249" t="s">
        <v>2604</v>
      </c>
      <c r="D13" s="249" t="s">
        <v>483</v>
      </c>
      <c r="E13" s="249" t="str">
        <f t="array" ref="E13">IFERROR(INDEX(REF_CODES!$B$27:$B$33,MATCH($D13,REF_CODES!$C$27:$C$33,0)),IFERROR(INDEX(REF_CODES!$B$51:$B$55,MATCH($D13,REF_CODES!$C$51:$C$55,0)),""))</f>
        <v>AU-BIE</v>
      </c>
      <c r="F13" s="249" t="s">
        <v>2619</v>
      </c>
      <c r="G13" s="5" t="s">
        <v>2620</v>
      </c>
      <c r="H13" s="249" t="s">
        <v>2622</v>
      </c>
      <c r="I13" s="249">
        <v>160.0</v>
      </c>
      <c r="J13" s="251"/>
      <c r="K13" s="251" t="s">
        <v>195</v>
      </c>
      <c r="L13" s="5" t="s">
        <v>97</v>
      </c>
      <c r="M13" s="5" t="s">
        <v>2312</v>
      </c>
      <c r="N13" s="5" t="s">
        <v>469</v>
      </c>
      <c r="O13" s="5" t="s">
        <v>498</v>
      </c>
      <c r="P13" s="5" t="s">
        <v>133</v>
      </c>
      <c r="Q13" s="5" t="s">
        <v>2330</v>
      </c>
      <c r="R13" s="5" t="s">
        <v>2207</v>
      </c>
      <c r="S13" s="252" t="s">
        <v>2208</v>
      </c>
      <c r="T13" s="5" t="s">
        <v>2605</v>
      </c>
      <c r="U13" s="252" t="s">
        <v>2334</v>
      </c>
      <c r="V13" s="252" t="s">
        <v>2208</v>
      </c>
      <c r="W13" s="252" t="s">
        <v>2338</v>
      </c>
      <c r="X13" s="252" t="s">
        <v>2338</v>
      </c>
      <c r="Y13" s="252" t="s">
        <v>2340</v>
      </c>
      <c r="Z13" s="5" t="s">
        <v>2342</v>
      </c>
      <c r="AA13" s="5" t="s">
        <v>1229</v>
      </c>
      <c r="AB13" s="252" t="s">
        <v>2344</v>
      </c>
      <c r="AC13" s="13"/>
      <c r="AG13" s="253" t="s">
        <v>2345</v>
      </c>
      <c r="AH13" s="244" t="s">
        <v>2347</v>
      </c>
      <c r="AI13" s="254" t="s">
        <v>2348</v>
      </c>
    </row>
    <row r="14" ht="15.0" customHeight="1">
      <c r="A14" s="249" t="s">
        <v>2172</v>
      </c>
      <c r="B14" s="249" t="s">
        <v>1133</v>
      </c>
      <c r="C14" s="249" t="s">
        <v>2644</v>
      </c>
      <c r="D14" s="249" t="s">
        <v>483</v>
      </c>
      <c r="E14" s="249" t="str">
        <f t="array" ref="E14">IFERROR(INDEX(REF_CODES!$B$27:$B$33,MATCH($D14,REF_CODES!$C$27:$C$33,0)),IFERROR(INDEX(REF_CODES!$B$51:$B$55,MATCH($D14,REF_CODES!$C$51:$C$55,0)),""))</f>
        <v>AU-BIE</v>
      </c>
      <c r="F14" s="249" t="s">
        <v>2366</v>
      </c>
      <c r="G14" s="5" t="s">
        <v>2366</v>
      </c>
      <c r="H14" s="249" t="s">
        <v>2306</v>
      </c>
      <c r="I14" s="249">
        <v>70.0</v>
      </c>
      <c r="J14" s="251"/>
      <c r="K14" s="251" t="s">
        <v>188</v>
      </c>
      <c r="L14" s="5" t="s">
        <v>97</v>
      </c>
      <c r="M14" s="5" t="s">
        <v>2312</v>
      </c>
      <c r="N14" s="5" t="s">
        <v>463</v>
      </c>
      <c r="O14" s="5" t="s">
        <v>498</v>
      </c>
      <c r="P14" s="5" t="s">
        <v>133</v>
      </c>
      <c r="Q14" s="5" t="s">
        <v>2330</v>
      </c>
      <c r="R14" s="5" t="s">
        <v>2207</v>
      </c>
      <c r="S14" s="252" t="s">
        <v>2208</v>
      </c>
      <c r="T14" s="5" t="s">
        <v>2670</v>
      </c>
      <c r="U14" s="252" t="s">
        <v>2334</v>
      </c>
      <c r="V14" s="252" t="s">
        <v>2208</v>
      </c>
      <c r="W14" s="252" t="s">
        <v>2338</v>
      </c>
      <c r="X14" s="252" t="s">
        <v>2338</v>
      </c>
      <c r="Y14" s="252" t="s">
        <v>2340</v>
      </c>
      <c r="Z14" s="5" t="s">
        <v>2342</v>
      </c>
      <c r="AA14" s="5" t="s">
        <v>1229</v>
      </c>
      <c r="AB14" s="252" t="s">
        <v>2344</v>
      </c>
      <c r="AC14" s="13"/>
      <c r="AG14" s="253" t="s">
        <v>2345</v>
      </c>
      <c r="AH14" s="244" t="s">
        <v>2347</v>
      </c>
      <c r="AI14" s="254" t="s">
        <v>2348</v>
      </c>
    </row>
    <row r="15" ht="15.0" customHeight="1">
      <c r="A15" s="249" t="s">
        <v>2172</v>
      </c>
      <c r="B15" s="249" t="s">
        <v>1133</v>
      </c>
      <c r="C15" s="249" t="s">
        <v>2686</v>
      </c>
      <c r="D15" s="249" t="s">
        <v>483</v>
      </c>
      <c r="E15" s="249" t="str">
        <f t="array" ref="E15">IFERROR(INDEX(REF_CODES!$B$27:$B$33,MATCH($D15,REF_CODES!$C$27:$C$33,0)),IFERROR(INDEX(REF_CODES!$B$51:$B$55,MATCH($D15,REF_CODES!$C$51:$C$55,0)),""))</f>
        <v>AU-BIE</v>
      </c>
      <c r="F15" s="249" t="s">
        <v>2699</v>
      </c>
      <c r="G15" s="5" t="s">
        <v>2366</v>
      </c>
      <c r="H15" s="249" t="s">
        <v>2702</v>
      </c>
      <c r="I15" s="268">
        <v>250.0</v>
      </c>
      <c r="J15" s="251"/>
      <c r="K15" s="251" t="s">
        <v>195</v>
      </c>
      <c r="L15" s="5" t="s">
        <v>97</v>
      </c>
      <c r="M15" s="5" t="s">
        <v>2312</v>
      </c>
      <c r="N15" s="5" t="s">
        <v>469</v>
      </c>
      <c r="O15" s="5" t="s">
        <v>498</v>
      </c>
      <c r="P15" s="5" t="s">
        <v>133</v>
      </c>
      <c r="Q15" s="5" t="s">
        <v>2330</v>
      </c>
      <c r="R15" s="5" t="s">
        <v>2207</v>
      </c>
      <c r="S15" s="252" t="s">
        <v>2208</v>
      </c>
      <c r="T15" s="5" t="s">
        <v>2705</v>
      </c>
      <c r="U15" s="252" t="s">
        <v>2334</v>
      </c>
      <c r="V15" s="252" t="s">
        <v>2208</v>
      </c>
      <c r="W15" s="252" t="s">
        <v>2338</v>
      </c>
      <c r="X15" s="252" t="s">
        <v>2338</v>
      </c>
      <c r="Y15" s="252" t="s">
        <v>2340</v>
      </c>
      <c r="Z15" s="5" t="s">
        <v>2342</v>
      </c>
      <c r="AA15" s="5" t="s">
        <v>1229</v>
      </c>
      <c r="AB15" s="252" t="s">
        <v>2344</v>
      </c>
      <c r="AC15" s="13"/>
      <c r="AG15" s="253" t="s">
        <v>2345</v>
      </c>
      <c r="AH15" s="244" t="s">
        <v>2347</v>
      </c>
      <c r="AI15" s="254" t="s">
        <v>2348</v>
      </c>
    </row>
    <row r="16" ht="15.0" customHeight="1">
      <c r="A16" s="249" t="s">
        <v>2172</v>
      </c>
      <c r="B16" s="249" t="s">
        <v>1133</v>
      </c>
      <c r="C16" s="249" t="s">
        <v>2709</v>
      </c>
      <c r="D16" s="249" t="s">
        <v>483</v>
      </c>
      <c r="E16" s="249" t="str">
        <f t="array" ref="E16">IFERROR(INDEX(REF_CODES!$B$27:$B$33,MATCH($D16,REF_CODES!$C$27:$C$33,0)),IFERROR(INDEX(REF_CODES!$B$51:$B$55,MATCH($D16,REF_CODES!$C$51:$C$55,0)),""))</f>
        <v>AU-BIE</v>
      </c>
      <c r="F16" s="249" t="s">
        <v>2719</v>
      </c>
      <c r="G16" s="5" t="s">
        <v>2719</v>
      </c>
      <c r="H16" s="249" t="s">
        <v>2720</v>
      </c>
      <c r="I16" s="249">
        <v>70.0</v>
      </c>
      <c r="J16" s="251"/>
      <c r="K16" s="251" t="s">
        <v>188</v>
      </c>
      <c r="L16" s="5" t="s">
        <v>97</v>
      </c>
      <c r="M16" s="5" t="s">
        <v>2312</v>
      </c>
      <c r="N16" s="5" t="s">
        <v>463</v>
      </c>
      <c r="O16" s="5" t="s">
        <v>498</v>
      </c>
      <c r="P16" s="5" t="s">
        <v>133</v>
      </c>
      <c r="Q16" s="5" t="s">
        <v>2330</v>
      </c>
      <c r="R16" s="5" t="s">
        <v>2207</v>
      </c>
      <c r="S16" s="252" t="s">
        <v>2208</v>
      </c>
      <c r="T16" s="5" t="s">
        <v>2724</v>
      </c>
      <c r="U16" s="252" t="s">
        <v>2334</v>
      </c>
      <c r="V16" s="252" t="s">
        <v>2208</v>
      </c>
      <c r="W16" s="252" t="s">
        <v>2338</v>
      </c>
      <c r="X16" s="252" t="s">
        <v>2338</v>
      </c>
      <c r="Y16" s="252" t="s">
        <v>2340</v>
      </c>
      <c r="Z16" s="5" t="s">
        <v>2342</v>
      </c>
      <c r="AA16" s="5" t="s">
        <v>1229</v>
      </c>
      <c r="AB16" s="252" t="s">
        <v>2344</v>
      </c>
      <c r="AC16" s="13"/>
      <c r="AG16" s="253" t="s">
        <v>2345</v>
      </c>
      <c r="AH16" s="244" t="s">
        <v>2347</v>
      </c>
      <c r="AI16" s="254" t="s">
        <v>2348</v>
      </c>
    </row>
    <row r="17" ht="15.0" customHeight="1">
      <c r="A17" s="249" t="s">
        <v>2172</v>
      </c>
      <c r="B17" s="249" t="s">
        <v>1133</v>
      </c>
      <c r="C17" s="249" t="s">
        <v>2731</v>
      </c>
      <c r="D17" s="249" t="s">
        <v>483</v>
      </c>
      <c r="E17" s="249" t="str">
        <f t="array" ref="E17">IFERROR(INDEX(REF_CODES!$B$27:$B$33,MATCH($D17,REF_CODES!$C$27:$C$33,0)),IFERROR(INDEX(REF_CODES!$B$51:$B$55,MATCH($D17,REF_CODES!$C$51:$C$55,0)),""))</f>
        <v>AU-BIE</v>
      </c>
      <c r="F17" s="249" t="s">
        <v>2738</v>
      </c>
      <c r="G17" s="5" t="s">
        <v>2444</v>
      </c>
      <c r="H17" s="249" t="s">
        <v>2443</v>
      </c>
      <c r="I17" s="249">
        <v>120.0</v>
      </c>
      <c r="J17" s="251"/>
      <c r="K17" s="251" t="s">
        <v>188</v>
      </c>
      <c r="L17" s="5" t="s">
        <v>97</v>
      </c>
      <c r="M17" s="5" t="s">
        <v>2312</v>
      </c>
      <c r="N17" s="5" t="s">
        <v>469</v>
      </c>
      <c r="O17" s="5" t="s">
        <v>498</v>
      </c>
      <c r="P17" s="5" t="s">
        <v>133</v>
      </c>
      <c r="Q17" s="5" t="s">
        <v>2330</v>
      </c>
      <c r="R17" s="5" t="s">
        <v>2207</v>
      </c>
      <c r="S17" s="252" t="s">
        <v>2208</v>
      </c>
      <c r="T17" s="5" t="s">
        <v>2742</v>
      </c>
      <c r="U17" s="252" t="s">
        <v>2334</v>
      </c>
      <c r="V17" s="252" t="s">
        <v>2208</v>
      </c>
      <c r="W17" s="252" t="s">
        <v>2338</v>
      </c>
      <c r="X17" s="252" t="s">
        <v>2338</v>
      </c>
      <c r="Y17" s="252" t="s">
        <v>2340</v>
      </c>
      <c r="Z17" s="5" t="s">
        <v>2342</v>
      </c>
      <c r="AA17" s="5" t="s">
        <v>1229</v>
      </c>
      <c r="AB17" s="252" t="s">
        <v>2344</v>
      </c>
      <c r="AC17" s="13"/>
      <c r="AG17" s="253" t="s">
        <v>2345</v>
      </c>
      <c r="AH17" s="244" t="s">
        <v>2347</v>
      </c>
      <c r="AI17" s="254" t="s">
        <v>2348</v>
      </c>
    </row>
    <row r="18" ht="15.0" customHeight="1">
      <c r="A18" s="249" t="s">
        <v>2172</v>
      </c>
      <c r="B18" s="249" t="s">
        <v>1133</v>
      </c>
      <c r="C18" s="249" t="s">
        <v>2748</v>
      </c>
      <c r="D18" s="249" t="s">
        <v>493</v>
      </c>
      <c r="E18" s="249" t="str">
        <f t="array" ref="E18">IFERROR(INDEX(REF_CODES!$B$27:$B$33,MATCH($D18,REF_CODES!$C$27:$C$33,0)),IFERROR(INDEX(REF_CODES!$B$51:$B$55,MATCH($D18,REF_CODES!$C$51:$C$55,0)),""))</f>
        <v>AU-ELI</v>
      </c>
      <c r="F18" s="249" t="s">
        <v>2755</v>
      </c>
      <c r="G18" s="5" t="s">
        <v>2756</v>
      </c>
      <c r="H18" s="249" t="s">
        <v>2757</v>
      </c>
      <c r="I18" s="249">
        <v>200.0</v>
      </c>
      <c r="J18" s="251" t="s">
        <v>2431</v>
      </c>
      <c r="K18" s="251" t="s">
        <v>195</v>
      </c>
      <c r="L18" s="5" t="s">
        <v>90</v>
      </c>
      <c r="M18" s="5" t="s">
        <v>2203</v>
      </c>
      <c r="N18" s="5" t="s">
        <v>469</v>
      </c>
      <c r="O18" s="5" t="s">
        <v>498</v>
      </c>
      <c r="P18" s="5" t="s">
        <v>138</v>
      </c>
      <c r="Q18" s="5" t="s">
        <v>2205</v>
      </c>
      <c r="R18" s="5" t="s">
        <v>2207</v>
      </c>
      <c r="S18" s="252" t="s">
        <v>2208</v>
      </c>
      <c r="T18" s="5" t="s">
        <v>2761</v>
      </c>
      <c r="U18" s="252" t="s">
        <v>2334</v>
      </c>
      <c r="V18" s="252" t="s">
        <v>2208</v>
      </c>
      <c r="W18" s="252" t="s">
        <v>2338</v>
      </c>
      <c r="X18" s="252" t="s">
        <v>2338</v>
      </c>
      <c r="Y18" s="252" t="s">
        <v>2340</v>
      </c>
      <c r="Z18" s="5" t="s">
        <v>2342</v>
      </c>
      <c r="AA18" s="5" t="s">
        <v>1229</v>
      </c>
      <c r="AB18" s="252" t="s">
        <v>2344</v>
      </c>
      <c r="AC18" s="13"/>
      <c r="AG18" s="253">
        <f>ROUND(I18*0.5,0)</f>
        <v>100</v>
      </c>
      <c r="AH18" s="244" t="s">
        <v>2438</v>
      </c>
      <c r="AI18" s="254" t="s">
        <v>2439</v>
      </c>
    </row>
    <row r="19" ht="15.0" customHeight="1">
      <c r="A19" s="249" t="s">
        <v>2172</v>
      </c>
      <c r="B19" s="249" t="s">
        <v>1133</v>
      </c>
      <c r="C19" s="249" t="s">
        <v>2764</v>
      </c>
      <c r="D19" s="249" t="s">
        <v>442</v>
      </c>
      <c r="E19" s="249" t="str">
        <f t="array" ref="E19">IFERROR(INDEX(REF_CODES!$B$27:$B$33,MATCH($D19,REF_CODES!$C$27:$C$33,0)),IFERROR(INDEX(REF_CODES!$B$51:$B$55,MATCH($D19,REF_CODES!$C$51:$C$55,0)),""))</f>
        <v>AU-DES</v>
      </c>
      <c r="F19" s="249" t="s">
        <v>2773</v>
      </c>
      <c r="G19" s="5" t="s">
        <v>2774</v>
      </c>
      <c r="H19" s="249" t="s">
        <v>2543</v>
      </c>
      <c r="I19" s="249">
        <v>50.0</v>
      </c>
      <c r="J19" s="251" t="s">
        <v>2777</v>
      </c>
      <c r="K19" s="251" t="s">
        <v>188</v>
      </c>
      <c r="L19" s="5" t="s">
        <v>97</v>
      </c>
      <c r="M19" s="5" t="s">
        <v>2312</v>
      </c>
      <c r="N19" s="5" t="s">
        <v>463</v>
      </c>
      <c r="O19" s="5" t="s">
        <v>498</v>
      </c>
      <c r="P19" s="5" t="s">
        <v>2782</v>
      </c>
      <c r="Q19" s="5" t="s">
        <v>2783</v>
      </c>
      <c r="R19" s="5" t="s">
        <v>2207</v>
      </c>
      <c r="S19" s="252" t="s">
        <v>2208</v>
      </c>
      <c r="T19" s="5" t="s">
        <v>2786</v>
      </c>
      <c r="U19" s="252" t="s">
        <v>2334</v>
      </c>
      <c r="V19" s="252" t="s">
        <v>2208</v>
      </c>
      <c r="W19" s="252" t="s">
        <v>2338</v>
      </c>
      <c r="X19" s="252" t="s">
        <v>2338</v>
      </c>
      <c r="Y19" s="252" t="s">
        <v>2340</v>
      </c>
      <c r="Z19" s="5" t="s">
        <v>2342</v>
      </c>
      <c r="AA19" s="5" t="s">
        <v>1229</v>
      </c>
      <c r="AB19" s="252" t="s">
        <v>2344</v>
      </c>
      <c r="AC19" s="13"/>
      <c r="AG19" s="253">
        <v>20.0</v>
      </c>
      <c r="AH19" s="244" t="s">
        <v>2789</v>
      </c>
      <c r="AI19" s="254" t="s">
        <v>2790</v>
      </c>
    </row>
    <row r="20" ht="15.0" customHeight="1">
      <c r="A20" s="249" t="s">
        <v>2172</v>
      </c>
      <c r="B20" s="249" t="s">
        <v>1133</v>
      </c>
      <c r="C20" s="249" t="s">
        <v>2791</v>
      </c>
      <c r="D20" s="249" t="s">
        <v>442</v>
      </c>
      <c r="E20" s="249" t="str">
        <f t="array" ref="E20">IFERROR(INDEX(REF_CODES!$B$27:$B$33,MATCH($D20,REF_CODES!$C$27:$C$33,0)),IFERROR(INDEX(REF_CODES!$B$51:$B$55,MATCH($D20,REF_CODES!$C$51:$C$55,0)),""))</f>
        <v>AU-DES</v>
      </c>
      <c r="F20" s="249" t="s">
        <v>2801</v>
      </c>
      <c r="G20" s="5" t="s">
        <v>2802</v>
      </c>
      <c r="H20" s="249" t="s">
        <v>2543</v>
      </c>
      <c r="I20" s="249">
        <v>70.0</v>
      </c>
      <c r="J20" s="251" t="s">
        <v>2777</v>
      </c>
      <c r="K20" s="251" t="s">
        <v>188</v>
      </c>
      <c r="L20" s="5" t="s">
        <v>97</v>
      </c>
      <c r="M20" s="5" t="s">
        <v>2312</v>
      </c>
      <c r="N20" s="5" t="s">
        <v>463</v>
      </c>
      <c r="O20" s="5" t="s">
        <v>498</v>
      </c>
      <c r="P20" s="5" t="s">
        <v>2782</v>
      </c>
      <c r="Q20" s="5" t="s">
        <v>2783</v>
      </c>
      <c r="R20" s="5" t="s">
        <v>2207</v>
      </c>
      <c r="S20" s="252" t="s">
        <v>2208</v>
      </c>
      <c r="T20" s="5" t="s">
        <v>2804</v>
      </c>
      <c r="U20" s="252" t="s">
        <v>2334</v>
      </c>
      <c r="V20" s="252" t="s">
        <v>2208</v>
      </c>
      <c r="W20" s="252" t="s">
        <v>2338</v>
      </c>
      <c r="X20" s="252" t="s">
        <v>2338</v>
      </c>
      <c r="Y20" s="252" t="s">
        <v>2340</v>
      </c>
      <c r="Z20" s="5" t="s">
        <v>2342</v>
      </c>
      <c r="AA20" s="5" t="s">
        <v>1229</v>
      </c>
      <c r="AB20" s="252" t="s">
        <v>2344</v>
      </c>
      <c r="AC20" s="13"/>
      <c r="AG20" s="253">
        <v>20.0</v>
      </c>
      <c r="AH20" s="244" t="s">
        <v>2808</v>
      </c>
      <c r="AI20" s="254" t="s">
        <v>2810</v>
      </c>
    </row>
    <row r="21" ht="15.0" customHeight="1">
      <c r="A21" s="249" t="s">
        <v>2172</v>
      </c>
      <c r="B21" s="249" t="s">
        <v>1133</v>
      </c>
      <c r="C21" s="249" t="s">
        <v>2815</v>
      </c>
      <c r="D21" s="249" t="s">
        <v>442</v>
      </c>
      <c r="E21" s="249" t="str">
        <f t="array" ref="E21">IFERROR(INDEX(REF_CODES!$B$27:$B$33,MATCH($D21,REF_CODES!$C$27:$C$33,0)),IFERROR(INDEX(REF_CODES!$B$51:$B$55,MATCH($D21,REF_CODES!$C$51:$C$55,0)),""))</f>
        <v>AU-DES</v>
      </c>
      <c r="F21" s="249" t="s">
        <v>2823</v>
      </c>
      <c r="G21" s="5" t="s">
        <v>2384</v>
      </c>
      <c r="H21" s="249" t="s">
        <v>1919</v>
      </c>
      <c r="I21" s="249">
        <v>60.0</v>
      </c>
      <c r="J21" s="251" t="s">
        <v>2777</v>
      </c>
      <c r="K21" s="251" t="s">
        <v>188</v>
      </c>
      <c r="L21" s="5" t="s">
        <v>97</v>
      </c>
      <c r="M21" s="5" t="s">
        <v>2312</v>
      </c>
      <c r="N21" s="5" t="s">
        <v>463</v>
      </c>
      <c r="O21" s="5" t="s">
        <v>498</v>
      </c>
      <c r="P21" s="5" t="s">
        <v>2782</v>
      </c>
      <c r="Q21" s="5" t="s">
        <v>2783</v>
      </c>
      <c r="R21" s="5" t="s">
        <v>2207</v>
      </c>
      <c r="S21" s="252" t="s">
        <v>2208</v>
      </c>
      <c r="T21" s="5" t="s">
        <v>2392</v>
      </c>
      <c r="U21" s="252" t="s">
        <v>2334</v>
      </c>
      <c r="V21" s="252" t="s">
        <v>2208</v>
      </c>
      <c r="W21" s="252" t="s">
        <v>2338</v>
      </c>
      <c r="X21" s="252" t="s">
        <v>2338</v>
      </c>
      <c r="Y21" s="252" t="s">
        <v>2340</v>
      </c>
      <c r="Z21" s="5" t="s">
        <v>2342</v>
      </c>
      <c r="AA21" s="5" t="s">
        <v>1229</v>
      </c>
      <c r="AB21" s="252" t="s">
        <v>2344</v>
      </c>
      <c r="AC21" s="13"/>
      <c r="AG21" s="253">
        <v>20.0</v>
      </c>
      <c r="AH21" s="244" t="s">
        <v>2831</v>
      </c>
      <c r="AI21" s="254" t="s">
        <v>2832</v>
      </c>
    </row>
    <row r="22" ht="15.0" customHeight="1">
      <c r="A22" s="249" t="s">
        <v>2172</v>
      </c>
      <c r="B22" s="249" t="s">
        <v>1133</v>
      </c>
      <c r="C22" s="249" t="s">
        <v>2833</v>
      </c>
      <c r="D22" s="249" t="s">
        <v>470</v>
      </c>
      <c r="E22" s="249" t="str">
        <f t="array" ref="E22">IFERROR(INDEX(REF_CODES!$B$27:$B$33,MATCH($D22,REF_CODES!$C$27:$C$33,0)),IFERROR(INDEX(REF_CODES!$B$51:$B$55,MATCH($D22,REF_CODES!$C$51:$C$55,0)),""))</f>
        <v>AU-CUL</v>
      </c>
      <c r="F22" s="249" t="s">
        <v>2843</v>
      </c>
      <c r="G22" s="5" t="s">
        <v>2844</v>
      </c>
      <c r="H22" s="249" t="s">
        <v>2845</v>
      </c>
      <c r="I22" s="249">
        <v>60.0</v>
      </c>
      <c r="J22" s="251" t="s">
        <v>2385</v>
      </c>
      <c r="K22" s="251" t="s">
        <v>188</v>
      </c>
      <c r="L22" s="5" t="s">
        <v>97</v>
      </c>
      <c r="M22" s="5" t="s">
        <v>2312</v>
      </c>
      <c r="N22" s="5" t="s">
        <v>463</v>
      </c>
      <c r="O22" s="5" t="s">
        <v>498</v>
      </c>
      <c r="P22" s="5" t="s">
        <v>142</v>
      </c>
      <c r="Q22" s="5" t="s">
        <v>2391</v>
      </c>
      <c r="R22" s="5" t="s">
        <v>2207</v>
      </c>
      <c r="S22" s="252" t="s">
        <v>2208</v>
      </c>
      <c r="T22" s="5" t="s">
        <v>2850</v>
      </c>
      <c r="U22" s="252" t="s">
        <v>2334</v>
      </c>
      <c r="V22" s="252" t="s">
        <v>2208</v>
      </c>
      <c r="W22" s="252" t="s">
        <v>2338</v>
      </c>
      <c r="X22" s="252" t="s">
        <v>2338</v>
      </c>
      <c r="Y22" s="252" t="s">
        <v>2340</v>
      </c>
      <c r="Z22" s="5" t="s">
        <v>2342</v>
      </c>
      <c r="AA22" s="5" t="s">
        <v>1229</v>
      </c>
      <c r="AB22" s="252" t="s">
        <v>2344</v>
      </c>
      <c r="AC22" s="13"/>
      <c r="AG22" s="253">
        <f t="shared" ref="AG22:AG23" si="1">I22</f>
        <v>60</v>
      </c>
      <c r="AH22" s="244" t="s">
        <v>2852</v>
      </c>
      <c r="AI22" s="254" t="s">
        <v>2854</v>
      </c>
    </row>
    <row r="23" ht="15.0" customHeight="1">
      <c r="A23" s="249" t="s">
        <v>2172</v>
      </c>
      <c r="B23" s="249" t="s">
        <v>1133</v>
      </c>
      <c r="C23" s="249" t="s">
        <v>2856</v>
      </c>
      <c r="D23" s="249" t="s">
        <v>470</v>
      </c>
      <c r="E23" s="249" t="str">
        <f t="array" ref="E23">IFERROR(INDEX(REF_CODES!$B$27:$B$33,MATCH($D23,REF_CODES!$C$27:$C$33,0)),IFERROR(INDEX(REF_CODES!$B$51:$B$55,MATCH($D23,REF_CODES!$C$51:$C$55,0)),""))</f>
        <v>AU-CUL</v>
      </c>
      <c r="F23" s="249" t="s">
        <v>2870</v>
      </c>
      <c r="G23" s="5" t="s">
        <v>2872</v>
      </c>
      <c r="H23" s="249" t="s">
        <v>1919</v>
      </c>
      <c r="I23" s="249">
        <v>55.0</v>
      </c>
      <c r="J23" s="251" t="s">
        <v>2385</v>
      </c>
      <c r="K23" s="251" t="s">
        <v>188</v>
      </c>
      <c r="L23" s="5" t="s">
        <v>97</v>
      </c>
      <c r="M23" s="5" t="s">
        <v>2312</v>
      </c>
      <c r="N23" s="5" t="s">
        <v>463</v>
      </c>
      <c r="O23" s="5" t="s">
        <v>498</v>
      </c>
      <c r="P23" s="5" t="s">
        <v>142</v>
      </c>
      <c r="Q23" s="5" t="s">
        <v>2391</v>
      </c>
      <c r="R23" s="5" t="s">
        <v>2207</v>
      </c>
      <c r="S23" s="252" t="s">
        <v>2208</v>
      </c>
      <c r="T23" s="5" t="s">
        <v>2873</v>
      </c>
      <c r="U23" s="252" t="s">
        <v>2334</v>
      </c>
      <c r="V23" s="252" t="s">
        <v>2208</v>
      </c>
      <c r="W23" s="252" t="s">
        <v>2338</v>
      </c>
      <c r="X23" s="252" t="s">
        <v>2338</v>
      </c>
      <c r="Y23" s="252" t="s">
        <v>2340</v>
      </c>
      <c r="Z23" s="5" t="s">
        <v>2342</v>
      </c>
      <c r="AA23" s="5" t="s">
        <v>1229</v>
      </c>
      <c r="AB23" s="252" t="s">
        <v>2344</v>
      </c>
      <c r="AC23" s="13"/>
      <c r="AG23" s="253">
        <f t="shared" si="1"/>
        <v>55</v>
      </c>
      <c r="AH23" s="244" t="s">
        <v>2876</v>
      </c>
      <c r="AI23" s="254" t="s">
        <v>2877</v>
      </c>
    </row>
    <row r="24" ht="15.0" customHeight="1">
      <c r="A24" s="249" t="s">
        <v>2172</v>
      </c>
      <c r="B24" s="249" t="s">
        <v>1133</v>
      </c>
      <c r="C24" s="249" t="s">
        <v>2880</v>
      </c>
      <c r="D24" s="249" t="s">
        <v>483</v>
      </c>
      <c r="E24" s="249" t="str">
        <f t="array" ref="E24">IFERROR(INDEX(REF_CODES!$B$27:$B$33,MATCH($D24,REF_CODES!$C$27:$C$33,0)),IFERROR(INDEX(REF_CODES!$B$51:$B$55,MATCH($D24,REF_CODES!$C$51:$C$55,0)),""))</f>
        <v>AU-BIE</v>
      </c>
      <c r="F24" s="249" t="s">
        <v>2892</v>
      </c>
      <c r="G24" s="5" t="s">
        <v>2514</v>
      </c>
      <c r="H24" s="249" t="s">
        <v>2893</v>
      </c>
      <c r="I24" s="268">
        <v>250.0</v>
      </c>
      <c r="J24" s="251"/>
      <c r="K24" s="251" t="s">
        <v>195</v>
      </c>
      <c r="L24" s="5" t="s">
        <v>97</v>
      </c>
      <c r="M24" s="5" t="s">
        <v>2312</v>
      </c>
      <c r="N24" s="5" t="s">
        <v>469</v>
      </c>
      <c r="O24" s="5" t="s">
        <v>498</v>
      </c>
      <c r="P24" s="5" t="s">
        <v>133</v>
      </c>
      <c r="Q24" s="5" t="s">
        <v>2330</v>
      </c>
      <c r="R24" s="5" t="s">
        <v>2207</v>
      </c>
      <c r="S24" s="252" t="s">
        <v>2208</v>
      </c>
      <c r="T24" s="5" t="s">
        <v>2904</v>
      </c>
      <c r="U24" s="252" t="s">
        <v>2334</v>
      </c>
      <c r="V24" s="252" t="s">
        <v>2208</v>
      </c>
      <c r="W24" s="252" t="s">
        <v>2338</v>
      </c>
      <c r="X24" s="252" t="s">
        <v>2338</v>
      </c>
      <c r="Y24" s="252" t="s">
        <v>2340</v>
      </c>
      <c r="Z24" s="5" t="s">
        <v>2342</v>
      </c>
      <c r="AA24" s="5" t="s">
        <v>1229</v>
      </c>
      <c r="AB24" s="252" t="s">
        <v>2344</v>
      </c>
      <c r="AC24" s="13"/>
      <c r="AG24" s="253" t="s">
        <v>2345</v>
      </c>
      <c r="AH24" s="244" t="s">
        <v>2347</v>
      </c>
      <c r="AI24" s="254" t="s">
        <v>2348</v>
      </c>
    </row>
    <row r="25" ht="15.0" customHeight="1">
      <c r="A25" s="249" t="s">
        <v>2172</v>
      </c>
      <c r="B25" s="249" t="s">
        <v>1133</v>
      </c>
      <c r="C25" s="249" t="s">
        <v>2915</v>
      </c>
      <c r="D25" s="249" t="s">
        <v>483</v>
      </c>
      <c r="E25" s="249" t="str">
        <f t="array" ref="E25">IFERROR(INDEX(REF_CODES!$B$27:$B$33,MATCH($D25,REF_CODES!$C$27:$C$33,0)),IFERROR(INDEX(REF_CODES!$B$51:$B$55,MATCH($D25,REF_CODES!$C$51:$C$55,0)),""))</f>
        <v>AU-BIE</v>
      </c>
      <c r="F25" s="249" t="s">
        <v>2923</v>
      </c>
      <c r="G25" s="5" t="s">
        <v>2366</v>
      </c>
      <c r="H25" s="249" t="s">
        <v>2702</v>
      </c>
      <c r="I25" s="268">
        <v>220.0</v>
      </c>
      <c r="J25" s="251"/>
      <c r="K25" s="251" t="s">
        <v>195</v>
      </c>
      <c r="L25" s="5" t="s">
        <v>97</v>
      </c>
      <c r="M25" s="5" t="s">
        <v>2312</v>
      </c>
      <c r="N25" s="5" t="s">
        <v>469</v>
      </c>
      <c r="O25" s="5" t="s">
        <v>498</v>
      </c>
      <c r="P25" s="5" t="s">
        <v>133</v>
      </c>
      <c r="Q25" s="5" t="s">
        <v>2330</v>
      </c>
      <c r="R25" s="5" t="s">
        <v>2207</v>
      </c>
      <c r="S25" s="252" t="s">
        <v>2208</v>
      </c>
      <c r="T25" s="5" t="s">
        <v>2705</v>
      </c>
      <c r="U25" s="252" t="s">
        <v>2334</v>
      </c>
      <c r="V25" s="252" t="s">
        <v>2208</v>
      </c>
      <c r="W25" s="252" t="s">
        <v>2338</v>
      </c>
      <c r="X25" s="252" t="s">
        <v>2338</v>
      </c>
      <c r="Y25" s="252" t="s">
        <v>2340</v>
      </c>
      <c r="Z25" s="5" t="s">
        <v>2342</v>
      </c>
      <c r="AA25" s="5" t="s">
        <v>1229</v>
      </c>
      <c r="AB25" s="252" t="s">
        <v>2344</v>
      </c>
      <c r="AC25" s="13"/>
      <c r="AG25" s="253" t="s">
        <v>2345</v>
      </c>
      <c r="AH25" s="244" t="s">
        <v>2347</v>
      </c>
      <c r="AI25" s="254" t="s">
        <v>2348</v>
      </c>
    </row>
    <row r="26" ht="15.0" customHeight="1">
      <c r="A26" s="249" t="s">
        <v>2172</v>
      </c>
      <c r="B26" s="249" t="s">
        <v>1133</v>
      </c>
      <c r="C26" s="249" t="s">
        <v>2941</v>
      </c>
      <c r="D26" s="249" t="s">
        <v>458</v>
      </c>
      <c r="E26" s="249" t="str">
        <f t="array" ref="E26">IFERROR(INDEX(REF_CODES!$B$27:$B$33,MATCH($D26,REF_CODES!$C$27:$C$33,0)),IFERROR(INDEX(REF_CODES!$B$51:$B$55,MATCH($D26,REF_CODES!$C$51:$C$55,0)),""))</f>
        <v>AU-SPO</v>
      </c>
      <c r="F26" s="249" t="s">
        <v>2957</v>
      </c>
      <c r="G26" s="5" t="s">
        <v>2958</v>
      </c>
      <c r="H26" s="249" t="s">
        <v>2959</v>
      </c>
      <c r="I26" s="249">
        <v>110.0</v>
      </c>
      <c r="J26" s="251" t="s">
        <v>2431</v>
      </c>
      <c r="K26" s="251" t="s">
        <v>188</v>
      </c>
      <c r="L26" s="5" t="s">
        <v>110</v>
      </c>
      <c r="M26" s="5" t="s">
        <v>2203</v>
      </c>
      <c r="N26" s="5" t="s">
        <v>469</v>
      </c>
      <c r="O26" s="5" t="s">
        <v>498</v>
      </c>
      <c r="P26" s="5" t="s">
        <v>146</v>
      </c>
      <c r="Q26" s="5" t="s">
        <v>52</v>
      </c>
      <c r="R26" s="5" t="s">
        <v>2207</v>
      </c>
      <c r="S26" s="252" t="s">
        <v>2208</v>
      </c>
      <c r="T26" s="5" t="s">
        <v>2966</v>
      </c>
      <c r="U26" s="252" t="s">
        <v>2334</v>
      </c>
      <c r="V26" s="252" t="s">
        <v>2208</v>
      </c>
      <c r="W26" s="252" t="s">
        <v>2338</v>
      </c>
      <c r="X26" s="252" t="s">
        <v>2338</v>
      </c>
      <c r="Y26" s="252" t="s">
        <v>2340</v>
      </c>
      <c r="Z26" s="5" t="s">
        <v>2342</v>
      </c>
      <c r="AA26" s="5" t="s">
        <v>1229</v>
      </c>
      <c r="AB26" s="252" t="s">
        <v>2344</v>
      </c>
      <c r="AC26" s="13"/>
      <c r="AG26" s="253">
        <v>45.0</v>
      </c>
      <c r="AH26" s="244" t="s">
        <v>2975</v>
      </c>
      <c r="AI26" s="254" t="s">
        <v>2976</v>
      </c>
    </row>
    <row r="27" ht="15.0" customHeight="1">
      <c r="A27" s="249" t="s">
        <v>2172</v>
      </c>
      <c r="B27" s="249" t="s">
        <v>1133</v>
      </c>
      <c r="C27" s="249" t="s">
        <v>2981</v>
      </c>
      <c r="D27" s="249" t="s">
        <v>458</v>
      </c>
      <c r="E27" s="249" t="str">
        <f t="array" ref="E27">IFERROR(INDEX(REF_CODES!$B$27:$B$33,MATCH($D27,REF_CODES!$C$27:$C$33,0)),IFERROR(INDEX(REF_CODES!$B$51:$B$55,MATCH($D27,REF_CODES!$C$51:$C$55,0)),""))</f>
        <v>AU-SPO</v>
      </c>
      <c r="F27" s="249" t="s">
        <v>2987</v>
      </c>
      <c r="G27" s="5" t="s">
        <v>2988</v>
      </c>
      <c r="H27" s="249" t="s">
        <v>2991</v>
      </c>
      <c r="I27" s="249">
        <v>100.0</v>
      </c>
      <c r="J27" s="251" t="s">
        <v>2431</v>
      </c>
      <c r="K27" s="251" t="s">
        <v>188</v>
      </c>
      <c r="L27" s="5" t="s">
        <v>110</v>
      </c>
      <c r="M27" s="5" t="s">
        <v>2203</v>
      </c>
      <c r="N27" s="5" t="s">
        <v>469</v>
      </c>
      <c r="O27" s="5" t="s">
        <v>498</v>
      </c>
      <c r="P27" s="5" t="s">
        <v>146</v>
      </c>
      <c r="Q27" s="5" t="s">
        <v>52</v>
      </c>
      <c r="R27" s="5" t="s">
        <v>2207</v>
      </c>
      <c r="S27" s="252" t="s">
        <v>2208</v>
      </c>
      <c r="T27" s="5" t="s">
        <v>3002</v>
      </c>
      <c r="U27" s="252" t="s">
        <v>2334</v>
      </c>
      <c r="V27" s="252" t="s">
        <v>2208</v>
      </c>
      <c r="W27" s="252" t="s">
        <v>2338</v>
      </c>
      <c r="X27" s="252" t="s">
        <v>2338</v>
      </c>
      <c r="Y27" s="252" t="s">
        <v>2340</v>
      </c>
      <c r="Z27" s="5" t="s">
        <v>2342</v>
      </c>
      <c r="AA27" s="5" t="s">
        <v>1229</v>
      </c>
      <c r="AB27" s="252" t="s">
        <v>2344</v>
      </c>
      <c r="AC27" s="13"/>
      <c r="AG27" s="253">
        <v>45.0</v>
      </c>
      <c r="AH27" s="244" t="s">
        <v>2975</v>
      </c>
      <c r="AI27" s="254" t="s">
        <v>2976</v>
      </c>
    </row>
    <row r="28" ht="15.0" customHeight="1">
      <c r="A28" s="249" t="s">
        <v>2172</v>
      </c>
      <c r="B28" s="249" t="s">
        <v>1133</v>
      </c>
      <c r="C28" s="249" t="s">
        <v>3008</v>
      </c>
      <c r="D28" s="249" t="s">
        <v>442</v>
      </c>
      <c r="E28" s="249" t="str">
        <f t="array" ref="E28">IFERROR(INDEX(REF_CODES!$B$27:$B$33,MATCH($D28,REF_CODES!$C$27:$C$33,0)),IFERROR(INDEX(REF_CODES!$B$51:$B$55,MATCH($D28,REF_CODES!$C$51:$C$55,0)),""))</f>
        <v>AU-DES</v>
      </c>
      <c r="F28" s="249" t="s">
        <v>3022</v>
      </c>
      <c r="G28" s="5" t="s">
        <v>3023</v>
      </c>
      <c r="H28" s="249" t="s">
        <v>2543</v>
      </c>
      <c r="I28" s="249">
        <v>90.0</v>
      </c>
      <c r="J28" s="251" t="s">
        <v>2777</v>
      </c>
      <c r="K28" s="251" t="s">
        <v>188</v>
      </c>
      <c r="L28" s="5" t="s">
        <v>97</v>
      </c>
      <c r="M28" s="5" t="s">
        <v>2312</v>
      </c>
      <c r="N28" s="5" t="s">
        <v>463</v>
      </c>
      <c r="O28" s="5" t="s">
        <v>498</v>
      </c>
      <c r="P28" s="5" t="s">
        <v>2782</v>
      </c>
      <c r="Q28" s="5" t="s">
        <v>2783</v>
      </c>
      <c r="R28" s="5" t="s">
        <v>2207</v>
      </c>
      <c r="S28" s="252" t="s">
        <v>2208</v>
      </c>
      <c r="T28" s="5" t="s">
        <v>3028</v>
      </c>
      <c r="U28" s="252" t="s">
        <v>2334</v>
      </c>
      <c r="V28" s="252" t="s">
        <v>2208</v>
      </c>
      <c r="W28" s="252" t="s">
        <v>2338</v>
      </c>
      <c r="X28" s="252" t="s">
        <v>2338</v>
      </c>
      <c r="Y28" s="252" t="s">
        <v>2340</v>
      </c>
      <c r="Z28" s="5" t="s">
        <v>2342</v>
      </c>
      <c r="AA28" s="5" t="s">
        <v>1229</v>
      </c>
      <c r="AB28" s="252" t="s">
        <v>2344</v>
      </c>
      <c r="AC28" s="13"/>
      <c r="AG28" s="253" t="s">
        <v>3034</v>
      </c>
      <c r="AH28" s="244" t="s">
        <v>3034</v>
      </c>
      <c r="AI28" s="254" t="s">
        <v>3037</v>
      </c>
    </row>
    <row r="29" ht="15.0" customHeight="1">
      <c r="A29" s="249" t="s">
        <v>2172</v>
      </c>
      <c r="B29" s="249" t="s">
        <v>1133</v>
      </c>
      <c r="C29" s="249" t="s">
        <v>3040</v>
      </c>
      <c r="D29" s="249" t="s">
        <v>442</v>
      </c>
      <c r="E29" s="249" t="str">
        <f t="array" ref="E29">IFERROR(INDEX(REF_CODES!$B$27:$B$33,MATCH($D29,REF_CODES!$C$27:$C$33,0)),IFERROR(INDEX(REF_CODES!$B$51:$B$55,MATCH($D29,REF_CODES!$C$51:$C$55,0)),""))</f>
        <v>AU-DES</v>
      </c>
      <c r="F29" s="249" t="s">
        <v>3052</v>
      </c>
      <c r="G29" s="5" t="s">
        <v>3053</v>
      </c>
      <c r="H29" s="249" t="s">
        <v>3054</v>
      </c>
      <c r="I29" s="249">
        <v>50.0</v>
      </c>
      <c r="J29" s="251" t="s">
        <v>2777</v>
      </c>
      <c r="K29" s="251" t="s">
        <v>188</v>
      </c>
      <c r="L29" s="5" t="s">
        <v>97</v>
      </c>
      <c r="M29" s="5" t="s">
        <v>2312</v>
      </c>
      <c r="N29" s="5" t="s">
        <v>463</v>
      </c>
      <c r="O29" s="5" t="s">
        <v>498</v>
      </c>
      <c r="P29" s="5" t="s">
        <v>2782</v>
      </c>
      <c r="Q29" s="5" t="s">
        <v>2783</v>
      </c>
      <c r="R29" s="5" t="s">
        <v>2207</v>
      </c>
      <c r="S29" s="252" t="s">
        <v>2208</v>
      </c>
      <c r="T29" s="5" t="s">
        <v>3058</v>
      </c>
      <c r="U29" s="252" t="s">
        <v>2334</v>
      </c>
      <c r="V29" s="252" t="s">
        <v>2208</v>
      </c>
      <c r="W29" s="252" t="s">
        <v>2338</v>
      </c>
      <c r="X29" s="252" t="s">
        <v>2338</v>
      </c>
      <c r="Y29" s="252" t="s">
        <v>2340</v>
      </c>
      <c r="Z29" s="5" t="s">
        <v>2342</v>
      </c>
      <c r="AA29" s="5" t="s">
        <v>1229</v>
      </c>
      <c r="AB29" s="252" t="s">
        <v>2344</v>
      </c>
      <c r="AC29" s="13"/>
      <c r="AG29" s="253">
        <f>I29</f>
        <v>50</v>
      </c>
      <c r="AH29" s="244" t="s">
        <v>3072</v>
      </c>
      <c r="AI29" s="254" t="s">
        <v>3073</v>
      </c>
    </row>
    <row r="30" ht="15.0" customHeight="1">
      <c r="A30" s="249" t="s">
        <v>2172</v>
      </c>
      <c r="B30" s="249" t="s">
        <v>1133</v>
      </c>
      <c r="C30" s="249" t="s">
        <v>3074</v>
      </c>
      <c r="D30" s="249" t="s">
        <v>442</v>
      </c>
      <c r="E30" s="249" t="str">
        <f t="array" ref="E30">IFERROR(INDEX(REF_CODES!$B$27:$B$33,MATCH($D30,REF_CODES!$C$27:$C$33,0)),IFERROR(INDEX(REF_CODES!$B$51:$B$55,MATCH($D30,REF_CODES!$C$51:$C$55,0)),""))</f>
        <v>AU-DES</v>
      </c>
      <c r="F30" s="249" t="s">
        <v>3077</v>
      </c>
      <c r="G30" s="5" t="s">
        <v>3078</v>
      </c>
      <c r="H30" s="249" t="s">
        <v>3054</v>
      </c>
      <c r="I30" s="249">
        <v>30.0</v>
      </c>
      <c r="J30" s="251" t="s">
        <v>2777</v>
      </c>
      <c r="K30" s="251" t="s">
        <v>188</v>
      </c>
      <c r="L30" s="5" t="s">
        <v>97</v>
      </c>
      <c r="M30" s="5" t="s">
        <v>2312</v>
      </c>
      <c r="N30" s="5" t="s">
        <v>463</v>
      </c>
      <c r="O30" s="5" t="s">
        <v>498</v>
      </c>
      <c r="P30" s="5" t="s">
        <v>2782</v>
      </c>
      <c r="Q30" s="5" t="s">
        <v>2783</v>
      </c>
      <c r="R30" s="5" t="s">
        <v>2207</v>
      </c>
      <c r="S30" s="252" t="s">
        <v>2208</v>
      </c>
      <c r="T30" s="5" t="s">
        <v>3084</v>
      </c>
      <c r="U30" s="252" t="s">
        <v>2334</v>
      </c>
      <c r="V30" s="252" t="s">
        <v>2208</v>
      </c>
      <c r="W30" s="252" t="s">
        <v>2338</v>
      </c>
      <c r="X30" s="252" t="s">
        <v>2338</v>
      </c>
      <c r="Y30" s="252" t="s">
        <v>2340</v>
      </c>
      <c r="Z30" s="5" t="s">
        <v>2342</v>
      </c>
      <c r="AA30" s="5" t="s">
        <v>1229</v>
      </c>
      <c r="AB30" s="252" t="s">
        <v>2344</v>
      </c>
      <c r="AC30" s="13"/>
      <c r="AG30" s="253">
        <v>35.0</v>
      </c>
      <c r="AH30" s="244" t="s">
        <v>3088</v>
      </c>
      <c r="AI30" s="254" t="s">
        <v>3089</v>
      </c>
    </row>
    <row r="31" ht="15.0" customHeight="1">
      <c r="A31" s="249" t="s">
        <v>2172</v>
      </c>
      <c r="B31" s="249" t="s">
        <v>1133</v>
      </c>
      <c r="C31" s="249" t="s">
        <v>3090</v>
      </c>
      <c r="D31" s="249" t="s">
        <v>493</v>
      </c>
      <c r="E31" s="249" t="str">
        <f t="array" ref="E31">IFERROR(INDEX(REF_CODES!$B$27:$B$33,MATCH($D31,REF_CODES!$C$27:$C$33,0)),IFERROR(INDEX(REF_CODES!$B$51:$B$55,MATCH($D31,REF_CODES!$C$51:$C$55,0)),""))</f>
        <v>AU-ELI</v>
      </c>
      <c r="F31" s="249" t="s">
        <v>3103</v>
      </c>
      <c r="G31" s="5" t="s">
        <v>3104</v>
      </c>
      <c r="H31" s="249" t="s">
        <v>3108</v>
      </c>
      <c r="I31" s="249">
        <v>1500.0</v>
      </c>
      <c r="J31" s="251" t="s">
        <v>2431</v>
      </c>
      <c r="K31" s="251" t="s">
        <v>202</v>
      </c>
      <c r="L31" s="5" t="s">
        <v>90</v>
      </c>
      <c r="M31" s="5" t="s">
        <v>2203</v>
      </c>
      <c r="N31" s="5" t="s">
        <v>477</v>
      </c>
      <c r="O31" s="5" t="s">
        <v>498</v>
      </c>
      <c r="P31" s="5" t="s">
        <v>138</v>
      </c>
      <c r="Q31" s="5" t="s">
        <v>2205</v>
      </c>
      <c r="R31" s="5" t="s">
        <v>2207</v>
      </c>
      <c r="S31" s="252" t="s">
        <v>2208</v>
      </c>
      <c r="T31" s="5" t="s">
        <v>3115</v>
      </c>
      <c r="U31" s="252" t="s">
        <v>2334</v>
      </c>
      <c r="V31" s="252" t="s">
        <v>2208</v>
      </c>
      <c r="W31" s="252" t="s">
        <v>2338</v>
      </c>
      <c r="X31" s="252" t="s">
        <v>2338</v>
      </c>
      <c r="Y31" s="252" t="s">
        <v>2340</v>
      </c>
      <c r="Z31" s="5" t="s">
        <v>2342</v>
      </c>
      <c r="AA31" s="5" t="s">
        <v>1229</v>
      </c>
      <c r="AB31" s="252" t="s">
        <v>2344</v>
      </c>
      <c r="AC31" s="13"/>
      <c r="AG31" s="253" t="s">
        <v>3034</v>
      </c>
      <c r="AH31" s="244" t="s">
        <v>3034</v>
      </c>
      <c r="AI31" s="254" t="s">
        <v>3122</v>
      </c>
    </row>
    <row r="32" ht="15.0" customHeight="1">
      <c r="A32" s="249" t="s">
        <v>2172</v>
      </c>
      <c r="B32" s="249" t="s">
        <v>1133</v>
      </c>
      <c r="C32" s="249" t="s">
        <v>3126</v>
      </c>
      <c r="D32" s="249" t="s">
        <v>425</v>
      </c>
      <c r="E32" s="249" t="str">
        <f t="array" ref="E32">IFERROR(INDEX(REF_CODES!$B$27:$B$33,MATCH($D32,REF_CODES!$C$27:$C$33,0)),IFERROR(INDEX(REF_CODES!$B$51:$B$55,MATCH($D32,REF_CODES!$C$51:$C$55,0)),""))</f>
        <v>AU-EXC</v>
      </c>
      <c r="F32" s="249" t="s">
        <v>3143</v>
      </c>
      <c r="G32" s="5" t="s">
        <v>3145</v>
      </c>
      <c r="H32" s="249" t="s">
        <v>3146</v>
      </c>
      <c r="I32" s="249">
        <v>45.0</v>
      </c>
      <c r="J32" s="251" t="s">
        <v>2777</v>
      </c>
      <c r="K32" s="251" t="s">
        <v>188</v>
      </c>
      <c r="L32" s="5" t="s">
        <v>97</v>
      </c>
      <c r="M32" s="5" t="s">
        <v>2312</v>
      </c>
      <c r="N32" s="5" t="s">
        <v>463</v>
      </c>
      <c r="O32" s="5" t="s">
        <v>498</v>
      </c>
      <c r="P32" s="5" t="s">
        <v>142</v>
      </c>
      <c r="Q32" s="5" t="s">
        <v>3156</v>
      </c>
      <c r="R32" s="5" t="s">
        <v>2207</v>
      </c>
      <c r="S32" s="252" t="s">
        <v>2208</v>
      </c>
      <c r="T32" s="5" t="s">
        <v>3157</v>
      </c>
      <c r="U32" s="252" t="s">
        <v>2334</v>
      </c>
      <c r="V32" s="252" t="s">
        <v>2208</v>
      </c>
      <c r="W32" s="252" t="s">
        <v>2338</v>
      </c>
      <c r="X32" s="252" t="s">
        <v>2338</v>
      </c>
      <c r="Y32" s="252" t="s">
        <v>2340</v>
      </c>
      <c r="Z32" s="5" t="s">
        <v>2342</v>
      </c>
      <c r="AA32" s="5" t="s">
        <v>1229</v>
      </c>
      <c r="AB32" s="252" t="s">
        <v>2344</v>
      </c>
      <c r="AC32" s="13"/>
      <c r="AG32" s="253">
        <f t="shared" ref="AG32:AG34" si="2">ROUND(I32*0.5,0)</f>
        <v>23</v>
      </c>
      <c r="AH32" s="244" t="s">
        <v>3162</v>
      </c>
      <c r="AI32" s="254" t="s">
        <v>3164</v>
      </c>
    </row>
    <row r="33" ht="15.0" customHeight="1">
      <c r="A33" s="249" t="s">
        <v>2172</v>
      </c>
      <c r="B33" s="249" t="s">
        <v>1133</v>
      </c>
      <c r="C33" s="249" t="s">
        <v>3166</v>
      </c>
      <c r="D33" s="249" t="s">
        <v>425</v>
      </c>
      <c r="E33" s="249" t="str">
        <f t="array" ref="E33">IFERROR(INDEX(REF_CODES!$B$27:$B$33,MATCH($D33,REF_CODES!$C$27:$C$33,0)),IFERROR(INDEX(REF_CODES!$B$51:$B$55,MATCH($D33,REF_CODES!$C$51:$C$55,0)),""))</f>
        <v>AU-EXC</v>
      </c>
      <c r="F33" s="249" t="s">
        <v>3178</v>
      </c>
      <c r="G33" s="5" t="s">
        <v>3145</v>
      </c>
      <c r="H33" s="249" t="s">
        <v>3179</v>
      </c>
      <c r="I33" s="249">
        <v>60.0</v>
      </c>
      <c r="J33" s="251" t="s">
        <v>2777</v>
      </c>
      <c r="K33" s="251" t="s">
        <v>188</v>
      </c>
      <c r="L33" s="5" t="s">
        <v>97</v>
      </c>
      <c r="M33" s="5" t="s">
        <v>2312</v>
      </c>
      <c r="N33" s="5" t="s">
        <v>463</v>
      </c>
      <c r="O33" s="5" t="s">
        <v>498</v>
      </c>
      <c r="P33" s="5" t="s">
        <v>142</v>
      </c>
      <c r="Q33" s="5" t="s">
        <v>3156</v>
      </c>
      <c r="R33" s="5" t="s">
        <v>2207</v>
      </c>
      <c r="S33" s="252" t="s">
        <v>2208</v>
      </c>
      <c r="T33" s="5" t="s">
        <v>3157</v>
      </c>
      <c r="U33" s="252" t="s">
        <v>2334</v>
      </c>
      <c r="V33" s="252" t="s">
        <v>2208</v>
      </c>
      <c r="W33" s="252" t="s">
        <v>2338</v>
      </c>
      <c r="X33" s="252" t="s">
        <v>2338</v>
      </c>
      <c r="Y33" s="252" t="s">
        <v>2340</v>
      </c>
      <c r="Z33" s="5" t="s">
        <v>2342</v>
      </c>
      <c r="AA33" s="5" t="s">
        <v>1229</v>
      </c>
      <c r="AB33" s="252" t="s">
        <v>2344</v>
      </c>
      <c r="AC33" s="13"/>
      <c r="AG33" s="253">
        <f t="shared" si="2"/>
        <v>30</v>
      </c>
      <c r="AH33" s="244" t="s">
        <v>3162</v>
      </c>
      <c r="AI33" s="254" t="s">
        <v>3164</v>
      </c>
    </row>
    <row r="34" ht="15.0" customHeight="1">
      <c r="A34" s="249" t="s">
        <v>2172</v>
      </c>
      <c r="B34" s="249" t="s">
        <v>1133</v>
      </c>
      <c r="C34" s="249" t="s">
        <v>3192</v>
      </c>
      <c r="D34" s="249" t="s">
        <v>425</v>
      </c>
      <c r="E34" s="249" t="str">
        <f t="array" ref="E34">IFERROR(INDEX(REF_CODES!$B$27:$B$33,MATCH($D34,REF_CODES!$C$27:$C$33,0)),IFERROR(INDEX(REF_CODES!$B$51:$B$55,MATCH($D34,REF_CODES!$C$51:$C$55,0)),""))</f>
        <v>AU-EXC</v>
      </c>
      <c r="F34" s="249" t="s">
        <v>3202</v>
      </c>
      <c r="G34" s="5" t="s">
        <v>3145</v>
      </c>
      <c r="H34" s="249" t="s">
        <v>3203</v>
      </c>
      <c r="I34" s="249">
        <v>65.0</v>
      </c>
      <c r="J34" s="251" t="s">
        <v>2777</v>
      </c>
      <c r="K34" s="251" t="s">
        <v>188</v>
      </c>
      <c r="L34" s="5" t="s">
        <v>97</v>
      </c>
      <c r="M34" s="5" t="s">
        <v>2312</v>
      </c>
      <c r="N34" s="5" t="s">
        <v>463</v>
      </c>
      <c r="O34" s="5" t="s">
        <v>498</v>
      </c>
      <c r="P34" s="5" t="s">
        <v>142</v>
      </c>
      <c r="Q34" s="5" t="s">
        <v>3156</v>
      </c>
      <c r="R34" s="5" t="s">
        <v>2207</v>
      </c>
      <c r="S34" s="252" t="s">
        <v>2208</v>
      </c>
      <c r="T34" s="5" t="s">
        <v>3157</v>
      </c>
      <c r="U34" s="252" t="s">
        <v>3213</v>
      </c>
      <c r="V34" s="252" t="s">
        <v>2208</v>
      </c>
      <c r="W34" s="252" t="s">
        <v>2338</v>
      </c>
      <c r="X34" s="252" t="s">
        <v>2338</v>
      </c>
      <c r="Y34" s="252" t="s">
        <v>2340</v>
      </c>
      <c r="Z34" s="5" t="s">
        <v>2342</v>
      </c>
      <c r="AA34" s="5" t="s">
        <v>1229</v>
      </c>
      <c r="AB34" s="252" t="s">
        <v>2344</v>
      </c>
      <c r="AC34" s="13"/>
      <c r="AD34" s="271">
        <v>4.9</v>
      </c>
      <c r="AE34" s="272">
        <v>9726.0</v>
      </c>
      <c r="AG34" s="253">
        <f t="shared" si="2"/>
        <v>33</v>
      </c>
      <c r="AH34" s="244" t="s">
        <v>3162</v>
      </c>
      <c r="AI34" s="254" t="s">
        <v>3164</v>
      </c>
    </row>
    <row r="35" ht="15.0" customHeight="1">
      <c r="A35" s="249" t="s">
        <v>2172</v>
      </c>
      <c r="B35" s="249" t="s">
        <v>1133</v>
      </c>
      <c r="C35" s="249" t="s">
        <v>3222</v>
      </c>
      <c r="D35" s="249" t="s">
        <v>493</v>
      </c>
      <c r="E35" s="249" t="str">
        <f t="array" ref="E35">IFERROR(INDEX(REF_CODES!$B$27:$B$33,MATCH($D35,REF_CODES!$C$27:$C$33,0)),IFERROR(INDEX(REF_CODES!$B$51:$B$55,MATCH($D35,REF_CODES!$C$51:$C$55,0)),""))</f>
        <v>AU-ELI</v>
      </c>
      <c r="F35" s="249" t="s">
        <v>3232</v>
      </c>
      <c r="G35" s="5" t="s">
        <v>3104</v>
      </c>
      <c r="H35" s="249" t="s">
        <v>3108</v>
      </c>
      <c r="I35" s="249">
        <v>400.0</v>
      </c>
      <c r="J35" s="251" t="s">
        <v>2431</v>
      </c>
      <c r="K35" s="251" t="s">
        <v>195</v>
      </c>
      <c r="L35" s="5" t="s">
        <v>90</v>
      </c>
      <c r="M35" s="5" t="s">
        <v>2203</v>
      </c>
      <c r="N35" s="5" t="s">
        <v>477</v>
      </c>
      <c r="O35" s="5" t="s">
        <v>498</v>
      </c>
      <c r="P35" s="5" t="s">
        <v>138</v>
      </c>
      <c r="Q35" s="5" t="s">
        <v>2205</v>
      </c>
      <c r="R35" s="5" t="s">
        <v>2207</v>
      </c>
      <c r="S35" s="252" t="s">
        <v>2208</v>
      </c>
      <c r="T35" s="5" t="s">
        <v>3115</v>
      </c>
      <c r="U35" s="252" t="s">
        <v>2334</v>
      </c>
      <c r="V35" s="252" t="s">
        <v>2208</v>
      </c>
      <c r="W35" s="252" t="s">
        <v>2338</v>
      </c>
      <c r="X35" s="252" t="s">
        <v>2338</v>
      </c>
      <c r="Y35" s="252" t="s">
        <v>2340</v>
      </c>
      <c r="Z35" s="5" t="s">
        <v>2342</v>
      </c>
      <c r="AA35" s="5" t="s">
        <v>1229</v>
      </c>
      <c r="AB35" s="252" t="s">
        <v>2344</v>
      </c>
      <c r="AC35" s="13"/>
      <c r="AG35" s="253" t="s">
        <v>3034</v>
      </c>
      <c r="AH35" s="244" t="s">
        <v>3034</v>
      </c>
      <c r="AI35" s="254" t="s">
        <v>3122</v>
      </c>
    </row>
    <row r="36" ht="15.0" customHeight="1">
      <c r="A36" s="249" t="s">
        <v>2172</v>
      </c>
      <c r="B36" s="249" t="s">
        <v>1133</v>
      </c>
      <c r="C36" s="249" t="s">
        <v>3246</v>
      </c>
      <c r="D36" s="249" t="s">
        <v>442</v>
      </c>
      <c r="E36" s="249" t="str">
        <f t="array" ref="E36">IFERROR(INDEX(REF_CODES!$B$27:$B$33,MATCH($D36,REF_CODES!$C$27:$C$33,0)),IFERROR(INDEX(REF_CODES!$B$51:$B$55,MATCH($D36,REF_CODES!$C$51:$C$55,0)),""))</f>
        <v>AU-DES</v>
      </c>
      <c r="F36" s="249" t="s">
        <v>3256</v>
      </c>
      <c r="G36" s="5" t="s">
        <v>3257</v>
      </c>
      <c r="H36" s="249" t="s">
        <v>2543</v>
      </c>
      <c r="I36" s="249">
        <v>40.0</v>
      </c>
      <c r="J36" s="251" t="s">
        <v>2777</v>
      </c>
      <c r="K36" s="251" t="s">
        <v>188</v>
      </c>
      <c r="L36" s="5" t="s">
        <v>97</v>
      </c>
      <c r="M36" s="5" t="s">
        <v>2312</v>
      </c>
      <c r="N36" s="5" t="s">
        <v>463</v>
      </c>
      <c r="O36" s="5" t="s">
        <v>498</v>
      </c>
      <c r="P36" s="5" t="s">
        <v>2782</v>
      </c>
      <c r="Q36" s="5" t="s">
        <v>2783</v>
      </c>
      <c r="R36" s="5" t="s">
        <v>2207</v>
      </c>
      <c r="S36" s="252" t="s">
        <v>2208</v>
      </c>
      <c r="T36" s="273" t="s">
        <v>3264</v>
      </c>
      <c r="U36" s="252" t="s">
        <v>2334</v>
      </c>
      <c r="V36" s="252" t="s">
        <v>2208</v>
      </c>
      <c r="W36" s="252" t="s">
        <v>2338</v>
      </c>
      <c r="X36" s="252" t="s">
        <v>2338</v>
      </c>
      <c r="Y36" s="252" t="s">
        <v>2340</v>
      </c>
      <c r="Z36" s="5" t="s">
        <v>2342</v>
      </c>
      <c r="AA36" s="5" t="s">
        <v>1229</v>
      </c>
      <c r="AB36" s="252" t="s">
        <v>2344</v>
      </c>
      <c r="AC36" s="13"/>
      <c r="AG36" s="253" t="s">
        <v>3271</v>
      </c>
      <c r="AH36" s="244" t="s">
        <v>3272</v>
      </c>
      <c r="AI36" s="254" t="s">
        <v>3273</v>
      </c>
    </row>
    <row r="37" ht="15.0" customHeight="1">
      <c r="A37" s="249" t="s">
        <v>2172</v>
      </c>
      <c r="B37" s="249" t="s">
        <v>1133</v>
      </c>
      <c r="C37" s="249" t="s">
        <v>3275</v>
      </c>
      <c r="D37" s="249" t="s">
        <v>483</v>
      </c>
      <c r="E37" s="249" t="str">
        <f t="array" ref="E37">IFERROR(INDEX(REF_CODES!$B$27:$B$33,MATCH($D37,REF_CODES!$C$27:$C$33,0)),IFERROR(INDEX(REF_CODES!$B$51:$B$55,MATCH($D37,REF_CODES!$C$51:$C$55,0)),""))</f>
        <v>AU-BIE</v>
      </c>
      <c r="F37" s="249" t="s">
        <v>3281</v>
      </c>
      <c r="G37" s="5" t="s">
        <v>2366</v>
      </c>
      <c r="H37" s="249" t="s">
        <v>2306</v>
      </c>
      <c r="I37" s="249">
        <v>70.0</v>
      </c>
      <c r="J37" s="251"/>
      <c r="K37" s="251" t="s">
        <v>188</v>
      </c>
      <c r="L37" s="5" t="s">
        <v>97</v>
      </c>
      <c r="M37" s="5" t="s">
        <v>2312</v>
      </c>
      <c r="N37" s="5" t="s">
        <v>463</v>
      </c>
      <c r="O37" s="5" t="s">
        <v>498</v>
      </c>
      <c r="P37" s="5" t="s">
        <v>133</v>
      </c>
      <c r="Q37" s="5" t="s">
        <v>2330</v>
      </c>
      <c r="R37" s="5" t="s">
        <v>2207</v>
      </c>
      <c r="S37" s="252" t="s">
        <v>2208</v>
      </c>
      <c r="T37" s="5" t="s">
        <v>2670</v>
      </c>
      <c r="U37" s="252" t="s">
        <v>2334</v>
      </c>
      <c r="V37" s="252" t="s">
        <v>2208</v>
      </c>
      <c r="W37" s="252" t="s">
        <v>2338</v>
      </c>
      <c r="X37" s="252" t="s">
        <v>2338</v>
      </c>
      <c r="Y37" s="252" t="s">
        <v>2340</v>
      </c>
      <c r="Z37" s="5" t="s">
        <v>2342</v>
      </c>
      <c r="AA37" s="5" t="s">
        <v>1229</v>
      </c>
      <c r="AB37" s="252" t="s">
        <v>2344</v>
      </c>
      <c r="AC37" s="13"/>
      <c r="AG37" s="253" t="s">
        <v>2345</v>
      </c>
      <c r="AH37" s="244" t="s">
        <v>2347</v>
      </c>
      <c r="AI37" s="254" t="s">
        <v>2348</v>
      </c>
    </row>
    <row r="38" ht="15.0" customHeight="1">
      <c r="A38" s="249" t="s">
        <v>2172</v>
      </c>
      <c r="B38" s="249" t="s">
        <v>1133</v>
      </c>
      <c r="C38" s="249" t="s">
        <v>3296</v>
      </c>
      <c r="D38" s="249" t="s">
        <v>483</v>
      </c>
      <c r="E38" s="249" t="str">
        <f t="array" ref="E38">IFERROR(INDEX(REF_CODES!$B$27:$B$33,MATCH($D38,REF_CODES!$C$27:$C$33,0)),IFERROR(INDEX(REF_CODES!$B$51:$B$55,MATCH($D38,REF_CODES!$C$51:$C$55,0)),""))</f>
        <v>AU-BIE</v>
      </c>
      <c r="F38" s="249" t="s">
        <v>3303</v>
      </c>
      <c r="G38" s="5" t="s">
        <v>3304</v>
      </c>
      <c r="H38" s="249" t="s">
        <v>3305</v>
      </c>
      <c r="I38" s="249">
        <v>60.0</v>
      </c>
      <c r="J38" s="251"/>
      <c r="K38" s="251" t="s">
        <v>188</v>
      </c>
      <c r="L38" s="5" t="s">
        <v>97</v>
      </c>
      <c r="M38" s="5" t="s">
        <v>2312</v>
      </c>
      <c r="N38" s="5" t="s">
        <v>463</v>
      </c>
      <c r="O38" s="5" t="s">
        <v>498</v>
      </c>
      <c r="P38" s="5" t="s">
        <v>133</v>
      </c>
      <c r="Q38" s="5" t="s">
        <v>2330</v>
      </c>
      <c r="R38" s="5" t="s">
        <v>2207</v>
      </c>
      <c r="S38" s="252" t="s">
        <v>2208</v>
      </c>
      <c r="T38" s="273" t="s">
        <v>3312</v>
      </c>
      <c r="U38" s="252" t="s">
        <v>2334</v>
      </c>
      <c r="V38" s="252" t="s">
        <v>2208</v>
      </c>
      <c r="W38" s="252" t="s">
        <v>2338</v>
      </c>
      <c r="X38" s="252" t="s">
        <v>2338</v>
      </c>
      <c r="Y38" s="252" t="s">
        <v>2340</v>
      </c>
      <c r="Z38" s="5" t="s">
        <v>2342</v>
      </c>
      <c r="AA38" s="5" t="s">
        <v>1229</v>
      </c>
      <c r="AB38" s="252" t="s">
        <v>2344</v>
      </c>
      <c r="AC38" s="13"/>
      <c r="AG38" s="253" t="s">
        <v>2345</v>
      </c>
      <c r="AH38" s="244" t="s">
        <v>2347</v>
      </c>
      <c r="AI38" s="254" t="s">
        <v>2348</v>
      </c>
    </row>
    <row r="39" ht="15.0" customHeight="1">
      <c r="A39" s="249" t="s">
        <v>2172</v>
      </c>
      <c r="B39" s="249" t="s">
        <v>1133</v>
      </c>
      <c r="C39" s="249" t="s">
        <v>3317</v>
      </c>
      <c r="D39" s="249" t="s">
        <v>493</v>
      </c>
      <c r="E39" s="249" t="str">
        <f t="array" ref="E39">IFERROR(INDEX(REF_CODES!$B$27:$B$33,MATCH($D39,REF_CODES!$C$27:$C$33,0)),IFERROR(INDEX(REF_CODES!$B$51:$B$55,MATCH($D39,REF_CODES!$C$51:$C$55,0)),""))</f>
        <v>AU-ELI</v>
      </c>
      <c r="F39" s="249" t="s">
        <v>3323</v>
      </c>
      <c r="G39" s="5" t="s">
        <v>3325</v>
      </c>
      <c r="H39" s="249" t="s">
        <v>1919</v>
      </c>
      <c r="I39" s="249">
        <v>150.0</v>
      </c>
      <c r="J39" s="251" t="s">
        <v>2431</v>
      </c>
      <c r="K39" s="251" t="s">
        <v>195</v>
      </c>
      <c r="L39" s="5" t="s">
        <v>90</v>
      </c>
      <c r="M39" s="5" t="s">
        <v>2203</v>
      </c>
      <c r="N39" s="5" t="s">
        <v>469</v>
      </c>
      <c r="O39" s="5" t="s">
        <v>498</v>
      </c>
      <c r="P39" s="5" t="s">
        <v>138</v>
      </c>
      <c r="Q39" s="5" t="s">
        <v>2205</v>
      </c>
      <c r="R39" s="5" t="s">
        <v>2207</v>
      </c>
      <c r="S39" s="252" t="s">
        <v>2208</v>
      </c>
      <c r="T39" s="273" t="s">
        <v>3328</v>
      </c>
      <c r="U39" s="252" t="s">
        <v>2334</v>
      </c>
      <c r="V39" s="252" t="s">
        <v>2208</v>
      </c>
      <c r="W39" s="252" t="s">
        <v>2338</v>
      </c>
      <c r="X39" s="252" t="s">
        <v>2338</v>
      </c>
      <c r="Y39" s="252" t="s">
        <v>2340</v>
      </c>
      <c r="Z39" s="5" t="s">
        <v>2342</v>
      </c>
      <c r="AA39" s="5" t="s">
        <v>1229</v>
      </c>
      <c r="AB39" s="252" t="s">
        <v>2344</v>
      </c>
      <c r="AC39" s="13"/>
      <c r="AG39" s="253" t="s">
        <v>3332</v>
      </c>
      <c r="AH39" s="244" t="s">
        <v>3333</v>
      </c>
      <c r="AI39" s="254" t="s">
        <v>3334</v>
      </c>
    </row>
    <row r="40" ht="15.0" customHeight="1">
      <c r="A40" s="249" t="s">
        <v>2172</v>
      </c>
      <c r="B40" s="249" t="s">
        <v>1133</v>
      </c>
      <c r="C40" s="249" t="s">
        <v>3336</v>
      </c>
      <c r="D40" s="249" t="s">
        <v>493</v>
      </c>
      <c r="E40" s="249" t="str">
        <f t="array" ref="E40">IFERROR(INDEX(REF_CODES!$B$27:$B$33,MATCH($D40,REF_CODES!$C$27:$C$33,0)),IFERROR(INDEX(REF_CODES!$B$51:$B$55,MATCH($D40,REF_CODES!$C$51:$C$55,0)),""))</f>
        <v>AU-ELI</v>
      </c>
      <c r="F40" s="249" t="s">
        <v>3351</v>
      </c>
      <c r="G40" s="5" t="s">
        <v>3325</v>
      </c>
      <c r="H40" s="249" t="s">
        <v>2543</v>
      </c>
      <c r="I40" s="249">
        <v>200.0</v>
      </c>
      <c r="J40" s="251" t="s">
        <v>2431</v>
      </c>
      <c r="K40" s="251" t="s">
        <v>195</v>
      </c>
      <c r="L40" s="5" t="s">
        <v>90</v>
      </c>
      <c r="M40" s="5" t="s">
        <v>2203</v>
      </c>
      <c r="N40" s="5" t="s">
        <v>469</v>
      </c>
      <c r="O40" s="5" t="s">
        <v>498</v>
      </c>
      <c r="P40" s="5" t="s">
        <v>138</v>
      </c>
      <c r="Q40" s="5" t="s">
        <v>2205</v>
      </c>
      <c r="R40" s="5" t="s">
        <v>2207</v>
      </c>
      <c r="S40" s="252" t="s">
        <v>2208</v>
      </c>
      <c r="T40" s="273" t="s">
        <v>3328</v>
      </c>
      <c r="U40" s="252" t="s">
        <v>2334</v>
      </c>
      <c r="V40" s="252" t="s">
        <v>2208</v>
      </c>
      <c r="W40" s="252" t="s">
        <v>2338</v>
      </c>
      <c r="X40" s="252" t="s">
        <v>2338</v>
      </c>
      <c r="Y40" s="252" t="s">
        <v>2340</v>
      </c>
      <c r="Z40" s="5" t="s">
        <v>2342</v>
      </c>
      <c r="AA40" s="5" t="s">
        <v>1229</v>
      </c>
      <c r="AB40" s="252" t="s">
        <v>2344</v>
      </c>
      <c r="AC40" s="13"/>
      <c r="AG40" s="253" t="s">
        <v>3332</v>
      </c>
      <c r="AH40" s="244" t="s">
        <v>3333</v>
      </c>
      <c r="AI40" s="254" t="s">
        <v>3334</v>
      </c>
    </row>
    <row r="41" ht="15.0" customHeight="1">
      <c r="A41" s="249" t="s">
        <v>2172</v>
      </c>
      <c r="B41" s="249" t="s">
        <v>1133</v>
      </c>
      <c r="C41" s="249" t="s">
        <v>3363</v>
      </c>
      <c r="D41" s="249" t="s">
        <v>470</v>
      </c>
      <c r="E41" s="249" t="str">
        <f t="array" ref="E41">IFERROR(INDEX(REF_CODES!$B$27:$B$33,MATCH($D41,REF_CODES!$C$27:$C$33,0)),IFERROR(INDEX(REF_CODES!$B$51:$B$55,MATCH($D41,REF_CODES!$C$51:$C$55,0)),""))</f>
        <v>AU-CUL</v>
      </c>
      <c r="F41" s="249" t="s">
        <v>3375</v>
      </c>
      <c r="G41" s="5" t="s">
        <v>3376</v>
      </c>
      <c r="H41" s="249" t="s">
        <v>1919</v>
      </c>
      <c r="I41" s="249">
        <v>120.0</v>
      </c>
      <c r="J41" s="251" t="s">
        <v>2385</v>
      </c>
      <c r="K41" s="251" t="s">
        <v>188</v>
      </c>
      <c r="L41" s="5" t="s">
        <v>97</v>
      </c>
      <c r="M41" s="5" t="s">
        <v>2312</v>
      </c>
      <c r="N41" s="5" t="s">
        <v>469</v>
      </c>
      <c r="O41" s="5" t="s">
        <v>498</v>
      </c>
      <c r="P41" s="5" t="s">
        <v>142</v>
      </c>
      <c r="Q41" s="5" t="s">
        <v>2391</v>
      </c>
      <c r="R41" s="5" t="s">
        <v>2207</v>
      </c>
      <c r="S41" s="252" t="s">
        <v>2208</v>
      </c>
      <c r="T41" s="273" t="s">
        <v>3382</v>
      </c>
      <c r="U41" s="252" t="s">
        <v>2334</v>
      </c>
      <c r="V41" s="252" t="s">
        <v>2208</v>
      </c>
      <c r="W41" s="252" t="s">
        <v>2338</v>
      </c>
      <c r="X41" s="252" t="s">
        <v>2338</v>
      </c>
      <c r="Y41" s="252" t="s">
        <v>2340</v>
      </c>
      <c r="Z41" s="5" t="s">
        <v>2342</v>
      </c>
      <c r="AA41" s="5" t="s">
        <v>1229</v>
      </c>
      <c r="AB41" s="252" t="s">
        <v>2344</v>
      </c>
      <c r="AC41" s="13"/>
      <c r="AG41" s="253">
        <f>ROUND(I41*0.5,0)</f>
        <v>60</v>
      </c>
      <c r="AH41" s="244" t="s">
        <v>3390</v>
      </c>
      <c r="AI41" s="254" t="s">
        <v>3391</v>
      </c>
    </row>
    <row r="42" ht="15.0" customHeight="1">
      <c r="A42" s="249" t="s">
        <v>2172</v>
      </c>
      <c r="B42" s="249" t="s">
        <v>1133</v>
      </c>
      <c r="C42" s="249" t="s">
        <v>3392</v>
      </c>
      <c r="D42" s="249" t="s">
        <v>470</v>
      </c>
      <c r="E42" s="249" t="str">
        <f t="array" ref="E42">IFERROR(INDEX(REF_CODES!$B$27:$B$33,MATCH($D42,REF_CODES!$C$27:$C$33,0)),IFERROR(INDEX(REF_CODES!$B$51:$B$55,MATCH($D42,REF_CODES!$C$51:$C$55,0)),""))</f>
        <v>AU-CUL</v>
      </c>
      <c r="F42" s="249" t="s">
        <v>3402</v>
      </c>
      <c r="G42" s="5" t="s">
        <v>3376</v>
      </c>
      <c r="H42" s="249" t="s">
        <v>1919</v>
      </c>
      <c r="I42" s="249">
        <v>90.0</v>
      </c>
      <c r="J42" s="251" t="s">
        <v>2385</v>
      </c>
      <c r="K42" s="251" t="s">
        <v>188</v>
      </c>
      <c r="L42" s="5" t="s">
        <v>97</v>
      </c>
      <c r="M42" s="5" t="s">
        <v>2312</v>
      </c>
      <c r="N42" s="5" t="s">
        <v>463</v>
      </c>
      <c r="O42" s="5" t="s">
        <v>498</v>
      </c>
      <c r="P42" s="5" t="s">
        <v>142</v>
      </c>
      <c r="Q42" s="5" t="s">
        <v>2391</v>
      </c>
      <c r="R42" s="5" t="s">
        <v>2207</v>
      </c>
      <c r="S42" s="252" t="s">
        <v>2208</v>
      </c>
      <c r="T42" s="273" t="s">
        <v>3382</v>
      </c>
      <c r="U42" s="252" t="s">
        <v>2334</v>
      </c>
      <c r="V42" s="252" t="s">
        <v>2208</v>
      </c>
      <c r="W42" s="252" t="s">
        <v>2338</v>
      </c>
      <c r="X42" s="252" t="s">
        <v>2338</v>
      </c>
      <c r="Y42" s="252" t="s">
        <v>2340</v>
      </c>
      <c r="Z42" s="5" t="s">
        <v>2342</v>
      </c>
      <c r="AA42" s="5" t="s">
        <v>1229</v>
      </c>
      <c r="AB42" s="252" t="s">
        <v>2344</v>
      </c>
      <c r="AC42" s="13"/>
      <c r="AG42" s="253" t="s">
        <v>2345</v>
      </c>
      <c r="AH42" s="244" t="s">
        <v>3412</v>
      </c>
      <c r="AI42" s="254" t="s">
        <v>3413</v>
      </c>
    </row>
    <row r="43" ht="15.0" customHeight="1">
      <c r="A43" s="249" t="s">
        <v>2172</v>
      </c>
      <c r="B43" s="249" t="s">
        <v>1133</v>
      </c>
      <c r="C43" s="249" t="s">
        <v>3414</v>
      </c>
      <c r="D43" s="249" t="s">
        <v>470</v>
      </c>
      <c r="E43" s="249" t="str">
        <f t="array" ref="E43">IFERROR(INDEX(REF_CODES!$B$27:$B$33,MATCH($D43,REF_CODES!$C$27:$C$33,0)),IFERROR(INDEX(REF_CODES!$B$51:$B$55,MATCH($D43,REF_CODES!$C$51:$C$55,0)),""))</f>
        <v>AU-CUL</v>
      </c>
      <c r="F43" s="249" t="s">
        <v>3425</v>
      </c>
      <c r="G43" s="5" t="s">
        <v>2384</v>
      </c>
      <c r="H43" s="249" t="s">
        <v>2306</v>
      </c>
      <c r="I43" s="249">
        <v>80.0</v>
      </c>
      <c r="J43" s="251" t="s">
        <v>2385</v>
      </c>
      <c r="K43" s="251" t="s">
        <v>188</v>
      </c>
      <c r="L43" s="5" t="s">
        <v>97</v>
      </c>
      <c r="M43" s="5" t="s">
        <v>2312</v>
      </c>
      <c r="N43" s="5" t="s">
        <v>463</v>
      </c>
      <c r="O43" s="5" t="s">
        <v>498</v>
      </c>
      <c r="P43" s="5" t="s">
        <v>142</v>
      </c>
      <c r="Q43" s="5" t="s">
        <v>2391</v>
      </c>
      <c r="R43" s="5" t="s">
        <v>2207</v>
      </c>
      <c r="S43" s="252" t="s">
        <v>2208</v>
      </c>
      <c r="T43" s="273" t="s">
        <v>3382</v>
      </c>
      <c r="U43" s="252" t="s">
        <v>2334</v>
      </c>
      <c r="V43" s="252" t="s">
        <v>2208</v>
      </c>
      <c r="W43" s="252" t="s">
        <v>2338</v>
      </c>
      <c r="X43" s="252" t="s">
        <v>2338</v>
      </c>
      <c r="Y43" s="252" t="s">
        <v>2340</v>
      </c>
      <c r="Z43" s="5" t="s">
        <v>2342</v>
      </c>
      <c r="AA43" s="5" t="s">
        <v>1229</v>
      </c>
      <c r="AB43" s="252" t="s">
        <v>2344</v>
      </c>
      <c r="AC43" s="13"/>
      <c r="AG43" s="253">
        <f t="shared" ref="AG43:AG44" si="3">ROUND(I43*0.5,0)</f>
        <v>40</v>
      </c>
      <c r="AH43" s="244" t="s">
        <v>3390</v>
      </c>
      <c r="AI43" s="254" t="s">
        <v>3391</v>
      </c>
    </row>
    <row r="44" ht="15.0" customHeight="1">
      <c r="A44" s="249" t="s">
        <v>2172</v>
      </c>
      <c r="B44" s="249" t="s">
        <v>1133</v>
      </c>
      <c r="C44" s="249" t="s">
        <v>3438</v>
      </c>
      <c r="D44" s="249" t="s">
        <v>470</v>
      </c>
      <c r="E44" s="249" t="str">
        <f t="array" ref="E44">IFERROR(INDEX(REF_CODES!$B$27:$B$33,MATCH($D44,REF_CODES!$C$27:$C$33,0)),IFERROR(INDEX(REF_CODES!$B$51:$B$55,MATCH($D44,REF_CODES!$C$51:$C$55,0)),""))</f>
        <v>AU-CUL</v>
      </c>
      <c r="F44" s="249" t="s">
        <v>3449</v>
      </c>
      <c r="G44" s="5" t="s">
        <v>2384</v>
      </c>
      <c r="H44" s="249" t="s">
        <v>2306</v>
      </c>
      <c r="I44" s="249">
        <v>45.0</v>
      </c>
      <c r="J44" s="251" t="s">
        <v>2385</v>
      </c>
      <c r="K44" s="251" t="s">
        <v>188</v>
      </c>
      <c r="L44" s="5" t="s">
        <v>97</v>
      </c>
      <c r="M44" s="5" t="s">
        <v>2312</v>
      </c>
      <c r="N44" s="5" t="s">
        <v>463</v>
      </c>
      <c r="O44" s="5" t="s">
        <v>498</v>
      </c>
      <c r="P44" s="5" t="s">
        <v>142</v>
      </c>
      <c r="Q44" s="5" t="s">
        <v>2391</v>
      </c>
      <c r="R44" s="5" t="s">
        <v>2207</v>
      </c>
      <c r="S44" s="252" t="s">
        <v>2208</v>
      </c>
      <c r="T44" s="273" t="s">
        <v>3382</v>
      </c>
      <c r="U44" s="252" t="s">
        <v>2334</v>
      </c>
      <c r="V44" s="252" t="s">
        <v>2208</v>
      </c>
      <c r="W44" s="252" t="s">
        <v>2338</v>
      </c>
      <c r="X44" s="252" t="s">
        <v>2338</v>
      </c>
      <c r="Y44" s="252" t="s">
        <v>2340</v>
      </c>
      <c r="Z44" s="5" t="s">
        <v>2342</v>
      </c>
      <c r="AA44" s="5" t="s">
        <v>1229</v>
      </c>
      <c r="AB44" s="252" t="s">
        <v>2344</v>
      </c>
      <c r="AC44" s="13"/>
      <c r="AG44" s="253">
        <f t="shared" si="3"/>
        <v>23</v>
      </c>
      <c r="AH44" s="244" t="s">
        <v>3390</v>
      </c>
      <c r="AI44" s="254" t="s">
        <v>3391</v>
      </c>
    </row>
    <row r="45" ht="15.0" customHeight="1">
      <c r="A45" s="249" t="s">
        <v>2172</v>
      </c>
      <c r="B45" s="249" t="s">
        <v>1133</v>
      </c>
      <c r="C45" s="249" t="s">
        <v>3464</v>
      </c>
      <c r="D45" s="249" t="s">
        <v>470</v>
      </c>
      <c r="E45" s="249" t="str">
        <f t="array" ref="E45">IFERROR(INDEX(REF_CODES!$B$27:$B$33,MATCH($D45,REF_CODES!$C$27:$C$33,0)),IFERROR(INDEX(REF_CODES!$B$51:$B$55,MATCH($D45,REF_CODES!$C$51:$C$55,0)),""))</f>
        <v>AU-CUL</v>
      </c>
      <c r="F45" s="249" t="s">
        <v>3472</v>
      </c>
      <c r="G45" s="5" t="s">
        <v>3473</v>
      </c>
      <c r="H45" s="249" t="s">
        <v>1919</v>
      </c>
      <c r="I45" s="249">
        <v>45.0</v>
      </c>
      <c r="J45" s="251" t="s">
        <v>2385</v>
      </c>
      <c r="K45" s="251" t="s">
        <v>188</v>
      </c>
      <c r="L45" s="5" t="s">
        <v>97</v>
      </c>
      <c r="M45" s="5" t="s">
        <v>2312</v>
      </c>
      <c r="N45" s="5" t="s">
        <v>463</v>
      </c>
      <c r="O45" s="5" t="s">
        <v>498</v>
      </c>
      <c r="P45" s="5" t="s">
        <v>142</v>
      </c>
      <c r="Q45" s="5" t="s">
        <v>2391</v>
      </c>
      <c r="R45" s="5" t="s">
        <v>2207</v>
      </c>
      <c r="S45" s="252" t="s">
        <v>2208</v>
      </c>
      <c r="T45" s="273" t="s">
        <v>3481</v>
      </c>
      <c r="U45" s="252" t="s">
        <v>2334</v>
      </c>
      <c r="V45" s="252" t="s">
        <v>2208</v>
      </c>
      <c r="W45" s="252" t="s">
        <v>2338</v>
      </c>
      <c r="X45" s="252" t="s">
        <v>2338</v>
      </c>
      <c r="Y45" s="252" t="s">
        <v>2340</v>
      </c>
      <c r="Z45" s="5" t="s">
        <v>2342</v>
      </c>
      <c r="AA45" s="5" t="s">
        <v>1229</v>
      </c>
      <c r="AB45" s="252" t="s">
        <v>2344</v>
      </c>
      <c r="AC45" s="13"/>
      <c r="AG45" s="253">
        <f t="shared" ref="AG45:AG49" si="4">I45</f>
        <v>45</v>
      </c>
      <c r="AH45" s="244" t="s">
        <v>2876</v>
      </c>
      <c r="AI45" s="254" t="s">
        <v>2877</v>
      </c>
    </row>
    <row r="46" ht="15.0" customHeight="1">
      <c r="A46" s="249" t="s">
        <v>2172</v>
      </c>
      <c r="B46" s="249" t="s">
        <v>1133</v>
      </c>
      <c r="C46" s="249" t="s">
        <v>3489</v>
      </c>
      <c r="D46" s="249" t="s">
        <v>470</v>
      </c>
      <c r="E46" s="249" t="str">
        <f t="array" ref="E46">IFERROR(INDEX(REF_CODES!$B$27:$B$33,MATCH($D46,REF_CODES!$C$27:$C$33,0)),IFERROR(INDEX(REF_CODES!$B$51:$B$55,MATCH($D46,REF_CODES!$C$51:$C$55,0)),""))</f>
        <v>AU-CUL</v>
      </c>
      <c r="F46" s="249" t="s">
        <v>3499</v>
      </c>
      <c r="G46" s="5" t="s">
        <v>3500</v>
      </c>
      <c r="H46" s="249" t="s">
        <v>1919</v>
      </c>
      <c r="I46" s="249">
        <v>50.0</v>
      </c>
      <c r="J46" s="251" t="s">
        <v>2385</v>
      </c>
      <c r="K46" s="251" t="s">
        <v>188</v>
      </c>
      <c r="L46" s="5" t="s">
        <v>97</v>
      </c>
      <c r="M46" s="5" t="s">
        <v>2312</v>
      </c>
      <c r="N46" s="5" t="s">
        <v>463</v>
      </c>
      <c r="O46" s="5" t="s">
        <v>498</v>
      </c>
      <c r="P46" s="5" t="s">
        <v>142</v>
      </c>
      <c r="Q46" s="5" t="s">
        <v>2391</v>
      </c>
      <c r="R46" s="5" t="s">
        <v>2207</v>
      </c>
      <c r="S46" s="252" t="s">
        <v>2208</v>
      </c>
      <c r="T46" s="273" t="s">
        <v>3505</v>
      </c>
      <c r="U46" s="252" t="s">
        <v>2334</v>
      </c>
      <c r="V46" s="252" t="s">
        <v>2208</v>
      </c>
      <c r="W46" s="252" t="s">
        <v>2338</v>
      </c>
      <c r="X46" s="252" t="s">
        <v>2338</v>
      </c>
      <c r="Y46" s="252" t="s">
        <v>2340</v>
      </c>
      <c r="Z46" s="5" t="s">
        <v>2342</v>
      </c>
      <c r="AA46" s="5" t="s">
        <v>1229</v>
      </c>
      <c r="AB46" s="252" t="s">
        <v>2344</v>
      </c>
      <c r="AC46" s="13"/>
      <c r="AG46" s="253">
        <f t="shared" si="4"/>
        <v>50</v>
      </c>
      <c r="AH46" s="244" t="s">
        <v>2876</v>
      </c>
      <c r="AI46" s="254" t="s">
        <v>2877</v>
      </c>
    </row>
    <row r="47" ht="15.0" customHeight="1">
      <c r="A47" s="249" t="s">
        <v>2172</v>
      </c>
      <c r="B47" s="249" t="s">
        <v>1133</v>
      </c>
      <c r="C47" s="249" t="s">
        <v>3512</v>
      </c>
      <c r="D47" s="249" t="s">
        <v>470</v>
      </c>
      <c r="E47" s="249" t="str">
        <f t="array" ref="E47">IFERROR(INDEX(REF_CODES!$B$27:$B$33,MATCH($D47,REF_CODES!$C$27:$C$33,0)),IFERROR(INDEX(REF_CODES!$B$51:$B$55,MATCH($D47,REF_CODES!$C$51:$C$55,0)),""))</f>
        <v>AU-CUL</v>
      </c>
      <c r="F47" s="249" t="s">
        <v>3518</v>
      </c>
      <c r="G47" s="5" t="s">
        <v>3519</v>
      </c>
      <c r="H47" s="249" t="s">
        <v>3522</v>
      </c>
      <c r="I47" s="249">
        <v>45.0</v>
      </c>
      <c r="J47" s="251" t="s">
        <v>2385</v>
      </c>
      <c r="K47" s="251" t="s">
        <v>188</v>
      </c>
      <c r="L47" s="5" t="s">
        <v>97</v>
      </c>
      <c r="M47" s="5" t="s">
        <v>2312</v>
      </c>
      <c r="N47" s="5" t="s">
        <v>463</v>
      </c>
      <c r="O47" s="5" t="s">
        <v>498</v>
      </c>
      <c r="P47" s="5" t="s">
        <v>142</v>
      </c>
      <c r="Q47" s="5" t="s">
        <v>2391</v>
      </c>
      <c r="R47" s="5" t="s">
        <v>2207</v>
      </c>
      <c r="S47" s="252" t="s">
        <v>2208</v>
      </c>
      <c r="T47" s="273" t="s">
        <v>3533</v>
      </c>
      <c r="U47" s="252" t="s">
        <v>2334</v>
      </c>
      <c r="V47" s="252" t="s">
        <v>2208</v>
      </c>
      <c r="W47" s="252" t="s">
        <v>2338</v>
      </c>
      <c r="X47" s="252" t="s">
        <v>2338</v>
      </c>
      <c r="Y47" s="252" t="s">
        <v>2340</v>
      </c>
      <c r="Z47" s="5" t="s">
        <v>2342</v>
      </c>
      <c r="AA47" s="5" t="s">
        <v>1229</v>
      </c>
      <c r="AB47" s="252" t="s">
        <v>2344</v>
      </c>
      <c r="AC47" s="13"/>
      <c r="AG47" s="253">
        <f t="shared" si="4"/>
        <v>45</v>
      </c>
      <c r="AH47" s="244" t="s">
        <v>2876</v>
      </c>
      <c r="AI47" s="254" t="s">
        <v>2877</v>
      </c>
    </row>
    <row r="48" ht="15.0" customHeight="1">
      <c r="A48" s="249" t="s">
        <v>2172</v>
      </c>
      <c r="B48" s="249" t="s">
        <v>1133</v>
      </c>
      <c r="C48" s="249" t="s">
        <v>3537</v>
      </c>
      <c r="D48" s="249" t="s">
        <v>470</v>
      </c>
      <c r="E48" s="249" t="str">
        <f t="array" ref="E48">IFERROR(INDEX(REF_CODES!$B$27:$B$33,MATCH($D48,REF_CODES!$C$27:$C$33,0)),IFERROR(INDEX(REF_CODES!$B$51:$B$55,MATCH($D48,REF_CODES!$C$51:$C$55,0)),""))</f>
        <v>AU-CUL</v>
      </c>
      <c r="F48" s="249" t="s">
        <v>3551</v>
      </c>
      <c r="G48" s="5" t="s">
        <v>3552</v>
      </c>
      <c r="H48" s="249" t="s">
        <v>1919</v>
      </c>
      <c r="I48" s="249">
        <v>40.0</v>
      </c>
      <c r="J48" s="251" t="s">
        <v>2385</v>
      </c>
      <c r="K48" s="251" t="s">
        <v>188</v>
      </c>
      <c r="L48" s="5" t="s">
        <v>97</v>
      </c>
      <c r="M48" s="5" t="s">
        <v>2312</v>
      </c>
      <c r="N48" s="5" t="s">
        <v>463</v>
      </c>
      <c r="O48" s="5" t="s">
        <v>498</v>
      </c>
      <c r="P48" s="5" t="s">
        <v>142</v>
      </c>
      <c r="Q48" s="5" t="s">
        <v>2391</v>
      </c>
      <c r="R48" s="5" t="s">
        <v>2207</v>
      </c>
      <c r="S48" s="252" t="s">
        <v>2208</v>
      </c>
      <c r="T48" s="273" t="s">
        <v>3558</v>
      </c>
      <c r="U48" s="252" t="s">
        <v>2334</v>
      </c>
      <c r="V48" s="252" t="s">
        <v>2208</v>
      </c>
      <c r="W48" s="252" t="s">
        <v>2338</v>
      </c>
      <c r="X48" s="252" t="s">
        <v>2338</v>
      </c>
      <c r="Y48" s="252" t="s">
        <v>2340</v>
      </c>
      <c r="Z48" s="5" t="s">
        <v>2342</v>
      </c>
      <c r="AA48" s="5" t="s">
        <v>1229</v>
      </c>
      <c r="AB48" s="252" t="s">
        <v>2344</v>
      </c>
      <c r="AC48" s="13"/>
      <c r="AG48" s="253">
        <f t="shared" si="4"/>
        <v>40</v>
      </c>
      <c r="AH48" s="244" t="s">
        <v>2876</v>
      </c>
      <c r="AI48" s="254" t="s">
        <v>2877</v>
      </c>
    </row>
    <row r="49" ht="15.0" customHeight="1">
      <c r="A49" s="249" t="s">
        <v>2172</v>
      </c>
      <c r="B49" s="249" t="s">
        <v>1133</v>
      </c>
      <c r="C49" s="249" t="s">
        <v>3565</v>
      </c>
      <c r="D49" s="249" t="s">
        <v>470</v>
      </c>
      <c r="E49" s="249" t="str">
        <f t="array" ref="E49">IFERROR(INDEX(REF_CODES!$B$27:$B$33,MATCH($D49,REF_CODES!$C$27:$C$33,0)),IFERROR(INDEX(REF_CODES!$B$51:$B$55,MATCH($D49,REF_CODES!$C$51:$C$55,0)),""))</f>
        <v>AU-CUL</v>
      </c>
      <c r="F49" s="249" t="s">
        <v>3576</v>
      </c>
      <c r="G49" s="5" t="s">
        <v>2844</v>
      </c>
      <c r="H49" s="249" t="s">
        <v>1919</v>
      </c>
      <c r="I49" s="249">
        <v>50.0</v>
      </c>
      <c r="J49" s="251" t="s">
        <v>2385</v>
      </c>
      <c r="K49" s="251" t="s">
        <v>188</v>
      </c>
      <c r="L49" s="5" t="s">
        <v>97</v>
      </c>
      <c r="M49" s="5" t="s">
        <v>2312</v>
      </c>
      <c r="N49" s="5" t="s">
        <v>463</v>
      </c>
      <c r="O49" s="5" t="s">
        <v>498</v>
      </c>
      <c r="P49" s="5" t="s">
        <v>142</v>
      </c>
      <c r="Q49" s="5" t="s">
        <v>2391</v>
      </c>
      <c r="R49" s="5" t="s">
        <v>2207</v>
      </c>
      <c r="S49" s="252" t="s">
        <v>2208</v>
      </c>
      <c r="T49" s="273" t="s">
        <v>2850</v>
      </c>
      <c r="U49" s="252" t="s">
        <v>2334</v>
      </c>
      <c r="V49" s="252" t="s">
        <v>2208</v>
      </c>
      <c r="W49" s="252" t="s">
        <v>2338</v>
      </c>
      <c r="X49" s="252" t="s">
        <v>2338</v>
      </c>
      <c r="Y49" s="252" t="s">
        <v>2340</v>
      </c>
      <c r="Z49" s="5" t="s">
        <v>2342</v>
      </c>
      <c r="AA49" s="5" t="s">
        <v>1229</v>
      </c>
      <c r="AB49" s="252" t="s">
        <v>2344</v>
      </c>
      <c r="AC49" s="13"/>
      <c r="AG49" s="253">
        <f t="shared" si="4"/>
        <v>50</v>
      </c>
      <c r="AH49" s="244" t="s">
        <v>2852</v>
      </c>
      <c r="AI49" s="254" t="s">
        <v>2854</v>
      </c>
    </row>
    <row r="50" ht="15.0" customHeight="1">
      <c r="A50" s="249" t="s">
        <v>2172</v>
      </c>
      <c r="B50" s="249" t="s">
        <v>1133</v>
      </c>
      <c r="C50" s="249" t="s">
        <v>3585</v>
      </c>
      <c r="D50" s="249" t="s">
        <v>470</v>
      </c>
      <c r="E50" s="249" t="str">
        <f t="array" ref="E50">IFERROR(INDEX(REF_CODES!$B$27:$B$33,MATCH($D50,REF_CODES!$C$27:$C$33,0)),IFERROR(INDEX(REF_CODES!$B$51:$B$55,MATCH($D50,REF_CODES!$C$51:$C$55,0)),""))</f>
        <v>AU-CUL</v>
      </c>
      <c r="F50" s="249" t="s">
        <v>3596</v>
      </c>
      <c r="G50" s="5" t="s">
        <v>3597</v>
      </c>
      <c r="H50" s="249" t="s">
        <v>3599</v>
      </c>
      <c r="I50" s="249">
        <v>55.0</v>
      </c>
      <c r="J50" s="251" t="s">
        <v>2385</v>
      </c>
      <c r="K50" s="251" t="s">
        <v>188</v>
      </c>
      <c r="L50" s="5" t="s">
        <v>97</v>
      </c>
      <c r="M50" s="5" t="s">
        <v>2312</v>
      </c>
      <c r="N50" s="5" t="s">
        <v>463</v>
      </c>
      <c r="O50" s="5" t="s">
        <v>498</v>
      </c>
      <c r="P50" s="5" t="s">
        <v>142</v>
      </c>
      <c r="Q50" s="5" t="s">
        <v>2391</v>
      </c>
      <c r="R50" s="5" t="s">
        <v>2207</v>
      </c>
      <c r="S50" s="252" t="s">
        <v>2208</v>
      </c>
      <c r="T50" s="273" t="s">
        <v>3607</v>
      </c>
      <c r="U50" s="252" t="s">
        <v>2334</v>
      </c>
      <c r="V50" s="252" t="s">
        <v>2208</v>
      </c>
      <c r="W50" s="252" t="s">
        <v>2338</v>
      </c>
      <c r="X50" s="252" t="s">
        <v>2338</v>
      </c>
      <c r="Y50" s="252" t="s">
        <v>2340</v>
      </c>
      <c r="Z50" s="5" t="s">
        <v>2342</v>
      </c>
      <c r="AA50" s="5" t="s">
        <v>1229</v>
      </c>
      <c r="AB50" s="252" t="s">
        <v>2344</v>
      </c>
      <c r="AC50" s="13"/>
      <c r="AG50" s="253" t="s">
        <v>2345</v>
      </c>
      <c r="AH50" s="244" t="s">
        <v>3412</v>
      </c>
      <c r="AI50" s="254" t="s">
        <v>3413</v>
      </c>
    </row>
    <row r="51" ht="15.0" customHeight="1">
      <c r="A51" s="249" t="s">
        <v>2172</v>
      </c>
      <c r="B51" s="249" t="s">
        <v>1133</v>
      </c>
      <c r="C51" s="249" t="s">
        <v>3614</v>
      </c>
      <c r="D51" s="249" t="s">
        <v>442</v>
      </c>
      <c r="E51" s="249" t="str">
        <f t="array" ref="E51">IFERROR(INDEX(REF_CODES!$B$27:$B$33,MATCH($D51,REF_CODES!$C$27:$C$33,0)),IFERROR(INDEX(REF_CODES!$B$51:$B$55,MATCH($D51,REF_CODES!$C$51:$C$55,0)),""))</f>
        <v>AU-DES</v>
      </c>
      <c r="F51" s="249" t="s">
        <v>3628</v>
      </c>
      <c r="G51" s="5" t="s">
        <v>3629</v>
      </c>
      <c r="H51" s="249" t="s">
        <v>1919</v>
      </c>
      <c r="I51" s="249">
        <v>90.0</v>
      </c>
      <c r="J51" s="251" t="s">
        <v>2777</v>
      </c>
      <c r="K51" s="251" t="s">
        <v>188</v>
      </c>
      <c r="L51" s="5" t="s">
        <v>97</v>
      </c>
      <c r="M51" s="5" t="s">
        <v>2312</v>
      </c>
      <c r="N51" s="5" t="s">
        <v>463</v>
      </c>
      <c r="O51" s="5" t="s">
        <v>498</v>
      </c>
      <c r="P51" s="5" t="s">
        <v>2782</v>
      </c>
      <c r="Q51" s="5" t="s">
        <v>2783</v>
      </c>
      <c r="R51" s="5" t="s">
        <v>2207</v>
      </c>
      <c r="S51" s="252" t="s">
        <v>2208</v>
      </c>
      <c r="T51" s="273" t="s">
        <v>3636</v>
      </c>
      <c r="U51" s="252" t="s">
        <v>2334</v>
      </c>
      <c r="V51" s="252" t="s">
        <v>2208</v>
      </c>
      <c r="W51" s="252" t="s">
        <v>2338</v>
      </c>
      <c r="X51" s="252" t="s">
        <v>2338</v>
      </c>
      <c r="Y51" s="252" t="s">
        <v>2340</v>
      </c>
      <c r="Z51" s="5" t="s">
        <v>2342</v>
      </c>
      <c r="AA51" s="5" t="s">
        <v>1229</v>
      </c>
      <c r="AB51" s="252" t="s">
        <v>2344</v>
      </c>
      <c r="AC51" s="13"/>
      <c r="AG51" s="253" t="s">
        <v>3034</v>
      </c>
      <c r="AH51" s="244" t="s">
        <v>3034</v>
      </c>
      <c r="AI51" s="254" t="s">
        <v>3037</v>
      </c>
    </row>
    <row r="52" ht="15.0" customHeight="1">
      <c r="A52" s="249" t="s">
        <v>2172</v>
      </c>
      <c r="B52" s="249" t="s">
        <v>1133</v>
      </c>
      <c r="C52" s="249" t="s">
        <v>3645</v>
      </c>
      <c r="D52" s="249" t="s">
        <v>505</v>
      </c>
      <c r="E52" s="249" t="str">
        <f t="array" ref="E52">IFERROR(INDEX(REF_CODES!$B$27:$B$33,MATCH($D52,REF_CODES!$C$27:$C$33,0)),IFERROR(INDEX(REF_CODES!$B$51:$B$55,MATCH($D52,REF_CODES!$C$51:$C$55,0)),""))</f>
        <v>AU-FES</v>
      </c>
      <c r="F52" s="249" t="s">
        <v>3654</v>
      </c>
      <c r="G52" s="5" t="s">
        <v>3655</v>
      </c>
      <c r="H52" s="249" t="s">
        <v>3657</v>
      </c>
      <c r="I52" s="249">
        <v>300.0</v>
      </c>
      <c r="J52" s="251" t="s">
        <v>2431</v>
      </c>
      <c r="K52" s="251" t="s">
        <v>195</v>
      </c>
      <c r="L52" s="5" t="s">
        <v>110</v>
      </c>
      <c r="M52" s="5" t="s">
        <v>2203</v>
      </c>
      <c r="N52" s="5" t="s">
        <v>477</v>
      </c>
      <c r="O52" s="5" t="s">
        <v>498</v>
      </c>
      <c r="P52" s="5" t="s">
        <v>146</v>
      </c>
      <c r="Q52" s="5" t="s">
        <v>52</v>
      </c>
      <c r="R52" s="5" t="s">
        <v>2207</v>
      </c>
      <c r="S52" s="252" t="s">
        <v>2208</v>
      </c>
      <c r="T52" s="273" t="s">
        <v>3662</v>
      </c>
      <c r="U52" s="252" t="s">
        <v>2334</v>
      </c>
      <c r="V52" s="252" t="s">
        <v>2208</v>
      </c>
      <c r="W52" s="252" t="s">
        <v>2338</v>
      </c>
      <c r="X52" s="252" t="s">
        <v>2338</v>
      </c>
      <c r="Y52" s="252" t="s">
        <v>2340</v>
      </c>
      <c r="Z52" s="5" t="s">
        <v>2342</v>
      </c>
      <c r="AA52" s="5" t="s">
        <v>1229</v>
      </c>
      <c r="AB52" s="252" t="s">
        <v>2344</v>
      </c>
      <c r="AC52" s="13"/>
      <c r="AG52" s="253" t="s">
        <v>2345</v>
      </c>
      <c r="AH52" s="244" t="s">
        <v>3668</v>
      </c>
      <c r="AI52" s="254" t="s">
        <v>3669</v>
      </c>
    </row>
    <row r="53" ht="15.0" customHeight="1">
      <c r="A53" s="249" t="s">
        <v>2172</v>
      </c>
      <c r="B53" s="249" t="s">
        <v>1133</v>
      </c>
      <c r="C53" s="249" t="s">
        <v>3672</v>
      </c>
      <c r="D53" s="249" t="s">
        <v>505</v>
      </c>
      <c r="E53" s="249" t="str">
        <f t="array" ref="E53">IFERROR(INDEX(REF_CODES!$B$27:$B$33,MATCH($D53,REF_CODES!$C$27:$C$33,0)),IFERROR(INDEX(REF_CODES!$B$51:$B$55,MATCH($D53,REF_CODES!$C$51:$C$55,0)),""))</f>
        <v>AU-FES</v>
      </c>
      <c r="F53" s="249" t="s">
        <v>3685</v>
      </c>
      <c r="G53" s="5" t="s">
        <v>3686</v>
      </c>
      <c r="H53" s="249" t="s">
        <v>3657</v>
      </c>
      <c r="I53" s="249">
        <v>400.0</v>
      </c>
      <c r="J53" s="251" t="s">
        <v>2431</v>
      </c>
      <c r="K53" s="251" t="s">
        <v>195</v>
      </c>
      <c r="L53" s="5" t="s">
        <v>110</v>
      </c>
      <c r="M53" s="5" t="s">
        <v>2203</v>
      </c>
      <c r="N53" s="5" t="s">
        <v>477</v>
      </c>
      <c r="O53" s="5" t="s">
        <v>498</v>
      </c>
      <c r="P53" s="5" t="s">
        <v>146</v>
      </c>
      <c r="Q53" s="5" t="s">
        <v>52</v>
      </c>
      <c r="R53" s="5" t="s">
        <v>2207</v>
      </c>
      <c r="S53" s="252" t="s">
        <v>2208</v>
      </c>
      <c r="T53" s="273" t="s">
        <v>3690</v>
      </c>
      <c r="U53" s="252" t="s">
        <v>2334</v>
      </c>
      <c r="V53" s="252" t="s">
        <v>2208</v>
      </c>
      <c r="W53" s="252" t="s">
        <v>2338</v>
      </c>
      <c r="X53" s="252" t="s">
        <v>2338</v>
      </c>
      <c r="Y53" s="252" t="s">
        <v>2340</v>
      </c>
      <c r="Z53" s="5" t="s">
        <v>2342</v>
      </c>
      <c r="AA53" s="5" t="s">
        <v>1229</v>
      </c>
      <c r="AB53" s="252" t="s">
        <v>2344</v>
      </c>
      <c r="AC53" s="13"/>
      <c r="AG53" s="253" t="s">
        <v>2345</v>
      </c>
      <c r="AH53" s="244" t="s">
        <v>3668</v>
      </c>
      <c r="AI53" s="254" t="s">
        <v>3669</v>
      </c>
    </row>
    <row r="54" ht="15.0" customHeight="1">
      <c r="A54" s="249" t="s">
        <v>2172</v>
      </c>
      <c r="B54" s="249" t="s">
        <v>1133</v>
      </c>
      <c r="C54" s="249" t="s">
        <v>3699</v>
      </c>
      <c r="D54" s="249" t="s">
        <v>505</v>
      </c>
      <c r="E54" s="249" t="str">
        <f t="array" ref="E54">IFERROR(INDEX(REF_CODES!$B$27:$B$33,MATCH($D54,REF_CODES!$C$27:$C$33,0)),IFERROR(INDEX(REF_CODES!$B$51:$B$55,MATCH($D54,REF_CODES!$C$51:$C$55,0)),""))</f>
        <v>AU-FES</v>
      </c>
      <c r="F54" s="249" t="s">
        <v>3708</v>
      </c>
      <c r="G54" s="5" t="s">
        <v>3655</v>
      </c>
      <c r="H54" s="249" t="s">
        <v>3657</v>
      </c>
      <c r="I54" s="249">
        <v>200.0</v>
      </c>
      <c r="J54" s="251" t="s">
        <v>2431</v>
      </c>
      <c r="K54" s="251" t="s">
        <v>195</v>
      </c>
      <c r="L54" s="5" t="s">
        <v>110</v>
      </c>
      <c r="M54" s="5" t="s">
        <v>2203</v>
      </c>
      <c r="N54" s="5" t="s">
        <v>469</v>
      </c>
      <c r="O54" s="5" t="s">
        <v>498</v>
      </c>
      <c r="P54" s="5" t="s">
        <v>146</v>
      </c>
      <c r="Q54" s="5" t="s">
        <v>52</v>
      </c>
      <c r="R54" s="5" t="s">
        <v>2207</v>
      </c>
      <c r="S54" s="252" t="s">
        <v>2208</v>
      </c>
      <c r="T54" s="273" t="s">
        <v>3662</v>
      </c>
      <c r="U54" s="252" t="s">
        <v>2334</v>
      </c>
      <c r="V54" s="252" t="s">
        <v>2208</v>
      </c>
      <c r="W54" s="252" t="s">
        <v>2338</v>
      </c>
      <c r="X54" s="252" t="s">
        <v>2338</v>
      </c>
      <c r="Y54" s="252" t="s">
        <v>2340</v>
      </c>
      <c r="Z54" s="5" t="s">
        <v>2342</v>
      </c>
      <c r="AA54" s="5" t="s">
        <v>1229</v>
      </c>
      <c r="AB54" s="252" t="s">
        <v>2344</v>
      </c>
      <c r="AC54" s="13"/>
      <c r="AG54" s="253" t="s">
        <v>3717</v>
      </c>
      <c r="AH54" s="244" t="s">
        <v>3718</v>
      </c>
      <c r="AI54" s="254" t="s">
        <v>3719</v>
      </c>
    </row>
    <row r="55" ht="15.0" customHeight="1">
      <c r="A55" s="249" t="s">
        <v>2172</v>
      </c>
      <c r="B55" s="249" t="s">
        <v>1133</v>
      </c>
      <c r="C55" s="249" t="s">
        <v>3723</v>
      </c>
      <c r="D55" s="249" t="s">
        <v>505</v>
      </c>
      <c r="E55" s="249" t="str">
        <f t="array" ref="E55">IFERROR(INDEX(REF_CODES!$B$27:$B$33,MATCH($D55,REF_CODES!$C$27:$C$33,0)),IFERROR(INDEX(REF_CODES!$B$51:$B$55,MATCH($D55,REF_CODES!$C$51:$C$55,0)),""))</f>
        <v>AU-FES</v>
      </c>
      <c r="F55" s="249" t="s">
        <v>3738</v>
      </c>
      <c r="G55" s="5" t="s">
        <v>3739</v>
      </c>
      <c r="H55" s="249" t="s">
        <v>3740</v>
      </c>
      <c r="I55" s="249">
        <v>150.0</v>
      </c>
      <c r="J55" s="251" t="s">
        <v>2431</v>
      </c>
      <c r="K55" s="251" t="s">
        <v>195</v>
      </c>
      <c r="L55" s="5" t="s">
        <v>110</v>
      </c>
      <c r="M55" s="5" t="s">
        <v>2203</v>
      </c>
      <c r="N55" s="5" t="s">
        <v>469</v>
      </c>
      <c r="O55" s="5" t="s">
        <v>498</v>
      </c>
      <c r="P55" s="5" t="s">
        <v>146</v>
      </c>
      <c r="Q55" s="5" t="s">
        <v>52</v>
      </c>
      <c r="R55" s="5" t="s">
        <v>2207</v>
      </c>
      <c r="S55" s="252" t="s">
        <v>2208</v>
      </c>
      <c r="T55" s="273" t="s">
        <v>2736</v>
      </c>
      <c r="U55" s="252" t="s">
        <v>2334</v>
      </c>
      <c r="V55" s="252" t="s">
        <v>2208</v>
      </c>
      <c r="W55" s="252" t="s">
        <v>2338</v>
      </c>
      <c r="X55" s="252" t="s">
        <v>2338</v>
      </c>
      <c r="Y55" s="252" t="s">
        <v>2340</v>
      </c>
      <c r="Z55" s="5" t="s">
        <v>2342</v>
      </c>
      <c r="AA55" s="5" t="s">
        <v>1229</v>
      </c>
      <c r="AB55" s="252" t="s">
        <v>2344</v>
      </c>
      <c r="AC55" s="13"/>
      <c r="AG55" s="253" t="s">
        <v>3717</v>
      </c>
      <c r="AH55" s="244" t="s">
        <v>3718</v>
      </c>
      <c r="AI55" s="254" t="s">
        <v>3719</v>
      </c>
    </row>
    <row r="56" ht="15.0" customHeight="1">
      <c r="A56" s="249" t="s">
        <v>2172</v>
      </c>
      <c r="B56" s="249" t="s">
        <v>1133</v>
      </c>
      <c r="C56" s="249" t="s">
        <v>3748</v>
      </c>
      <c r="D56" s="249" t="s">
        <v>505</v>
      </c>
      <c r="E56" s="249" t="str">
        <f t="array" ref="E56">IFERROR(INDEX(REF_CODES!$B$27:$B$33,MATCH($D56,REF_CODES!$C$27:$C$33,0)),IFERROR(INDEX(REF_CODES!$B$51:$B$55,MATCH($D56,REF_CODES!$C$51:$C$55,0)),""))</f>
        <v>AU-FES</v>
      </c>
      <c r="F56" s="249" t="s">
        <v>3758</v>
      </c>
      <c r="G56" s="5" t="s">
        <v>2995</v>
      </c>
      <c r="H56" s="249" t="s">
        <v>3760</v>
      </c>
      <c r="I56" s="249">
        <v>100.0</v>
      </c>
      <c r="J56" s="251" t="s">
        <v>2431</v>
      </c>
      <c r="K56" s="251" t="s">
        <v>188</v>
      </c>
      <c r="L56" s="5" t="s">
        <v>110</v>
      </c>
      <c r="M56" s="5" t="s">
        <v>2203</v>
      </c>
      <c r="N56" s="5" t="s">
        <v>469</v>
      </c>
      <c r="O56" s="5" t="s">
        <v>498</v>
      </c>
      <c r="P56" s="5" t="s">
        <v>146</v>
      </c>
      <c r="Q56" s="5" t="s">
        <v>52</v>
      </c>
      <c r="R56" s="5" t="s">
        <v>2207</v>
      </c>
      <c r="S56" s="252" t="s">
        <v>2208</v>
      </c>
      <c r="T56" s="273" t="s">
        <v>2999</v>
      </c>
      <c r="U56" s="252" t="s">
        <v>2334</v>
      </c>
      <c r="V56" s="252" t="s">
        <v>2208</v>
      </c>
      <c r="W56" s="252" t="s">
        <v>2338</v>
      </c>
      <c r="X56" s="252" t="s">
        <v>2338</v>
      </c>
      <c r="Y56" s="252" t="s">
        <v>2340</v>
      </c>
      <c r="Z56" s="5" t="s">
        <v>2342</v>
      </c>
      <c r="AA56" s="5" t="s">
        <v>1229</v>
      </c>
      <c r="AB56" s="252" t="s">
        <v>2344</v>
      </c>
      <c r="AC56" s="13"/>
      <c r="AG56" s="253" t="s">
        <v>3717</v>
      </c>
      <c r="AH56" s="244" t="s">
        <v>3718</v>
      </c>
      <c r="AI56" s="254" t="s">
        <v>3719</v>
      </c>
    </row>
    <row r="57" ht="15.0" customHeight="1">
      <c r="A57" s="249" t="s">
        <v>2172</v>
      </c>
      <c r="B57" s="249" t="s">
        <v>1133</v>
      </c>
      <c r="C57" s="249" t="s">
        <v>3771</v>
      </c>
      <c r="D57" s="249" t="s">
        <v>458</v>
      </c>
      <c r="E57" s="249" t="str">
        <f t="array" ref="E57">IFERROR(INDEX(REF_CODES!$B$27:$B$33,MATCH($D57,REF_CODES!$C$27:$C$33,0)),IFERROR(INDEX(REF_CODES!$B$51:$B$55,MATCH($D57,REF_CODES!$C$51:$C$55,0)),""))</f>
        <v>AU-SPO</v>
      </c>
      <c r="F57" s="249" t="s">
        <v>3788</v>
      </c>
      <c r="G57" s="5" t="s">
        <v>3789</v>
      </c>
      <c r="H57" s="249" t="s">
        <v>3790</v>
      </c>
      <c r="I57" s="249">
        <v>110.0</v>
      </c>
      <c r="J57" s="251" t="s">
        <v>2431</v>
      </c>
      <c r="K57" s="251" t="s">
        <v>188</v>
      </c>
      <c r="L57" s="5" t="s">
        <v>110</v>
      </c>
      <c r="M57" s="5" t="s">
        <v>2203</v>
      </c>
      <c r="N57" s="5" t="s">
        <v>469</v>
      </c>
      <c r="O57" s="5" t="s">
        <v>498</v>
      </c>
      <c r="P57" s="5" t="s">
        <v>146</v>
      </c>
      <c r="Q57" s="5" t="s">
        <v>52</v>
      </c>
      <c r="R57" s="5" t="s">
        <v>2207</v>
      </c>
      <c r="S57" s="252" t="s">
        <v>2208</v>
      </c>
      <c r="T57" s="5" t="s">
        <v>3798</v>
      </c>
      <c r="U57" s="252" t="s">
        <v>2334</v>
      </c>
      <c r="V57" s="252" t="s">
        <v>2208</v>
      </c>
      <c r="W57" s="252" t="s">
        <v>2338</v>
      </c>
      <c r="X57" s="252" t="s">
        <v>2338</v>
      </c>
      <c r="Y57" s="252" t="s">
        <v>2340</v>
      </c>
      <c r="Z57" s="5" t="s">
        <v>2342</v>
      </c>
      <c r="AA57" s="5" t="s">
        <v>1229</v>
      </c>
      <c r="AB57" s="252" t="s">
        <v>2344</v>
      </c>
      <c r="AC57" s="13"/>
      <c r="AG57" s="253">
        <v>45.0</v>
      </c>
      <c r="AH57" s="244" t="s">
        <v>2975</v>
      </c>
      <c r="AI57" s="254" t="s">
        <v>2976</v>
      </c>
    </row>
    <row r="58" ht="15.0" customHeight="1">
      <c r="A58" s="249" t="s">
        <v>2172</v>
      </c>
      <c r="B58" s="249" t="s">
        <v>1133</v>
      </c>
      <c r="C58" s="249" t="s">
        <v>3803</v>
      </c>
      <c r="D58" s="249" t="s">
        <v>458</v>
      </c>
      <c r="E58" s="249" t="str">
        <f t="array" ref="E58">IFERROR(INDEX(REF_CODES!$B$27:$B$33,MATCH($D58,REF_CODES!$C$27:$C$33,0)),IFERROR(INDEX(REF_CODES!$B$51:$B$55,MATCH($D58,REF_CODES!$C$51:$C$55,0)),""))</f>
        <v>AU-SPO</v>
      </c>
      <c r="F58" s="249" t="s">
        <v>3818</v>
      </c>
      <c r="G58" s="5" t="s">
        <v>3819</v>
      </c>
      <c r="H58" s="249" t="s">
        <v>2280</v>
      </c>
      <c r="I58" s="249">
        <v>90.0</v>
      </c>
      <c r="J58" s="251" t="s">
        <v>2431</v>
      </c>
      <c r="K58" s="251" t="s">
        <v>188</v>
      </c>
      <c r="L58" s="5" t="s">
        <v>110</v>
      </c>
      <c r="M58" s="5" t="s">
        <v>2203</v>
      </c>
      <c r="N58" s="5" t="s">
        <v>463</v>
      </c>
      <c r="O58" s="5" t="s">
        <v>498</v>
      </c>
      <c r="P58" s="5" t="s">
        <v>146</v>
      </c>
      <c r="Q58" s="5" t="s">
        <v>52</v>
      </c>
      <c r="R58" s="5" t="s">
        <v>2207</v>
      </c>
      <c r="S58" s="252" t="s">
        <v>2208</v>
      </c>
      <c r="T58" s="5" t="s">
        <v>3828</v>
      </c>
      <c r="U58" s="252" t="s">
        <v>2334</v>
      </c>
      <c r="V58" s="252" t="s">
        <v>2208</v>
      </c>
      <c r="W58" s="252" t="s">
        <v>2338</v>
      </c>
      <c r="X58" s="252" t="s">
        <v>2338</v>
      </c>
      <c r="Y58" s="252" t="s">
        <v>2340</v>
      </c>
      <c r="Z58" s="5" t="s">
        <v>2342</v>
      </c>
      <c r="AA58" s="5" t="s">
        <v>1229</v>
      </c>
      <c r="AB58" s="252" t="s">
        <v>2344</v>
      </c>
      <c r="AC58" s="13"/>
      <c r="AG58" s="253">
        <v>45.0</v>
      </c>
      <c r="AH58" s="244" t="s">
        <v>2975</v>
      </c>
      <c r="AI58" s="254" t="s">
        <v>2976</v>
      </c>
    </row>
    <row r="59" ht="15.0" customHeight="1">
      <c r="A59" s="249" t="s">
        <v>2172</v>
      </c>
      <c r="B59" s="249" t="s">
        <v>1133</v>
      </c>
      <c r="C59" s="249" t="s">
        <v>3832</v>
      </c>
      <c r="D59" s="249" t="s">
        <v>425</v>
      </c>
      <c r="E59" s="249" t="str">
        <f t="array" ref="E59">IFERROR(INDEX(REF_CODES!$B$27:$B$33,MATCH($D59,REF_CODES!$C$27:$C$33,0)),IFERROR(INDEX(REF_CODES!$B$51:$B$55,MATCH($D59,REF_CODES!$C$51:$C$55,0)),""))</f>
        <v>AU-EXC</v>
      </c>
      <c r="F59" s="249" t="s">
        <v>3851</v>
      </c>
      <c r="G59" s="5" t="s">
        <v>3145</v>
      </c>
      <c r="H59" s="249" t="s">
        <v>3852</v>
      </c>
      <c r="I59" s="249">
        <v>55.0</v>
      </c>
      <c r="J59" s="251" t="s">
        <v>2777</v>
      </c>
      <c r="K59" s="251" t="s">
        <v>188</v>
      </c>
      <c r="L59" s="5" t="s">
        <v>97</v>
      </c>
      <c r="M59" s="5" t="s">
        <v>2312</v>
      </c>
      <c r="N59" s="5" t="s">
        <v>463</v>
      </c>
      <c r="O59" s="5" t="s">
        <v>498</v>
      </c>
      <c r="P59" s="5" t="s">
        <v>142</v>
      </c>
      <c r="Q59" s="5" t="s">
        <v>3156</v>
      </c>
      <c r="R59" s="5" t="s">
        <v>2207</v>
      </c>
      <c r="S59" s="252" t="s">
        <v>2208</v>
      </c>
      <c r="T59" s="5" t="s">
        <v>3157</v>
      </c>
      <c r="U59" s="252" t="s">
        <v>2334</v>
      </c>
      <c r="V59" s="252" t="s">
        <v>2208</v>
      </c>
      <c r="W59" s="252" t="s">
        <v>2338</v>
      </c>
      <c r="X59" s="252" t="s">
        <v>2338</v>
      </c>
      <c r="Y59" s="252" t="s">
        <v>2340</v>
      </c>
      <c r="Z59" s="5" t="s">
        <v>2342</v>
      </c>
      <c r="AA59" s="5" t="s">
        <v>1229</v>
      </c>
      <c r="AB59" s="252" t="s">
        <v>2344</v>
      </c>
      <c r="AC59" s="13"/>
      <c r="AG59" s="253">
        <f t="shared" ref="AG59:AG60" si="5">ROUND(I59*0.5,0)</f>
        <v>28</v>
      </c>
      <c r="AH59" s="244" t="s">
        <v>3162</v>
      </c>
      <c r="AI59" s="254" t="s">
        <v>3164</v>
      </c>
    </row>
    <row r="60" ht="15.0" customHeight="1">
      <c r="A60" s="249" t="s">
        <v>2172</v>
      </c>
      <c r="B60" s="249" t="s">
        <v>1133</v>
      </c>
      <c r="C60" s="249" t="s">
        <v>3865</v>
      </c>
      <c r="D60" s="249" t="s">
        <v>425</v>
      </c>
      <c r="E60" s="249" t="str">
        <f t="array" ref="E60">IFERROR(INDEX(REF_CODES!$B$27:$B$33,MATCH($D60,REF_CODES!$C$27:$C$33,0)),IFERROR(INDEX(REF_CODES!$B$51:$B$55,MATCH($D60,REF_CODES!$C$51:$C$55,0)),""))</f>
        <v>AU-EXC</v>
      </c>
      <c r="F60" s="249" t="s">
        <v>3880</v>
      </c>
      <c r="G60" s="5" t="s">
        <v>3882</v>
      </c>
      <c r="H60" s="249" t="s">
        <v>3883</v>
      </c>
      <c r="I60" s="249">
        <v>160.0</v>
      </c>
      <c r="J60" s="251" t="s">
        <v>2777</v>
      </c>
      <c r="K60" s="251" t="s">
        <v>195</v>
      </c>
      <c r="L60" s="5" t="s">
        <v>97</v>
      </c>
      <c r="M60" s="5" t="s">
        <v>2312</v>
      </c>
      <c r="N60" s="5" t="s">
        <v>469</v>
      </c>
      <c r="O60" s="5" t="s">
        <v>498</v>
      </c>
      <c r="P60" s="5" t="s">
        <v>142</v>
      </c>
      <c r="Q60" s="5" t="s">
        <v>3156</v>
      </c>
      <c r="R60" s="5" t="s">
        <v>2207</v>
      </c>
      <c r="S60" s="252" t="s">
        <v>2208</v>
      </c>
      <c r="T60" s="273" t="s">
        <v>3888</v>
      </c>
      <c r="U60" s="252" t="s">
        <v>2334</v>
      </c>
      <c r="V60" s="252" t="s">
        <v>2208</v>
      </c>
      <c r="W60" s="252" t="s">
        <v>2338</v>
      </c>
      <c r="X60" s="252" t="s">
        <v>2338</v>
      </c>
      <c r="Y60" s="252" t="s">
        <v>2340</v>
      </c>
      <c r="Z60" s="5" t="s">
        <v>2342</v>
      </c>
      <c r="AA60" s="5" t="s">
        <v>1229</v>
      </c>
      <c r="AB60" s="252" t="s">
        <v>2344</v>
      </c>
      <c r="AC60" s="13"/>
      <c r="AG60" s="253">
        <f t="shared" si="5"/>
        <v>80</v>
      </c>
      <c r="AH60" s="244" t="s">
        <v>3162</v>
      </c>
      <c r="AI60" s="254" t="s">
        <v>3164</v>
      </c>
    </row>
    <row r="61" ht="15.0" customHeight="1">
      <c r="A61" s="249" t="s">
        <v>2172</v>
      </c>
      <c r="B61" s="249" t="s">
        <v>1133</v>
      </c>
      <c r="C61" s="249" t="s">
        <v>3894</v>
      </c>
      <c r="D61" s="249" t="s">
        <v>442</v>
      </c>
      <c r="E61" s="249" t="str">
        <f t="array" ref="E61">IFERROR(INDEX(REF_CODES!$B$27:$B$33,MATCH($D61,REF_CODES!$C$27:$C$33,0)),IFERROR(INDEX(REF_CODES!$B$51:$B$55,MATCH($D61,REF_CODES!$C$51:$C$55,0)),""))</f>
        <v>AU-DES</v>
      </c>
      <c r="F61" s="249" t="s">
        <v>3908</v>
      </c>
      <c r="G61" s="5" t="s">
        <v>3910</v>
      </c>
      <c r="H61" s="249" t="s">
        <v>2543</v>
      </c>
      <c r="I61" s="249">
        <v>150.0</v>
      </c>
      <c r="J61" s="251" t="s">
        <v>2777</v>
      </c>
      <c r="K61" s="251" t="s">
        <v>195</v>
      </c>
      <c r="L61" s="5" t="s">
        <v>97</v>
      </c>
      <c r="M61" s="5" t="s">
        <v>2312</v>
      </c>
      <c r="N61" s="5" t="s">
        <v>469</v>
      </c>
      <c r="O61" s="5" t="s">
        <v>498</v>
      </c>
      <c r="P61" s="5" t="s">
        <v>2782</v>
      </c>
      <c r="Q61" s="5" t="s">
        <v>2783</v>
      </c>
      <c r="R61" s="5" t="s">
        <v>2207</v>
      </c>
      <c r="S61" s="252" t="s">
        <v>2208</v>
      </c>
      <c r="T61" s="273" t="s">
        <v>3914</v>
      </c>
      <c r="U61" s="252" t="s">
        <v>2334</v>
      </c>
      <c r="V61" s="252" t="s">
        <v>2208</v>
      </c>
      <c r="W61" s="252" t="s">
        <v>2338</v>
      </c>
      <c r="X61" s="252" t="s">
        <v>2338</v>
      </c>
      <c r="Y61" s="252" t="s">
        <v>2340</v>
      </c>
      <c r="Z61" s="5" t="s">
        <v>2342</v>
      </c>
      <c r="AA61" s="5" t="s">
        <v>1229</v>
      </c>
      <c r="AB61" s="252" t="s">
        <v>2344</v>
      </c>
      <c r="AC61" s="13"/>
      <c r="AG61" s="253" t="s">
        <v>3034</v>
      </c>
      <c r="AH61" s="244" t="s">
        <v>3034</v>
      </c>
      <c r="AI61" s="254" t="s">
        <v>3037</v>
      </c>
    </row>
    <row r="62" ht="15.0" customHeight="1">
      <c r="A62" s="249" t="s">
        <v>2172</v>
      </c>
      <c r="B62" s="249" t="s">
        <v>1133</v>
      </c>
      <c r="C62" s="249" t="s">
        <v>3920</v>
      </c>
      <c r="D62" s="249" t="s">
        <v>458</v>
      </c>
      <c r="E62" s="249" t="str">
        <f t="array" ref="E62">IFERROR(INDEX(REF_CODES!$B$27:$B$33,MATCH($D62,REF_CODES!$C$27:$C$33,0)),IFERROR(INDEX(REF_CODES!$B$51:$B$55,MATCH($D62,REF_CODES!$C$51:$C$55,0)),""))</f>
        <v>AU-SPO</v>
      </c>
      <c r="F62" s="249" t="s">
        <v>3931</v>
      </c>
      <c r="G62" s="5" t="s">
        <v>3932</v>
      </c>
      <c r="H62" s="249" t="s">
        <v>2511</v>
      </c>
      <c r="I62" s="249">
        <v>40.0</v>
      </c>
      <c r="J62" s="251" t="s">
        <v>2431</v>
      </c>
      <c r="K62" s="251" t="s">
        <v>188</v>
      </c>
      <c r="L62" s="5" t="s">
        <v>110</v>
      </c>
      <c r="M62" s="5" t="s">
        <v>2203</v>
      </c>
      <c r="N62" s="5" t="s">
        <v>463</v>
      </c>
      <c r="O62" s="5" t="s">
        <v>498</v>
      </c>
      <c r="P62" s="5" t="s">
        <v>146</v>
      </c>
      <c r="Q62" s="5" t="s">
        <v>52</v>
      </c>
      <c r="R62" s="5" t="s">
        <v>2207</v>
      </c>
      <c r="S62" s="252" t="s">
        <v>2208</v>
      </c>
      <c r="T62" s="273" t="s">
        <v>3940</v>
      </c>
      <c r="U62" s="252" t="s">
        <v>2334</v>
      </c>
      <c r="V62" s="252" t="s">
        <v>2208</v>
      </c>
      <c r="W62" s="252" t="s">
        <v>2338</v>
      </c>
      <c r="X62" s="252" t="s">
        <v>2338</v>
      </c>
      <c r="Y62" s="252" t="s">
        <v>2340</v>
      </c>
      <c r="Z62" s="5" t="s">
        <v>2342</v>
      </c>
      <c r="AA62" s="5" t="s">
        <v>1229</v>
      </c>
      <c r="AB62" s="252" t="s">
        <v>2344</v>
      </c>
      <c r="AC62" s="13"/>
      <c r="AG62" s="253">
        <f>I62</f>
        <v>40</v>
      </c>
      <c r="AH62" s="244" t="s">
        <v>3072</v>
      </c>
      <c r="AI62" s="254" t="s">
        <v>3946</v>
      </c>
    </row>
    <row r="63" ht="15.0" customHeight="1">
      <c r="A63" s="249" t="s">
        <v>2172</v>
      </c>
      <c r="B63" s="249" t="s">
        <v>1133</v>
      </c>
      <c r="C63" s="249" t="s">
        <v>3949</v>
      </c>
      <c r="D63" s="249" t="s">
        <v>442</v>
      </c>
      <c r="E63" s="249" t="str">
        <f t="array" ref="E63">IFERROR(INDEX(REF_CODES!$B$27:$B$33,MATCH($D63,REF_CODES!$C$27:$C$33,0)),IFERROR(INDEX(REF_CODES!$B$51:$B$55,MATCH($D63,REF_CODES!$C$51:$C$55,0)),""))</f>
        <v>AU-DES</v>
      </c>
      <c r="F63" s="249" t="s">
        <v>3959</v>
      </c>
      <c r="G63" s="5" t="s">
        <v>2802</v>
      </c>
      <c r="H63" s="249" t="s">
        <v>2511</v>
      </c>
      <c r="I63" s="249">
        <v>60.0</v>
      </c>
      <c r="J63" s="251" t="s">
        <v>2777</v>
      </c>
      <c r="K63" s="251" t="s">
        <v>188</v>
      </c>
      <c r="L63" s="5" t="s">
        <v>97</v>
      </c>
      <c r="M63" s="5" t="s">
        <v>2312</v>
      </c>
      <c r="N63" s="5" t="s">
        <v>463</v>
      </c>
      <c r="O63" s="5" t="s">
        <v>498</v>
      </c>
      <c r="P63" s="5" t="s">
        <v>2782</v>
      </c>
      <c r="Q63" s="5" t="s">
        <v>2783</v>
      </c>
      <c r="R63" s="5" t="s">
        <v>2207</v>
      </c>
      <c r="S63" s="252" t="s">
        <v>2208</v>
      </c>
      <c r="T63" s="5" t="s">
        <v>2804</v>
      </c>
      <c r="U63" s="252" t="s">
        <v>2334</v>
      </c>
      <c r="V63" s="252" t="s">
        <v>2208</v>
      </c>
      <c r="W63" s="252" t="s">
        <v>2338</v>
      </c>
      <c r="X63" s="252" t="s">
        <v>2338</v>
      </c>
      <c r="Y63" s="252" t="s">
        <v>2340</v>
      </c>
      <c r="Z63" s="5" t="s">
        <v>2342</v>
      </c>
      <c r="AA63" s="5" t="s">
        <v>1229</v>
      </c>
      <c r="AB63" s="252" t="s">
        <v>2344</v>
      </c>
      <c r="AC63" s="13"/>
      <c r="AG63" s="253">
        <v>20.0</v>
      </c>
      <c r="AH63" s="244" t="s">
        <v>2808</v>
      </c>
      <c r="AI63" s="254" t="s">
        <v>2810</v>
      </c>
    </row>
    <row r="64" ht="15.0" customHeight="1">
      <c r="A64" s="249" t="s">
        <v>2172</v>
      </c>
      <c r="B64" s="249" t="s">
        <v>1133</v>
      </c>
      <c r="C64" s="249" t="s">
        <v>3972</v>
      </c>
      <c r="D64" s="249" t="s">
        <v>442</v>
      </c>
      <c r="E64" s="249" t="str">
        <f t="array" ref="E64">IFERROR(INDEX(REF_CODES!$B$27:$B$33,MATCH($D64,REF_CODES!$C$27:$C$33,0)),IFERROR(INDEX(REF_CODES!$B$51:$B$55,MATCH($D64,REF_CODES!$C$51:$C$55,0)),""))</f>
        <v>AU-DES</v>
      </c>
      <c r="F64" s="249" t="s">
        <v>3979</v>
      </c>
      <c r="G64" s="5" t="s">
        <v>2774</v>
      </c>
      <c r="H64" s="249" t="s">
        <v>2511</v>
      </c>
      <c r="I64" s="249">
        <v>45.0</v>
      </c>
      <c r="J64" s="251" t="s">
        <v>2777</v>
      </c>
      <c r="K64" s="251" t="s">
        <v>188</v>
      </c>
      <c r="L64" s="5" t="s">
        <v>97</v>
      </c>
      <c r="M64" s="5" t="s">
        <v>2312</v>
      </c>
      <c r="N64" s="5" t="s">
        <v>463</v>
      </c>
      <c r="O64" s="5" t="s">
        <v>498</v>
      </c>
      <c r="P64" s="5" t="s">
        <v>2782</v>
      </c>
      <c r="Q64" s="5" t="s">
        <v>2783</v>
      </c>
      <c r="R64" s="5" t="s">
        <v>2207</v>
      </c>
      <c r="S64" s="252" t="s">
        <v>2208</v>
      </c>
      <c r="T64" s="5" t="s">
        <v>2786</v>
      </c>
      <c r="U64" s="252" t="s">
        <v>2334</v>
      </c>
      <c r="V64" s="252" t="s">
        <v>2208</v>
      </c>
      <c r="W64" s="252" t="s">
        <v>2338</v>
      </c>
      <c r="X64" s="252" t="s">
        <v>2338</v>
      </c>
      <c r="Y64" s="252" t="s">
        <v>2340</v>
      </c>
      <c r="Z64" s="5" t="s">
        <v>2342</v>
      </c>
      <c r="AA64" s="5" t="s">
        <v>1229</v>
      </c>
      <c r="AB64" s="252" t="s">
        <v>2344</v>
      </c>
      <c r="AC64" s="13"/>
      <c r="AG64" s="253">
        <v>20.0</v>
      </c>
      <c r="AH64" s="244" t="s">
        <v>2789</v>
      </c>
      <c r="AI64" s="254" t="s">
        <v>2790</v>
      </c>
    </row>
    <row r="65" ht="15.0" customHeight="1">
      <c r="A65" s="249" t="s">
        <v>2172</v>
      </c>
      <c r="B65" s="249" t="s">
        <v>1133</v>
      </c>
      <c r="C65" s="249" t="s">
        <v>3994</v>
      </c>
      <c r="D65" s="249" t="s">
        <v>442</v>
      </c>
      <c r="E65" s="249" t="str">
        <f t="array" ref="E65">IFERROR(INDEX(REF_CODES!$B$27:$B$33,MATCH($D65,REF_CODES!$C$27:$C$33,0)),IFERROR(INDEX(REF_CODES!$B$51:$B$55,MATCH($D65,REF_CODES!$C$51:$C$55,0)),""))</f>
        <v>AU-DES</v>
      </c>
      <c r="F65" s="249" t="s">
        <v>4005</v>
      </c>
      <c r="G65" s="5" t="s">
        <v>3023</v>
      </c>
      <c r="H65" s="249" t="s">
        <v>2543</v>
      </c>
      <c r="I65" s="249">
        <v>150.0</v>
      </c>
      <c r="J65" s="251" t="s">
        <v>2777</v>
      </c>
      <c r="K65" s="251" t="s">
        <v>195</v>
      </c>
      <c r="L65" s="5" t="s">
        <v>97</v>
      </c>
      <c r="M65" s="5" t="s">
        <v>2312</v>
      </c>
      <c r="N65" s="5" t="s">
        <v>469</v>
      </c>
      <c r="O65" s="5" t="s">
        <v>498</v>
      </c>
      <c r="P65" s="5" t="s">
        <v>2782</v>
      </c>
      <c r="Q65" s="5" t="s">
        <v>2783</v>
      </c>
      <c r="R65" s="5" t="s">
        <v>2207</v>
      </c>
      <c r="S65" s="252" t="s">
        <v>2208</v>
      </c>
      <c r="T65" s="5" t="s">
        <v>3028</v>
      </c>
      <c r="U65" s="252" t="s">
        <v>2334</v>
      </c>
      <c r="V65" s="252" t="s">
        <v>2208</v>
      </c>
      <c r="W65" s="252" t="s">
        <v>2338</v>
      </c>
      <c r="X65" s="252" t="s">
        <v>2338</v>
      </c>
      <c r="Y65" s="252" t="s">
        <v>2340</v>
      </c>
      <c r="Z65" s="5" t="s">
        <v>2342</v>
      </c>
      <c r="AA65" s="5" t="s">
        <v>1229</v>
      </c>
      <c r="AB65" s="252" t="s">
        <v>2344</v>
      </c>
      <c r="AC65" s="13"/>
      <c r="AG65" s="253" t="s">
        <v>3034</v>
      </c>
      <c r="AH65" s="244" t="s">
        <v>3034</v>
      </c>
      <c r="AI65" s="254" t="s">
        <v>3037</v>
      </c>
    </row>
    <row r="66" ht="15.0" customHeight="1">
      <c r="A66" s="249" t="s">
        <v>2172</v>
      </c>
      <c r="B66" s="249" t="s">
        <v>1133</v>
      </c>
      <c r="C66" s="249" t="s">
        <v>4016</v>
      </c>
      <c r="D66" s="249" t="s">
        <v>470</v>
      </c>
      <c r="E66" s="249" t="str">
        <f t="array" ref="E66">IFERROR(INDEX(REF_CODES!$B$27:$B$33,MATCH($D66,REF_CODES!$C$27:$C$33,0)),IFERROR(INDEX(REF_CODES!$B$51:$B$55,MATCH($D66,REF_CODES!$C$51:$C$55,0)),""))</f>
        <v>AU-CUL</v>
      </c>
      <c r="F66" s="249" t="s">
        <v>4028</v>
      </c>
      <c r="G66" s="5" t="s">
        <v>3473</v>
      </c>
      <c r="H66" s="249" t="s">
        <v>1919</v>
      </c>
      <c r="I66" s="249">
        <v>40.0</v>
      </c>
      <c r="J66" s="251" t="s">
        <v>2385</v>
      </c>
      <c r="K66" s="251" t="s">
        <v>188</v>
      </c>
      <c r="L66" s="5" t="s">
        <v>97</v>
      </c>
      <c r="M66" s="5" t="s">
        <v>2312</v>
      </c>
      <c r="N66" s="5" t="s">
        <v>463</v>
      </c>
      <c r="O66" s="5" t="s">
        <v>498</v>
      </c>
      <c r="P66" s="5" t="s">
        <v>142</v>
      </c>
      <c r="Q66" s="5" t="s">
        <v>2391</v>
      </c>
      <c r="R66" s="5" t="s">
        <v>2207</v>
      </c>
      <c r="S66" s="252" t="s">
        <v>2208</v>
      </c>
      <c r="T66" s="273" t="s">
        <v>3481</v>
      </c>
      <c r="U66" s="252" t="s">
        <v>2334</v>
      </c>
      <c r="V66" s="252" t="s">
        <v>2208</v>
      </c>
      <c r="W66" s="252" t="s">
        <v>2338</v>
      </c>
      <c r="X66" s="252" t="s">
        <v>2338</v>
      </c>
      <c r="Y66" s="252" t="s">
        <v>2340</v>
      </c>
      <c r="Z66" s="5" t="s">
        <v>2342</v>
      </c>
      <c r="AA66" s="5" t="s">
        <v>1229</v>
      </c>
      <c r="AB66" s="252" t="s">
        <v>2344</v>
      </c>
      <c r="AC66" s="13"/>
      <c r="AG66" s="253" t="s">
        <v>3271</v>
      </c>
      <c r="AH66" s="244" t="s">
        <v>3272</v>
      </c>
      <c r="AI66" s="254" t="s">
        <v>4037</v>
      </c>
    </row>
    <row r="67" ht="15.0" customHeight="1">
      <c r="A67" s="249" t="s">
        <v>2172</v>
      </c>
      <c r="B67" s="249" t="s">
        <v>1133</v>
      </c>
      <c r="C67" s="249" t="s">
        <v>4040</v>
      </c>
      <c r="D67" s="249" t="s">
        <v>470</v>
      </c>
      <c r="E67" s="249" t="str">
        <f t="array" ref="E67">IFERROR(INDEX(REF_CODES!$B$27:$B$33,MATCH($D67,REF_CODES!$C$27:$C$33,0)),IFERROR(INDEX(REF_CODES!$B$51:$B$55,MATCH($D67,REF_CODES!$C$51:$C$55,0)),""))</f>
        <v>AU-CUL</v>
      </c>
      <c r="F67" s="249" t="s">
        <v>4053</v>
      </c>
      <c r="G67" s="5" t="s">
        <v>4055</v>
      </c>
      <c r="H67" s="249" t="s">
        <v>4056</v>
      </c>
      <c r="I67" s="249">
        <v>55.0</v>
      </c>
      <c r="J67" s="251" t="s">
        <v>2385</v>
      </c>
      <c r="K67" s="251" t="s">
        <v>188</v>
      </c>
      <c r="L67" s="5" t="s">
        <v>97</v>
      </c>
      <c r="M67" s="5" t="s">
        <v>2312</v>
      </c>
      <c r="N67" s="5" t="s">
        <v>463</v>
      </c>
      <c r="O67" s="5" t="s">
        <v>498</v>
      </c>
      <c r="P67" s="5" t="s">
        <v>142</v>
      </c>
      <c r="Q67" s="5" t="s">
        <v>2391</v>
      </c>
      <c r="R67" s="5" t="s">
        <v>2207</v>
      </c>
      <c r="S67" s="252" t="s">
        <v>2208</v>
      </c>
      <c r="T67" s="273" t="s">
        <v>4059</v>
      </c>
      <c r="U67" s="252" t="s">
        <v>2334</v>
      </c>
      <c r="V67" s="252" t="s">
        <v>2208</v>
      </c>
      <c r="W67" s="252" t="s">
        <v>2338</v>
      </c>
      <c r="X67" s="252" t="s">
        <v>2338</v>
      </c>
      <c r="Y67" s="252" t="s">
        <v>2340</v>
      </c>
      <c r="Z67" s="5" t="s">
        <v>2342</v>
      </c>
      <c r="AA67" s="5" t="s">
        <v>1229</v>
      </c>
      <c r="AB67" s="252" t="s">
        <v>2344</v>
      </c>
      <c r="AC67" s="13"/>
      <c r="AG67" s="253">
        <f>I67</f>
        <v>55</v>
      </c>
      <c r="AH67" s="244" t="s">
        <v>2876</v>
      </c>
      <c r="AI67" s="254" t="s">
        <v>2877</v>
      </c>
    </row>
    <row r="68" ht="15.0" customHeight="1">
      <c r="A68" s="249" t="s">
        <v>2172</v>
      </c>
      <c r="B68" s="249" t="s">
        <v>1133</v>
      </c>
      <c r="C68" s="249" t="s">
        <v>4067</v>
      </c>
      <c r="D68" s="249" t="s">
        <v>470</v>
      </c>
      <c r="E68" s="249" t="str">
        <f t="array" ref="E68">IFERROR(INDEX(REF_CODES!$B$27:$B$33,MATCH($D68,REF_CODES!$C$27:$C$33,0)),IFERROR(INDEX(REF_CODES!$B$51:$B$55,MATCH($D68,REF_CODES!$C$51:$C$55,0)),""))</f>
        <v>AU-CUL</v>
      </c>
      <c r="F68" s="249" t="s">
        <v>4075</v>
      </c>
      <c r="G68" s="5" t="s">
        <v>4076</v>
      </c>
      <c r="H68" s="249" t="s">
        <v>2306</v>
      </c>
      <c r="I68" s="249">
        <v>25.0</v>
      </c>
      <c r="J68" s="251" t="s">
        <v>2385</v>
      </c>
      <c r="K68" s="251" t="s">
        <v>188</v>
      </c>
      <c r="L68" s="5" t="s">
        <v>97</v>
      </c>
      <c r="M68" s="5" t="s">
        <v>2312</v>
      </c>
      <c r="N68" s="5" t="s">
        <v>463</v>
      </c>
      <c r="O68" s="5" t="s">
        <v>498</v>
      </c>
      <c r="P68" s="5" t="s">
        <v>142</v>
      </c>
      <c r="Q68" s="5" t="s">
        <v>2391</v>
      </c>
      <c r="R68" s="5" t="s">
        <v>2207</v>
      </c>
      <c r="S68" s="252" t="s">
        <v>2208</v>
      </c>
      <c r="T68" s="273" t="s">
        <v>4081</v>
      </c>
      <c r="U68" s="252" t="s">
        <v>2334</v>
      </c>
      <c r="V68" s="252" t="s">
        <v>2208</v>
      </c>
      <c r="W68" s="252" t="s">
        <v>2338</v>
      </c>
      <c r="X68" s="252" t="s">
        <v>2338</v>
      </c>
      <c r="Y68" s="252" t="s">
        <v>2340</v>
      </c>
      <c r="Z68" s="5" t="s">
        <v>2342</v>
      </c>
      <c r="AA68" s="5" t="s">
        <v>1229</v>
      </c>
      <c r="AB68" s="252" t="s">
        <v>2344</v>
      </c>
      <c r="AC68" s="13"/>
      <c r="AG68" s="253">
        <f>ROUND(I68*0.5,0)</f>
        <v>13</v>
      </c>
      <c r="AH68" s="244" t="s">
        <v>3390</v>
      </c>
      <c r="AI68" s="254" t="s">
        <v>4083</v>
      </c>
    </row>
    <row r="69" ht="15.0" customHeight="1">
      <c r="A69" s="249" t="s">
        <v>2172</v>
      </c>
      <c r="B69" s="249" t="s">
        <v>1133</v>
      </c>
      <c r="C69" s="249" t="s">
        <v>4084</v>
      </c>
      <c r="D69" s="249" t="s">
        <v>442</v>
      </c>
      <c r="E69" s="249" t="str">
        <f t="array" ref="E69">IFERROR(INDEX(REF_CODES!$B$27:$B$33,MATCH($D69,REF_CODES!$C$27:$C$33,0)),IFERROR(INDEX(REF_CODES!$B$51:$B$55,MATCH($D69,REF_CODES!$C$51:$C$55,0)),""))</f>
        <v>AU-DES</v>
      </c>
      <c r="F69" s="249" t="s">
        <v>4096</v>
      </c>
      <c r="G69" s="5" t="s">
        <v>4076</v>
      </c>
      <c r="H69" s="249" t="s">
        <v>2543</v>
      </c>
      <c r="I69" s="249">
        <v>50.0</v>
      </c>
      <c r="J69" s="251" t="s">
        <v>2777</v>
      </c>
      <c r="K69" s="251" t="s">
        <v>188</v>
      </c>
      <c r="L69" s="5" t="s">
        <v>97</v>
      </c>
      <c r="M69" s="5" t="s">
        <v>2312</v>
      </c>
      <c r="N69" s="5" t="s">
        <v>463</v>
      </c>
      <c r="O69" s="5" t="s">
        <v>498</v>
      </c>
      <c r="P69" s="5" t="s">
        <v>2782</v>
      </c>
      <c r="Q69" s="5" t="s">
        <v>2783</v>
      </c>
      <c r="R69" s="5" t="s">
        <v>2207</v>
      </c>
      <c r="S69" s="252" t="s">
        <v>2208</v>
      </c>
      <c r="T69" s="273" t="s">
        <v>4081</v>
      </c>
      <c r="U69" s="252" t="s">
        <v>2334</v>
      </c>
      <c r="V69" s="252" t="s">
        <v>2208</v>
      </c>
      <c r="W69" s="252" t="s">
        <v>2338</v>
      </c>
      <c r="X69" s="252" t="s">
        <v>2338</v>
      </c>
      <c r="Y69" s="252" t="s">
        <v>2340</v>
      </c>
      <c r="Z69" s="5" t="s">
        <v>2342</v>
      </c>
      <c r="AA69" s="5" t="s">
        <v>1229</v>
      </c>
      <c r="AB69" s="252" t="s">
        <v>2344</v>
      </c>
      <c r="AC69" s="13"/>
      <c r="AG69" s="253" t="s">
        <v>3034</v>
      </c>
      <c r="AH69" s="244" t="s">
        <v>3034</v>
      </c>
      <c r="AI69" s="254" t="s">
        <v>3037</v>
      </c>
    </row>
    <row r="70" ht="14.25" customHeight="1">
      <c r="A70" s="13" t="s">
        <v>2172</v>
      </c>
      <c r="B70" s="13" t="s">
        <v>1133</v>
      </c>
      <c r="C70" s="13" t="s">
        <v>4104</v>
      </c>
      <c r="D70" s="13" t="s">
        <v>493</v>
      </c>
      <c r="E70" s="13" t="str">
        <f t="array" ref="E70">IFERROR(INDEX(REF_CODES!$B$27:$B$33,MATCH($D70,REF_CODES!$C$27:$C$33,0)),IFERROR(INDEX(REF_CODES!$B$51:$B$55,MATCH($D70,REF_CODES!$C$51:$C$55,0)),""))</f>
        <v>AU-ELI</v>
      </c>
      <c r="F70" s="13" t="s">
        <v>4109</v>
      </c>
      <c r="G70" s="13" t="s">
        <v>2756</v>
      </c>
      <c r="H70" s="277" t="s">
        <v>2757</v>
      </c>
      <c r="I70" s="278">
        <f>I18</f>
        <v>200</v>
      </c>
      <c r="J70" s="5" t="s">
        <v>2431</v>
      </c>
      <c r="K70" s="5" t="s">
        <v>188</v>
      </c>
      <c r="L70" s="5" t="s">
        <v>90</v>
      </c>
      <c r="M70" s="5" t="s">
        <v>2203</v>
      </c>
      <c r="N70" s="5" t="s">
        <v>469</v>
      </c>
      <c r="O70" s="5" t="s">
        <v>498</v>
      </c>
      <c r="P70" s="5" t="s">
        <v>138</v>
      </c>
      <c r="Q70" s="5" t="s">
        <v>2205</v>
      </c>
      <c r="R70" s="5" t="s">
        <v>2207</v>
      </c>
      <c r="S70" s="252" t="s">
        <v>2208</v>
      </c>
      <c r="T70" s="13" t="s">
        <v>4121</v>
      </c>
      <c r="U70" s="13" t="s">
        <v>4122</v>
      </c>
      <c r="V70" s="252" t="s">
        <v>2208</v>
      </c>
      <c r="W70" s="252" t="s">
        <v>2338</v>
      </c>
      <c r="X70" s="252" t="s">
        <v>2338</v>
      </c>
      <c r="Y70" s="252" t="s">
        <v>2340</v>
      </c>
      <c r="Z70" s="13" t="s">
        <v>4124</v>
      </c>
      <c r="AA70" s="13" t="s">
        <v>3034</v>
      </c>
      <c r="AB70" s="252" t="s">
        <v>2344</v>
      </c>
      <c r="AC70" s="13"/>
      <c r="AG70" s="253">
        <f>ROUND(I70*0.5,0)</f>
        <v>100</v>
      </c>
      <c r="AH70" s="244" t="s">
        <v>2438</v>
      </c>
      <c r="AI70" s="254" t="s">
        <v>2439</v>
      </c>
    </row>
    <row r="71" ht="14.25" customHeight="1">
      <c r="A71" s="13" t="s">
        <v>2172</v>
      </c>
      <c r="B71" s="13" t="s">
        <v>1133</v>
      </c>
      <c r="C71" s="13" t="s">
        <v>4132</v>
      </c>
      <c r="D71" s="13" t="s">
        <v>483</v>
      </c>
      <c r="E71" s="13" t="str">
        <f t="array" ref="E71">IFERROR(INDEX(REF_CODES!$B$27:$B$33,MATCH($D71,REF_CODES!$C$27:$C$33,0)),IFERROR(INDEX(REF_CODES!$B$51:$B$55,MATCH($D71,REF_CODES!$C$51:$C$55,0)),""))</f>
        <v>AU-BIE</v>
      </c>
      <c r="F71" s="13" t="s">
        <v>4136</v>
      </c>
      <c r="G71" s="13" t="s">
        <v>4138</v>
      </c>
      <c r="H71" s="277" t="s">
        <v>2893</v>
      </c>
      <c r="I71" s="279">
        <f>I24</f>
        <v>250</v>
      </c>
      <c r="J71" s="5"/>
      <c r="K71" s="5" t="s">
        <v>188</v>
      </c>
      <c r="L71" s="5" t="s">
        <v>97</v>
      </c>
      <c r="M71" s="5" t="s">
        <v>2312</v>
      </c>
      <c r="N71" s="5" t="s">
        <v>469</v>
      </c>
      <c r="O71" s="5" t="s">
        <v>498</v>
      </c>
      <c r="P71" s="5" t="s">
        <v>133</v>
      </c>
      <c r="Q71" s="5" t="s">
        <v>2330</v>
      </c>
      <c r="R71" s="5" t="s">
        <v>2207</v>
      </c>
      <c r="S71" s="252" t="s">
        <v>2208</v>
      </c>
      <c r="T71" s="13" t="s">
        <v>4142</v>
      </c>
      <c r="U71" s="13" t="s">
        <v>2514</v>
      </c>
      <c r="V71" s="252" t="s">
        <v>2208</v>
      </c>
      <c r="W71" s="252" t="s">
        <v>2338</v>
      </c>
      <c r="X71" s="252" t="s">
        <v>2338</v>
      </c>
      <c r="Y71" s="252" t="s">
        <v>2340</v>
      </c>
      <c r="Z71" s="13" t="s">
        <v>4144</v>
      </c>
      <c r="AA71" s="13" t="s">
        <v>3034</v>
      </c>
      <c r="AB71" s="252" t="s">
        <v>2344</v>
      </c>
      <c r="AC71" s="13"/>
      <c r="AG71" s="253" t="s">
        <v>2345</v>
      </c>
      <c r="AH71" s="244" t="s">
        <v>2347</v>
      </c>
      <c r="AI71" s="254" t="s">
        <v>2348</v>
      </c>
    </row>
    <row r="72" ht="14.25" customHeight="1">
      <c r="A72" s="13" t="s">
        <v>2172</v>
      </c>
      <c r="B72" s="13" t="s">
        <v>1133</v>
      </c>
      <c r="C72" s="13" t="s">
        <v>4145</v>
      </c>
      <c r="D72" s="13" t="s">
        <v>483</v>
      </c>
      <c r="E72" s="13" t="str">
        <f t="array" ref="E72">IFERROR(INDEX(REF_CODES!$B$27:$B$33,MATCH($D72,REF_CODES!$C$27:$C$33,0)),IFERROR(INDEX(REF_CODES!$B$51:$B$55,MATCH($D72,REF_CODES!$C$51:$C$55,0)),""))</f>
        <v>AU-BIE</v>
      </c>
      <c r="F72" s="13" t="s">
        <v>4154</v>
      </c>
      <c r="G72" s="13" t="s">
        <v>4155</v>
      </c>
      <c r="H72" s="277" t="s">
        <v>1229</v>
      </c>
      <c r="I72" s="277" t="s">
        <v>1229</v>
      </c>
      <c r="J72" s="5"/>
      <c r="K72" s="5" t="s">
        <v>188</v>
      </c>
      <c r="L72" s="5" t="s">
        <v>97</v>
      </c>
      <c r="M72" s="5" t="s">
        <v>2312</v>
      </c>
      <c r="N72" s="5" t="s">
        <v>469</v>
      </c>
      <c r="O72" s="5" t="s">
        <v>498</v>
      </c>
      <c r="P72" s="5" t="s">
        <v>133</v>
      </c>
      <c r="Q72" s="5" t="s">
        <v>2330</v>
      </c>
      <c r="R72" s="5" t="s">
        <v>2207</v>
      </c>
      <c r="S72" s="252" t="s">
        <v>2208</v>
      </c>
      <c r="T72" s="13" t="s">
        <v>2710</v>
      </c>
      <c r="U72" s="13" t="s">
        <v>2707</v>
      </c>
      <c r="V72" s="252" t="s">
        <v>2208</v>
      </c>
      <c r="W72" s="252" t="s">
        <v>2338</v>
      </c>
      <c r="X72" s="252" t="s">
        <v>2338</v>
      </c>
      <c r="Y72" s="252" t="s">
        <v>2340</v>
      </c>
      <c r="Z72" s="13" t="s">
        <v>4159</v>
      </c>
      <c r="AA72" s="13" t="s">
        <v>3034</v>
      </c>
      <c r="AB72" s="252" t="s">
        <v>2344</v>
      </c>
      <c r="AC72" s="13"/>
      <c r="AG72" s="253" t="s">
        <v>2345</v>
      </c>
      <c r="AH72" s="244" t="s">
        <v>2347</v>
      </c>
      <c r="AI72" s="254" t="s">
        <v>2348</v>
      </c>
    </row>
    <row r="73" ht="14.25" customHeight="1">
      <c r="A73" s="13" t="s">
        <v>2172</v>
      </c>
      <c r="B73" s="13" t="s">
        <v>1133</v>
      </c>
      <c r="C73" s="13" t="s">
        <v>4161</v>
      </c>
      <c r="D73" s="13" t="s">
        <v>483</v>
      </c>
      <c r="E73" s="13" t="str">
        <f t="array" ref="E73">IFERROR(INDEX(REF_CODES!$B$27:$B$33,MATCH($D73,REF_CODES!$C$27:$C$33,0)),IFERROR(INDEX(REF_CODES!$B$51:$B$55,MATCH($D73,REF_CODES!$C$51:$C$55,0)),""))</f>
        <v>AU-BIE</v>
      </c>
      <c r="F73" s="13" t="s">
        <v>4169</v>
      </c>
      <c r="G73" s="13" t="s">
        <v>4170</v>
      </c>
      <c r="H73" s="277" t="s">
        <v>1229</v>
      </c>
      <c r="I73" s="277" t="s">
        <v>1229</v>
      </c>
      <c r="J73" s="5"/>
      <c r="K73" s="5" t="s">
        <v>188</v>
      </c>
      <c r="L73" s="5" t="s">
        <v>97</v>
      </c>
      <c r="M73" s="5" t="s">
        <v>2312</v>
      </c>
      <c r="N73" s="5" t="s">
        <v>469</v>
      </c>
      <c r="O73" s="5" t="s">
        <v>498</v>
      </c>
      <c r="P73" s="5" t="s">
        <v>133</v>
      </c>
      <c r="Q73" s="5" t="s">
        <v>2330</v>
      </c>
      <c r="R73" s="5" t="s">
        <v>2207</v>
      </c>
      <c r="S73" s="252" t="s">
        <v>2208</v>
      </c>
      <c r="T73" s="13" t="s">
        <v>2418</v>
      </c>
      <c r="U73" s="13" t="s">
        <v>4175</v>
      </c>
      <c r="V73" s="252" t="s">
        <v>2208</v>
      </c>
      <c r="W73" s="252" t="s">
        <v>2338</v>
      </c>
      <c r="X73" s="252" t="s">
        <v>2338</v>
      </c>
      <c r="Y73" s="252" t="s">
        <v>2340</v>
      </c>
      <c r="Z73" s="13" t="s">
        <v>4159</v>
      </c>
      <c r="AA73" s="13" t="s">
        <v>3034</v>
      </c>
      <c r="AB73" s="252" t="s">
        <v>2344</v>
      </c>
      <c r="AC73" s="13"/>
      <c r="AG73" s="253" t="s">
        <v>2345</v>
      </c>
      <c r="AH73" s="244" t="s">
        <v>2347</v>
      </c>
      <c r="AI73" s="254" t="s">
        <v>2348</v>
      </c>
    </row>
    <row r="74" ht="14.25" customHeight="1">
      <c r="A74" s="13" t="s">
        <v>2172</v>
      </c>
      <c r="B74" s="13" t="s">
        <v>1133</v>
      </c>
      <c r="C74" s="13" t="s">
        <v>4182</v>
      </c>
      <c r="D74" s="13" t="s">
        <v>458</v>
      </c>
      <c r="E74" s="13" t="str">
        <f t="array" ref="E74">IFERROR(INDEX(REF_CODES!$B$27:$B$33,MATCH($D74,REF_CODES!$C$27:$C$33,0)),IFERROR(INDEX(REF_CODES!$B$51:$B$55,MATCH($D74,REF_CODES!$C$51:$C$55,0)),""))</f>
        <v>AU-SPO</v>
      </c>
      <c r="F74" s="13" t="s">
        <v>4188</v>
      </c>
      <c r="G74" s="13" t="s">
        <v>2625</v>
      </c>
      <c r="H74" s="277" t="s">
        <v>1229</v>
      </c>
      <c r="I74" s="277">
        <v>90.0</v>
      </c>
      <c r="J74" s="5" t="s">
        <v>2431</v>
      </c>
      <c r="K74" s="5" t="s">
        <v>188</v>
      </c>
      <c r="L74" s="5" t="s">
        <v>110</v>
      </c>
      <c r="M74" s="5" t="s">
        <v>2203</v>
      </c>
      <c r="N74" s="5" t="s">
        <v>469</v>
      </c>
      <c r="O74" s="5" t="s">
        <v>498</v>
      </c>
      <c r="P74" s="5" t="s">
        <v>146</v>
      </c>
      <c r="Q74" s="5" t="s">
        <v>52</v>
      </c>
      <c r="R74" s="5" t="s">
        <v>2207</v>
      </c>
      <c r="S74" s="252" t="s">
        <v>2208</v>
      </c>
      <c r="T74" s="13" t="s">
        <v>2633</v>
      </c>
      <c r="U74" s="13" t="s">
        <v>2625</v>
      </c>
      <c r="V74" s="252" t="s">
        <v>2208</v>
      </c>
      <c r="W74" s="252" t="s">
        <v>2338</v>
      </c>
      <c r="X74" s="252" t="s">
        <v>2338</v>
      </c>
      <c r="Y74" s="252" t="s">
        <v>2340</v>
      </c>
      <c r="Z74" s="13" t="s">
        <v>4196</v>
      </c>
      <c r="AA74" s="13" t="s">
        <v>3034</v>
      </c>
      <c r="AB74" s="252" t="s">
        <v>2344</v>
      </c>
      <c r="AC74" s="13"/>
      <c r="AG74" s="253">
        <f>I74</f>
        <v>90</v>
      </c>
      <c r="AH74" s="244" t="s">
        <v>2398</v>
      </c>
      <c r="AI74" s="254" t="s">
        <v>4199</v>
      </c>
    </row>
    <row r="75" ht="14.25" customHeight="1">
      <c r="A75" s="13" t="s">
        <v>2172</v>
      </c>
      <c r="B75" s="13" t="s">
        <v>1133</v>
      </c>
      <c r="C75" s="13" t="s">
        <v>4200</v>
      </c>
      <c r="D75" s="13" t="s">
        <v>442</v>
      </c>
      <c r="E75" s="13" t="str">
        <f t="array" ref="E75">IFERROR(INDEX(REF_CODES!$B$27:$B$33,MATCH($D75,REF_CODES!$C$27:$C$33,0)),IFERROR(INDEX(REF_CODES!$B$51:$B$55,MATCH($D75,REF_CODES!$C$51:$C$55,0)),""))</f>
        <v>AU-DES</v>
      </c>
      <c r="F75" s="13" t="s">
        <v>4207</v>
      </c>
      <c r="G75" s="13" t="s">
        <v>3023</v>
      </c>
      <c r="H75" s="277" t="s">
        <v>1229</v>
      </c>
      <c r="I75" s="277">
        <v>250.0</v>
      </c>
      <c r="J75" s="5" t="s">
        <v>2777</v>
      </c>
      <c r="K75" s="5" t="s">
        <v>188</v>
      </c>
      <c r="L75" s="5" t="s">
        <v>97</v>
      </c>
      <c r="M75" s="5" t="s">
        <v>2312</v>
      </c>
      <c r="N75" s="5" t="s">
        <v>469</v>
      </c>
      <c r="O75" s="5" t="s">
        <v>498</v>
      </c>
      <c r="P75" s="5" t="s">
        <v>2782</v>
      </c>
      <c r="Q75" s="5" t="s">
        <v>2783</v>
      </c>
      <c r="R75" s="5" t="s">
        <v>2207</v>
      </c>
      <c r="S75" s="252" t="s">
        <v>2208</v>
      </c>
      <c r="T75" s="13" t="s">
        <v>4210</v>
      </c>
      <c r="U75" s="13" t="s">
        <v>3023</v>
      </c>
      <c r="V75" s="252" t="s">
        <v>2208</v>
      </c>
      <c r="W75" s="252" t="s">
        <v>2338</v>
      </c>
      <c r="X75" s="252" t="s">
        <v>2338</v>
      </c>
      <c r="Y75" s="252" t="s">
        <v>2340</v>
      </c>
      <c r="Z75" s="13" t="s">
        <v>4211</v>
      </c>
      <c r="AA75" s="13" t="s">
        <v>3034</v>
      </c>
      <c r="AB75" s="252" t="s">
        <v>2344</v>
      </c>
      <c r="AC75" s="13"/>
      <c r="AG75" s="253" t="s">
        <v>3034</v>
      </c>
      <c r="AH75" s="244" t="s">
        <v>3034</v>
      </c>
      <c r="AI75" s="254" t="s">
        <v>3037</v>
      </c>
    </row>
    <row r="76" ht="14.25" customHeight="1">
      <c r="A76" s="13" t="s">
        <v>2172</v>
      </c>
      <c r="B76" s="13" t="s">
        <v>1133</v>
      </c>
      <c r="C76" s="13" t="s">
        <v>4212</v>
      </c>
      <c r="D76" s="13" t="s">
        <v>493</v>
      </c>
      <c r="E76" s="13" t="str">
        <f t="array" ref="E76">IFERROR(INDEX(REF_CODES!$B$27:$B$33,MATCH($D76,REF_CODES!$C$27:$C$33,0)),IFERROR(INDEX(REF_CODES!$B$51:$B$55,MATCH($D76,REF_CODES!$C$51:$C$55,0)),""))</f>
        <v>AU-ELI</v>
      </c>
      <c r="F76" s="13" t="s">
        <v>4222</v>
      </c>
      <c r="G76" s="13" t="s">
        <v>4223</v>
      </c>
      <c r="H76" s="277" t="s">
        <v>1229</v>
      </c>
      <c r="I76" s="281">
        <v>175.0</v>
      </c>
      <c r="J76" s="5" t="s">
        <v>2431</v>
      </c>
      <c r="K76" s="5" t="s">
        <v>188</v>
      </c>
      <c r="L76" s="5" t="s">
        <v>90</v>
      </c>
      <c r="M76" s="5" t="s">
        <v>2203</v>
      </c>
      <c r="N76" s="5" t="s">
        <v>469</v>
      </c>
      <c r="O76" s="5" t="s">
        <v>498</v>
      </c>
      <c r="P76" s="5" t="s">
        <v>138</v>
      </c>
      <c r="Q76" s="5" t="s">
        <v>2205</v>
      </c>
      <c r="R76" s="5" t="s">
        <v>2207</v>
      </c>
      <c r="S76" s="252" t="s">
        <v>2208</v>
      </c>
      <c r="T76" s="13" t="s">
        <v>4225</v>
      </c>
      <c r="U76" s="13" t="s">
        <v>4226</v>
      </c>
      <c r="V76" s="252" t="s">
        <v>2208</v>
      </c>
      <c r="W76" s="252" t="s">
        <v>2338</v>
      </c>
      <c r="X76" s="252" t="s">
        <v>2338</v>
      </c>
      <c r="Y76" s="252" t="s">
        <v>2340</v>
      </c>
      <c r="Z76" s="13" t="s">
        <v>4227</v>
      </c>
      <c r="AA76" s="13" t="s">
        <v>3034</v>
      </c>
      <c r="AB76" s="252" t="s">
        <v>2344</v>
      </c>
      <c r="AC76" s="13"/>
      <c r="AG76" s="253" t="s">
        <v>3034</v>
      </c>
      <c r="AH76" s="244" t="s">
        <v>3034</v>
      </c>
      <c r="AI76" s="254" t="s">
        <v>4228</v>
      </c>
    </row>
    <row r="77" ht="14.25" customHeight="1">
      <c r="A77" s="13" t="s">
        <v>2172</v>
      </c>
      <c r="B77" s="13" t="s">
        <v>1133</v>
      </c>
      <c r="C77" s="13" t="s">
        <v>4231</v>
      </c>
      <c r="D77" s="13" t="s">
        <v>442</v>
      </c>
      <c r="E77" s="13" t="str">
        <f t="array" ref="E77">IFERROR(INDEX(REF_CODES!$B$27:$B$33,MATCH($D77,REF_CODES!$C$27:$C$33,0)),IFERROR(INDEX(REF_CODES!$B$51:$B$55,MATCH($D77,REF_CODES!$C$51:$C$55,0)),""))</f>
        <v>AU-DES</v>
      </c>
      <c r="F77" s="13" t="s">
        <v>4237</v>
      </c>
      <c r="G77" s="13" t="s">
        <v>4239</v>
      </c>
      <c r="H77" s="277" t="s">
        <v>1229</v>
      </c>
      <c r="I77" s="277">
        <v>150.0</v>
      </c>
      <c r="J77" s="5" t="s">
        <v>2777</v>
      </c>
      <c r="K77" s="5" t="s">
        <v>188</v>
      </c>
      <c r="L77" s="5" t="s">
        <v>97</v>
      </c>
      <c r="M77" s="5" t="s">
        <v>2312</v>
      </c>
      <c r="N77" s="5" t="s">
        <v>469</v>
      </c>
      <c r="O77" s="5" t="s">
        <v>498</v>
      </c>
      <c r="P77" s="5" t="s">
        <v>2782</v>
      </c>
      <c r="Q77" s="5" t="s">
        <v>2783</v>
      </c>
      <c r="R77" s="5" t="s">
        <v>2207</v>
      </c>
      <c r="S77" s="252" t="s">
        <v>2208</v>
      </c>
      <c r="T77" s="13" t="s">
        <v>4240</v>
      </c>
      <c r="U77" s="13" t="s">
        <v>4239</v>
      </c>
      <c r="V77" s="252" t="s">
        <v>2208</v>
      </c>
      <c r="W77" s="252" t="s">
        <v>2338</v>
      </c>
      <c r="X77" s="252" t="s">
        <v>2338</v>
      </c>
      <c r="Y77" s="252" t="s">
        <v>2340</v>
      </c>
      <c r="Z77" s="13" t="s">
        <v>4227</v>
      </c>
      <c r="AA77" s="13" t="s">
        <v>3034</v>
      </c>
      <c r="AB77" s="252" t="s">
        <v>2344</v>
      </c>
      <c r="AC77" s="13"/>
      <c r="AG77" s="253" t="s">
        <v>3034</v>
      </c>
      <c r="AH77" s="244" t="s">
        <v>3034</v>
      </c>
      <c r="AI77" s="254" t="s">
        <v>3037</v>
      </c>
    </row>
    <row r="78" ht="14.25" customHeight="1">
      <c r="A78" s="13" t="s">
        <v>2172</v>
      </c>
      <c r="B78" s="13" t="s">
        <v>1133</v>
      </c>
      <c r="C78" s="13" t="s">
        <v>4247</v>
      </c>
      <c r="D78" s="13" t="s">
        <v>425</v>
      </c>
      <c r="E78" s="13" t="str">
        <f t="array" ref="E78">IFERROR(INDEX(REF_CODES!$B$27:$B$33,MATCH($D78,REF_CODES!$C$27:$C$33,0)),IFERROR(INDEX(REF_CODES!$B$51:$B$55,MATCH($D78,REF_CODES!$C$51:$C$55,0)),""))</f>
        <v>AU-EXC</v>
      </c>
      <c r="F78" s="13" t="s">
        <v>4253</v>
      </c>
      <c r="G78" s="13" t="s">
        <v>4254</v>
      </c>
      <c r="H78" s="277" t="s">
        <v>1229</v>
      </c>
      <c r="I78" s="277">
        <v>150.0</v>
      </c>
      <c r="J78" s="5" t="s">
        <v>2777</v>
      </c>
      <c r="K78" s="5" t="s">
        <v>188</v>
      </c>
      <c r="L78" s="5" t="s">
        <v>97</v>
      </c>
      <c r="M78" s="5" t="s">
        <v>2312</v>
      </c>
      <c r="N78" s="5" t="s">
        <v>469</v>
      </c>
      <c r="O78" s="5" t="s">
        <v>498</v>
      </c>
      <c r="P78" s="5" t="s">
        <v>142</v>
      </c>
      <c r="Q78" s="5" t="s">
        <v>3156</v>
      </c>
      <c r="R78" s="5" t="s">
        <v>2207</v>
      </c>
      <c r="S78" s="252" t="s">
        <v>2208</v>
      </c>
      <c r="T78" s="13" t="s">
        <v>4260</v>
      </c>
      <c r="U78" s="13" t="s">
        <v>4254</v>
      </c>
      <c r="V78" s="252" t="s">
        <v>2208</v>
      </c>
      <c r="W78" s="252" t="s">
        <v>2338</v>
      </c>
      <c r="X78" s="252" t="s">
        <v>2338</v>
      </c>
      <c r="Y78" s="252" t="s">
        <v>2340</v>
      </c>
      <c r="Z78" s="13" t="s">
        <v>4264</v>
      </c>
      <c r="AA78" s="13" t="s">
        <v>3034</v>
      </c>
      <c r="AB78" s="252" t="s">
        <v>2344</v>
      </c>
      <c r="AC78" s="13"/>
      <c r="AG78" s="253">
        <f>ROUND(I78*0.5,0)</f>
        <v>75</v>
      </c>
      <c r="AH78" s="244" t="s">
        <v>3162</v>
      </c>
      <c r="AI78" s="254" t="s">
        <v>3164</v>
      </c>
    </row>
    <row r="79" ht="14.25" customHeight="1">
      <c r="A79" s="13" t="s">
        <v>2172</v>
      </c>
      <c r="B79" s="13" t="s">
        <v>1133</v>
      </c>
      <c r="C79" s="13" t="s">
        <v>4268</v>
      </c>
      <c r="D79" s="13" t="s">
        <v>493</v>
      </c>
      <c r="E79" s="13" t="str">
        <f t="array" ref="E79">IFERROR(INDEX(REF_CODES!$B$27:$B$33,MATCH($D79,REF_CODES!$C$27:$C$33,0)),IFERROR(INDEX(REF_CODES!$B$51:$B$55,MATCH($D79,REF_CODES!$C$51:$C$55,0)),""))</f>
        <v>AU-ELI</v>
      </c>
      <c r="F79" s="13" t="s">
        <v>4277</v>
      </c>
      <c r="G79" s="13" t="s">
        <v>4278</v>
      </c>
      <c r="H79" s="277" t="s">
        <v>1229</v>
      </c>
      <c r="I79" s="277">
        <v>65.0</v>
      </c>
      <c r="J79" s="5" t="s">
        <v>2431</v>
      </c>
      <c r="K79" s="5" t="s">
        <v>188</v>
      </c>
      <c r="L79" s="5" t="s">
        <v>90</v>
      </c>
      <c r="M79" s="5" t="s">
        <v>2203</v>
      </c>
      <c r="N79" s="5" t="s">
        <v>469</v>
      </c>
      <c r="O79" s="5" t="s">
        <v>498</v>
      </c>
      <c r="P79" s="5" t="s">
        <v>138</v>
      </c>
      <c r="Q79" s="5" t="s">
        <v>2205</v>
      </c>
      <c r="R79" s="5" t="s">
        <v>2207</v>
      </c>
      <c r="S79" s="252" t="s">
        <v>2208</v>
      </c>
      <c r="T79" s="273" t="s">
        <v>4282</v>
      </c>
      <c r="U79" s="252" t="s">
        <v>2334</v>
      </c>
      <c r="V79" s="252" t="s">
        <v>2208</v>
      </c>
      <c r="W79" s="252" t="s">
        <v>2338</v>
      </c>
      <c r="X79" s="252" t="s">
        <v>2338</v>
      </c>
      <c r="Y79" s="252" t="s">
        <v>2340</v>
      </c>
      <c r="Z79" s="13" t="s">
        <v>4283</v>
      </c>
      <c r="AA79" s="13" t="s">
        <v>4284</v>
      </c>
      <c r="AB79" s="252" t="s">
        <v>2344</v>
      </c>
      <c r="AC79" s="13"/>
      <c r="AG79" s="253" t="s">
        <v>3034</v>
      </c>
      <c r="AH79" s="244" t="s">
        <v>3034</v>
      </c>
      <c r="AI79" s="254" t="s">
        <v>4228</v>
      </c>
    </row>
    <row r="80" ht="14.25" customHeight="1">
      <c r="A80" s="13" t="s">
        <v>2172</v>
      </c>
      <c r="B80" s="13" t="s">
        <v>1133</v>
      </c>
      <c r="C80" s="13" t="s">
        <v>4286</v>
      </c>
      <c r="D80" s="13" t="s">
        <v>470</v>
      </c>
      <c r="E80" s="13" t="str">
        <f t="array" ref="E80">IFERROR(INDEX(REF_CODES!$B$27:$B$33,MATCH($D80,REF_CODES!$C$27:$C$33,0)),IFERROR(INDEX(REF_CODES!$B$51:$B$55,MATCH($D80,REF_CODES!$C$51:$C$55,0)),""))</f>
        <v>AU-CUL</v>
      </c>
      <c r="F80" s="13" t="s">
        <v>4293</v>
      </c>
      <c r="G80" s="13" t="s">
        <v>4295</v>
      </c>
      <c r="H80" s="277" t="s">
        <v>1229</v>
      </c>
      <c r="I80" s="282">
        <v>42.0</v>
      </c>
      <c r="J80" s="5" t="s">
        <v>2385</v>
      </c>
      <c r="K80" s="5" t="s">
        <v>188</v>
      </c>
      <c r="L80" s="5" t="s">
        <v>97</v>
      </c>
      <c r="M80" s="5" t="s">
        <v>2312</v>
      </c>
      <c r="N80" s="5" t="s">
        <v>469</v>
      </c>
      <c r="O80" s="5" t="s">
        <v>498</v>
      </c>
      <c r="P80" s="5" t="s">
        <v>142</v>
      </c>
      <c r="Q80" s="5" t="s">
        <v>2391</v>
      </c>
      <c r="R80" s="5" t="s">
        <v>2207</v>
      </c>
      <c r="S80" s="252" t="s">
        <v>2208</v>
      </c>
      <c r="T80" s="5" t="s">
        <v>2873</v>
      </c>
      <c r="U80" s="252" t="s">
        <v>2334</v>
      </c>
      <c r="V80" s="252" t="s">
        <v>2208</v>
      </c>
      <c r="W80" s="252" t="s">
        <v>2338</v>
      </c>
      <c r="X80" s="252" t="s">
        <v>2338</v>
      </c>
      <c r="Y80" s="252" t="s">
        <v>2340</v>
      </c>
      <c r="Z80" s="13" t="s">
        <v>4302</v>
      </c>
      <c r="AA80" s="13" t="s">
        <v>3034</v>
      </c>
      <c r="AB80" s="252" t="s">
        <v>2344</v>
      </c>
      <c r="AC80" s="13"/>
      <c r="AG80" s="283">
        <f t="shared" ref="AG80:AG81" si="6">I80</f>
        <v>42</v>
      </c>
      <c r="AH80" s="244" t="s">
        <v>2876</v>
      </c>
      <c r="AI80" s="254" t="s">
        <v>2877</v>
      </c>
    </row>
    <row r="81" ht="14.25" customHeight="1">
      <c r="A81" s="13" t="s">
        <v>2172</v>
      </c>
      <c r="B81" s="13" t="s">
        <v>1133</v>
      </c>
      <c r="C81" s="13" t="s">
        <v>4309</v>
      </c>
      <c r="D81" s="13" t="s">
        <v>470</v>
      </c>
      <c r="E81" s="13" t="str">
        <f t="array" ref="E81">IFERROR(INDEX(REF_CODES!$B$27:$B$33,MATCH($D81,REF_CODES!$C$27:$C$33,0)),IFERROR(INDEX(REF_CODES!$B$51:$B$55,MATCH($D81,REF_CODES!$C$51:$C$55,0)),""))</f>
        <v>AU-CUL</v>
      </c>
      <c r="F81" s="13" t="s">
        <v>4314</v>
      </c>
      <c r="G81" s="13" t="s">
        <v>4278</v>
      </c>
      <c r="H81" s="277" t="s">
        <v>1229</v>
      </c>
      <c r="I81" s="282">
        <v>42.0</v>
      </c>
      <c r="J81" s="5" t="s">
        <v>2385</v>
      </c>
      <c r="K81" s="5" t="s">
        <v>188</v>
      </c>
      <c r="L81" s="5" t="s">
        <v>97</v>
      </c>
      <c r="M81" s="5" t="s">
        <v>2312</v>
      </c>
      <c r="N81" s="5" t="s">
        <v>469</v>
      </c>
      <c r="O81" s="5" t="s">
        <v>498</v>
      </c>
      <c r="P81" s="5" t="s">
        <v>142</v>
      </c>
      <c r="Q81" s="5" t="s">
        <v>2391</v>
      </c>
      <c r="R81" s="5" t="s">
        <v>2207</v>
      </c>
      <c r="S81" s="252" t="s">
        <v>2208</v>
      </c>
      <c r="T81" s="273" t="s">
        <v>4282</v>
      </c>
      <c r="U81" s="252" t="s">
        <v>2334</v>
      </c>
      <c r="V81" s="252" t="s">
        <v>2208</v>
      </c>
      <c r="W81" s="252" t="s">
        <v>2338</v>
      </c>
      <c r="X81" s="252" t="s">
        <v>2338</v>
      </c>
      <c r="Y81" s="252" t="s">
        <v>2340</v>
      </c>
      <c r="Z81" s="13" t="s">
        <v>4323</v>
      </c>
      <c r="AA81" s="13" t="s">
        <v>3034</v>
      </c>
      <c r="AB81" s="252" t="s">
        <v>2344</v>
      </c>
      <c r="AC81" s="13"/>
      <c r="AG81" s="283">
        <f t="shared" si="6"/>
        <v>42</v>
      </c>
      <c r="AH81" s="244" t="s">
        <v>2398</v>
      </c>
      <c r="AI81" s="254" t="s">
        <v>2399</v>
      </c>
    </row>
    <row r="82" ht="14.25" customHeight="1">
      <c r="A82" s="13" t="s">
        <v>2172</v>
      </c>
      <c r="B82" s="13" t="s">
        <v>1133</v>
      </c>
      <c r="C82" s="13" t="s">
        <v>4324</v>
      </c>
      <c r="D82" s="13" t="s">
        <v>493</v>
      </c>
      <c r="E82" s="13" t="str">
        <f t="array" ref="E82">IFERROR(INDEX(REF_CODES!$B$27:$B$33,MATCH($D82,REF_CODES!$C$27:$C$33,0)),IFERROR(INDEX(REF_CODES!$B$51:$B$55,MATCH($D82,REF_CODES!$C$51:$C$55,0)),""))</f>
        <v>AU-ELI</v>
      </c>
      <c r="F82" s="13" t="s">
        <v>4335</v>
      </c>
      <c r="G82" s="13" t="s">
        <v>4336</v>
      </c>
      <c r="H82" s="277" t="s">
        <v>1229</v>
      </c>
      <c r="I82" s="277">
        <v>255.0</v>
      </c>
      <c r="J82" s="5" t="s">
        <v>2431</v>
      </c>
      <c r="K82" s="5" t="s">
        <v>188</v>
      </c>
      <c r="L82" s="5" t="s">
        <v>90</v>
      </c>
      <c r="M82" s="5" t="s">
        <v>2203</v>
      </c>
      <c r="N82" s="5" t="s">
        <v>469</v>
      </c>
      <c r="O82" s="5" t="s">
        <v>498</v>
      </c>
      <c r="P82" s="5" t="s">
        <v>138</v>
      </c>
      <c r="Q82" s="5" t="s">
        <v>2205</v>
      </c>
      <c r="R82" s="5" t="s">
        <v>2207</v>
      </c>
      <c r="S82" s="252" t="s">
        <v>2208</v>
      </c>
      <c r="T82" s="273" t="s">
        <v>4339</v>
      </c>
      <c r="U82" s="252" t="s">
        <v>2334</v>
      </c>
      <c r="V82" s="252" t="s">
        <v>2208</v>
      </c>
      <c r="W82" s="252" t="s">
        <v>2338</v>
      </c>
      <c r="X82" s="252" t="s">
        <v>2338</v>
      </c>
      <c r="Y82" s="252" t="s">
        <v>2340</v>
      </c>
      <c r="Z82" s="13" t="s">
        <v>4341</v>
      </c>
      <c r="AA82" s="13" t="s">
        <v>4342</v>
      </c>
      <c r="AB82" s="252" t="s">
        <v>2344</v>
      </c>
      <c r="AC82" s="13"/>
      <c r="AG82" s="253" t="s">
        <v>3332</v>
      </c>
      <c r="AH82" s="244" t="s">
        <v>3333</v>
      </c>
      <c r="AI82" s="254" t="s">
        <v>3334</v>
      </c>
    </row>
    <row r="83" ht="14.25" customHeight="1">
      <c r="A83" s="13" t="s">
        <v>2172</v>
      </c>
      <c r="B83" s="13" t="s">
        <v>1133</v>
      </c>
      <c r="C83" s="13" t="s">
        <v>4344</v>
      </c>
      <c r="D83" s="13" t="s">
        <v>493</v>
      </c>
      <c r="E83" s="13" t="str">
        <f t="array" ref="E83">IFERROR(INDEX(REF_CODES!$B$27:$B$33,MATCH($D83,REF_CODES!$C$27:$C$33,0)),IFERROR(INDEX(REF_CODES!$B$51:$B$55,MATCH($D83,REF_CODES!$C$51:$C$55,0)),""))</f>
        <v>AU-ELI</v>
      </c>
      <c r="F83" s="13" t="s">
        <v>4348</v>
      </c>
      <c r="G83" s="13" t="s">
        <v>4336</v>
      </c>
      <c r="H83" s="277" t="s">
        <v>1229</v>
      </c>
      <c r="I83" s="277">
        <v>255.0</v>
      </c>
      <c r="J83" s="5" t="s">
        <v>2431</v>
      </c>
      <c r="K83" s="5" t="s">
        <v>188</v>
      </c>
      <c r="L83" s="5" t="s">
        <v>90</v>
      </c>
      <c r="M83" s="5" t="s">
        <v>2203</v>
      </c>
      <c r="N83" s="5" t="s">
        <v>469</v>
      </c>
      <c r="O83" s="5" t="s">
        <v>498</v>
      </c>
      <c r="P83" s="5" t="s">
        <v>138</v>
      </c>
      <c r="Q83" s="5" t="s">
        <v>2205</v>
      </c>
      <c r="R83" s="5" t="s">
        <v>2207</v>
      </c>
      <c r="S83" s="252" t="s">
        <v>2208</v>
      </c>
      <c r="T83" s="273" t="s">
        <v>4339</v>
      </c>
      <c r="U83" s="252" t="s">
        <v>2334</v>
      </c>
      <c r="V83" s="252" t="s">
        <v>2208</v>
      </c>
      <c r="W83" s="252" t="s">
        <v>2338</v>
      </c>
      <c r="X83" s="252" t="s">
        <v>2338</v>
      </c>
      <c r="Y83" s="252" t="s">
        <v>2340</v>
      </c>
      <c r="Z83" s="13" t="s">
        <v>4354</v>
      </c>
      <c r="AA83" s="13" t="s">
        <v>3034</v>
      </c>
      <c r="AB83" s="252" t="s">
        <v>2344</v>
      </c>
      <c r="AC83" s="13"/>
      <c r="AG83" s="253" t="s">
        <v>3332</v>
      </c>
      <c r="AH83" s="244" t="s">
        <v>3333</v>
      </c>
      <c r="AI83" s="254" t="s">
        <v>3334</v>
      </c>
    </row>
    <row r="84" ht="14.25" customHeight="1">
      <c r="A84" s="13" t="s">
        <v>2172</v>
      </c>
      <c r="B84" s="13" t="s">
        <v>1133</v>
      </c>
      <c r="C84" s="13" t="s">
        <v>4356</v>
      </c>
      <c r="D84" s="13" t="s">
        <v>470</v>
      </c>
      <c r="E84" s="13" t="str">
        <f t="array" ref="E84">IFERROR(INDEX(REF_CODES!$B$27:$B$33,MATCH($D84,REF_CODES!$C$27:$C$33,0)),IFERROR(INDEX(REF_CODES!$B$51:$B$55,MATCH($D84,REF_CODES!$C$51:$C$55,0)),""))</f>
        <v>AU-CUL</v>
      </c>
      <c r="F84" s="13" t="s">
        <v>4361</v>
      </c>
      <c r="G84" s="13" t="s">
        <v>4362</v>
      </c>
      <c r="H84" s="277" t="s">
        <v>1229</v>
      </c>
      <c r="I84" s="282">
        <v>55.0</v>
      </c>
      <c r="J84" s="5" t="s">
        <v>2385</v>
      </c>
      <c r="K84" s="5" t="s">
        <v>188</v>
      </c>
      <c r="L84" s="5" t="s">
        <v>97</v>
      </c>
      <c r="M84" s="5" t="s">
        <v>2312</v>
      </c>
      <c r="N84" s="5" t="s">
        <v>469</v>
      </c>
      <c r="O84" s="5" t="s">
        <v>498</v>
      </c>
      <c r="P84" s="5" t="s">
        <v>142</v>
      </c>
      <c r="Q84" s="5" t="s">
        <v>2391</v>
      </c>
      <c r="R84" s="5" t="s">
        <v>2207</v>
      </c>
      <c r="S84" s="252" t="s">
        <v>2208</v>
      </c>
      <c r="T84" s="273" t="s">
        <v>3058</v>
      </c>
      <c r="U84" s="252" t="s">
        <v>2334</v>
      </c>
      <c r="V84" s="252" t="s">
        <v>2208</v>
      </c>
      <c r="W84" s="252" t="s">
        <v>2338</v>
      </c>
      <c r="X84" s="252" t="s">
        <v>2338</v>
      </c>
      <c r="Y84" s="252" t="s">
        <v>2340</v>
      </c>
      <c r="Z84" s="13" t="s">
        <v>4367</v>
      </c>
      <c r="AA84" s="13" t="s">
        <v>3034</v>
      </c>
      <c r="AB84" s="252" t="s">
        <v>2344</v>
      </c>
      <c r="AC84" s="13"/>
      <c r="AG84" s="283">
        <f t="shared" ref="AG84:AG85" si="7">I84</f>
        <v>55</v>
      </c>
      <c r="AH84" s="244" t="s">
        <v>2398</v>
      </c>
      <c r="AI84" s="254" t="s">
        <v>2399</v>
      </c>
    </row>
    <row r="85" ht="14.25" customHeight="1">
      <c r="A85" s="13" t="s">
        <v>2172</v>
      </c>
      <c r="B85" s="13" t="s">
        <v>1133</v>
      </c>
      <c r="C85" s="13" t="s">
        <v>4372</v>
      </c>
      <c r="D85" s="13" t="s">
        <v>470</v>
      </c>
      <c r="E85" s="13" t="str">
        <f t="array" ref="E85">IFERROR(INDEX(REF_CODES!$B$27:$B$33,MATCH($D85,REF_CODES!$C$27:$C$33,0)),IFERROR(INDEX(REF_CODES!$B$51:$B$55,MATCH($D85,REF_CODES!$C$51:$C$55,0)),""))</f>
        <v>AU-CUL</v>
      </c>
      <c r="F85" s="13" t="s">
        <v>4378</v>
      </c>
      <c r="G85" s="13"/>
      <c r="H85" s="277" t="s">
        <v>1229</v>
      </c>
      <c r="I85" s="282">
        <v>42.0</v>
      </c>
      <c r="J85" s="5" t="s">
        <v>2385</v>
      </c>
      <c r="K85" s="5" t="s">
        <v>188</v>
      </c>
      <c r="L85" s="5" t="s">
        <v>97</v>
      </c>
      <c r="M85" s="5" t="s">
        <v>2312</v>
      </c>
      <c r="N85" s="5" t="s">
        <v>469</v>
      </c>
      <c r="O85" s="5" t="s">
        <v>498</v>
      </c>
      <c r="P85" s="5" t="s">
        <v>142</v>
      </c>
      <c r="Q85" s="5" t="s">
        <v>2391</v>
      </c>
      <c r="R85" s="5" t="s">
        <v>2207</v>
      </c>
      <c r="S85" s="252" t="s">
        <v>2208</v>
      </c>
      <c r="T85" s="273" t="s">
        <v>3058</v>
      </c>
      <c r="U85" s="252" t="s">
        <v>2334</v>
      </c>
      <c r="V85" s="252" t="s">
        <v>2208</v>
      </c>
      <c r="W85" s="252" t="s">
        <v>2338</v>
      </c>
      <c r="X85" s="252" t="s">
        <v>2338</v>
      </c>
      <c r="Y85" s="252" t="s">
        <v>2340</v>
      </c>
      <c r="Z85" s="13" t="s">
        <v>4388</v>
      </c>
      <c r="AA85" s="13" t="s">
        <v>3034</v>
      </c>
      <c r="AB85" s="252" t="s">
        <v>2344</v>
      </c>
      <c r="AC85" s="13"/>
      <c r="AG85" s="283">
        <f t="shared" si="7"/>
        <v>42</v>
      </c>
      <c r="AH85" s="244" t="s">
        <v>2398</v>
      </c>
      <c r="AI85" s="254" t="s">
        <v>2399</v>
      </c>
    </row>
    <row r="86" ht="14.25" customHeight="1">
      <c r="A86" s="13" t="s">
        <v>2172</v>
      </c>
      <c r="B86" s="13" t="s">
        <v>1133</v>
      </c>
      <c r="C86" s="13" t="s">
        <v>4392</v>
      </c>
      <c r="D86" s="13" t="s">
        <v>458</v>
      </c>
      <c r="E86" s="13" t="str">
        <f t="array" ref="E86">IFERROR(INDEX(REF_CODES!$B$27:$B$33,MATCH($D86,REF_CODES!$C$27:$C$33,0)),IFERROR(INDEX(REF_CODES!$B$51:$B$55,MATCH($D86,REF_CODES!$C$51:$C$55,0)),""))</f>
        <v>AU-SPO</v>
      </c>
      <c r="F86" s="13" t="s">
        <v>4401</v>
      </c>
      <c r="G86" s="13" t="s">
        <v>2988</v>
      </c>
      <c r="H86" s="277" t="s">
        <v>2991</v>
      </c>
      <c r="I86" s="278">
        <f>I27</f>
        <v>100</v>
      </c>
      <c r="J86" s="5" t="s">
        <v>2431</v>
      </c>
      <c r="K86" s="5" t="s">
        <v>188</v>
      </c>
      <c r="L86" s="5" t="s">
        <v>110</v>
      </c>
      <c r="M86" s="5" t="s">
        <v>2203</v>
      </c>
      <c r="N86" s="5" t="s">
        <v>469</v>
      </c>
      <c r="O86" s="5" t="s">
        <v>498</v>
      </c>
      <c r="P86" s="5" t="s">
        <v>146</v>
      </c>
      <c r="Q86" s="5" t="s">
        <v>52</v>
      </c>
      <c r="R86" s="5" t="s">
        <v>2207</v>
      </c>
      <c r="S86" s="252" t="s">
        <v>2208</v>
      </c>
      <c r="T86" s="5" t="s">
        <v>3157</v>
      </c>
      <c r="U86" s="252" t="s">
        <v>2334</v>
      </c>
      <c r="V86" s="252" t="s">
        <v>2208</v>
      </c>
      <c r="W86" s="252" t="s">
        <v>2338</v>
      </c>
      <c r="X86" s="252" t="s">
        <v>2338</v>
      </c>
      <c r="Y86" s="252" t="s">
        <v>2340</v>
      </c>
      <c r="Z86" s="13" t="s">
        <v>4413</v>
      </c>
      <c r="AA86" s="13" t="s">
        <v>3034</v>
      </c>
      <c r="AB86" s="252" t="s">
        <v>2344</v>
      </c>
      <c r="AC86" s="13"/>
      <c r="AG86" s="253">
        <v>45.0</v>
      </c>
      <c r="AH86" s="244" t="s">
        <v>2975</v>
      </c>
      <c r="AI86" s="254" t="s">
        <v>2976</v>
      </c>
    </row>
    <row r="87" ht="14.25" customHeight="1">
      <c r="A87" s="13" t="s">
        <v>2172</v>
      </c>
      <c r="B87" s="13" t="s">
        <v>1133</v>
      </c>
      <c r="C87" s="13" t="s">
        <v>4415</v>
      </c>
      <c r="D87" s="13" t="s">
        <v>458</v>
      </c>
      <c r="E87" s="13" t="str">
        <f t="array" ref="E87">IFERROR(INDEX(REF_CODES!$B$27:$B$33,MATCH($D87,REF_CODES!$C$27:$C$33,0)),IFERROR(INDEX(REF_CODES!$B$51:$B$55,MATCH($D87,REF_CODES!$C$51:$C$55,0)),""))</f>
        <v>AU-SPO</v>
      </c>
      <c r="F87" s="13" t="s">
        <v>4427</v>
      </c>
      <c r="G87" s="13" t="s">
        <v>4428</v>
      </c>
      <c r="H87" s="277" t="s">
        <v>1229</v>
      </c>
      <c r="I87" s="282">
        <v>100.0</v>
      </c>
      <c r="J87" s="5" t="s">
        <v>2431</v>
      </c>
      <c r="K87" s="5" t="s">
        <v>188</v>
      </c>
      <c r="L87" s="5" t="s">
        <v>110</v>
      </c>
      <c r="M87" s="5" t="s">
        <v>2203</v>
      </c>
      <c r="N87" s="5" t="s">
        <v>469</v>
      </c>
      <c r="O87" s="5" t="s">
        <v>498</v>
      </c>
      <c r="P87" s="5" t="s">
        <v>146</v>
      </c>
      <c r="Q87" s="5" t="s">
        <v>52</v>
      </c>
      <c r="R87" s="5" t="s">
        <v>2207</v>
      </c>
      <c r="S87" s="252" t="s">
        <v>2208</v>
      </c>
      <c r="T87" s="5" t="s">
        <v>4433</v>
      </c>
      <c r="U87" s="252" t="s">
        <v>2334</v>
      </c>
      <c r="V87" s="252" t="s">
        <v>2208</v>
      </c>
      <c r="W87" s="252" t="s">
        <v>2338</v>
      </c>
      <c r="X87" s="252" t="s">
        <v>2338</v>
      </c>
      <c r="Y87" s="252" t="s">
        <v>2340</v>
      </c>
      <c r="Z87" s="13" t="s">
        <v>4413</v>
      </c>
      <c r="AA87" s="13" t="s">
        <v>3034</v>
      </c>
      <c r="AB87" s="252" t="s">
        <v>2344</v>
      </c>
      <c r="AC87" s="13"/>
      <c r="AG87" s="253">
        <v>45.0</v>
      </c>
      <c r="AH87" s="244" t="s">
        <v>2975</v>
      </c>
      <c r="AI87" s="254" t="s">
        <v>2976</v>
      </c>
    </row>
    <row r="88" ht="14.25" customHeight="1">
      <c r="A88" s="13" t="s">
        <v>2172</v>
      </c>
      <c r="B88" s="13" t="s">
        <v>1133</v>
      </c>
      <c r="C88" s="13" t="s">
        <v>4441</v>
      </c>
      <c r="D88" s="13" t="s">
        <v>458</v>
      </c>
      <c r="E88" s="13" t="str">
        <f t="array" ref="E88">IFERROR(INDEX(REF_CODES!$B$27:$B$33,MATCH($D88,REF_CODES!$C$27:$C$33,0)),IFERROR(INDEX(REF_CODES!$B$51:$B$55,MATCH($D88,REF_CODES!$C$51:$C$55,0)),""))</f>
        <v>AU-SPO</v>
      </c>
      <c r="F88" s="13" t="s">
        <v>4453</v>
      </c>
      <c r="G88" s="13" t="s">
        <v>4454</v>
      </c>
      <c r="H88" s="277" t="s">
        <v>1229</v>
      </c>
      <c r="I88" s="277">
        <v>50.0</v>
      </c>
      <c r="J88" s="5" t="s">
        <v>2431</v>
      </c>
      <c r="K88" s="5" t="s">
        <v>188</v>
      </c>
      <c r="L88" s="5" t="s">
        <v>110</v>
      </c>
      <c r="M88" s="5" t="s">
        <v>2203</v>
      </c>
      <c r="N88" s="5" t="s">
        <v>469</v>
      </c>
      <c r="O88" s="5" t="s">
        <v>498</v>
      </c>
      <c r="P88" s="5" t="s">
        <v>146</v>
      </c>
      <c r="Q88" s="5" t="s">
        <v>52</v>
      </c>
      <c r="R88" s="5" t="s">
        <v>2207</v>
      </c>
      <c r="S88" s="252" t="s">
        <v>2208</v>
      </c>
      <c r="T88" s="273" t="s">
        <v>4460</v>
      </c>
      <c r="U88" s="252" t="s">
        <v>2334</v>
      </c>
      <c r="V88" s="252" t="s">
        <v>2208</v>
      </c>
      <c r="W88" s="252" t="s">
        <v>2338</v>
      </c>
      <c r="X88" s="252" t="s">
        <v>2338</v>
      </c>
      <c r="Y88" s="252" t="s">
        <v>2340</v>
      </c>
      <c r="Z88" s="13" t="s">
        <v>4461</v>
      </c>
      <c r="AA88" s="13" t="s">
        <v>3034</v>
      </c>
      <c r="AB88" s="252" t="s">
        <v>2344</v>
      </c>
      <c r="AC88" s="13"/>
      <c r="AG88" s="253">
        <f>I88</f>
        <v>50</v>
      </c>
      <c r="AH88" s="244" t="s">
        <v>3072</v>
      </c>
      <c r="AI88" s="254" t="s">
        <v>3946</v>
      </c>
    </row>
    <row r="89" ht="14.25" customHeight="1">
      <c r="A89" s="13" t="s">
        <v>2172</v>
      </c>
      <c r="B89" s="13" t="s">
        <v>1133</v>
      </c>
      <c r="C89" s="13" t="s">
        <v>4465</v>
      </c>
      <c r="D89" s="13" t="s">
        <v>425</v>
      </c>
      <c r="E89" s="13" t="str">
        <f t="array" ref="E89">IFERROR(INDEX(REF_CODES!$B$27:$B$33,MATCH($D89,REF_CODES!$C$27:$C$33,0)),IFERROR(INDEX(REF_CODES!$B$51:$B$55,MATCH($D89,REF_CODES!$C$51:$C$55,0)),""))</f>
        <v>AU-EXC</v>
      </c>
      <c r="F89" s="13" t="s">
        <v>4476</v>
      </c>
      <c r="G89" s="13" t="s">
        <v>3629</v>
      </c>
      <c r="H89" s="277" t="s">
        <v>1919</v>
      </c>
      <c r="I89" s="278">
        <f>I51</f>
        <v>90</v>
      </c>
      <c r="J89" s="5" t="s">
        <v>2777</v>
      </c>
      <c r="K89" s="5" t="s">
        <v>188</v>
      </c>
      <c r="L89" s="5" t="s">
        <v>97</v>
      </c>
      <c r="M89" s="5" t="s">
        <v>2312</v>
      </c>
      <c r="N89" s="5" t="s">
        <v>469</v>
      </c>
      <c r="O89" s="5" t="s">
        <v>498</v>
      </c>
      <c r="P89" s="5" t="s">
        <v>142</v>
      </c>
      <c r="Q89" s="5" t="s">
        <v>3156</v>
      </c>
      <c r="R89" s="5" t="s">
        <v>2207</v>
      </c>
      <c r="S89" s="252" t="s">
        <v>2208</v>
      </c>
      <c r="T89" s="273" t="s">
        <v>3636</v>
      </c>
      <c r="U89" s="252" t="s">
        <v>2334</v>
      </c>
      <c r="V89" s="252" t="s">
        <v>2208</v>
      </c>
      <c r="W89" s="252" t="s">
        <v>2338</v>
      </c>
      <c r="X89" s="252" t="s">
        <v>2338</v>
      </c>
      <c r="Y89" s="252" t="s">
        <v>2340</v>
      </c>
      <c r="Z89" s="13" t="s">
        <v>4485</v>
      </c>
      <c r="AA89" s="13" t="s">
        <v>3034</v>
      </c>
      <c r="AB89" s="252" t="s">
        <v>2344</v>
      </c>
      <c r="AC89" s="13"/>
      <c r="AG89" s="253">
        <f t="shared" ref="AG89:AG91" si="8">ROUND(I89*0.5,0)</f>
        <v>45</v>
      </c>
      <c r="AH89" s="244" t="s">
        <v>3162</v>
      </c>
      <c r="AI89" s="254" t="s">
        <v>3164</v>
      </c>
    </row>
    <row r="90" ht="14.25" customHeight="1">
      <c r="A90" s="13" t="s">
        <v>2172</v>
      </c>
      <c r="B90" s="13" t="s">
        <v>1133</v>
      </c>
      <c r="C90" s="13" t="s">
        <v>4488</v>
      </c>
      <c r="D90" s="13" t="s">
        <v>425</v>
      </c>
      <c r="E90" s="13" t="str">
        <f t="array" ref="E90">IFERROR(INDEX(REF_CODES!$B$27:$B$33,MATCH($D90,REF_CODES!$C$27:$C$33,0)),IFERROR(INDEX(REF_CODES!$B$51:$B$55,MATCH($D90,REF_CODES!$C$51:$C$55,0)),""))</f>
        <v>AU-EXC</v>
      </c>
      <c r="F90" s="13" t="s">
        <v>4497</v>
      </c>
      <c r="G90" s="13" t="s">
        <v>4499</v>
      </c>
      <c r="H90" s="277" t="s">
        <v>1229</v>
      </c>
      <c r="I90" s="277">
        <v>30.0</v>
      </c>
      <c r="J90" s="5" t="s">
        <v>2777</v>
      </c>
      <c r="K90" s="5" t="s">
        <v>188</v>
      </c>
      <c r="L90" s="5" t="s">
        <v>97</v>
      </c>
      <c r="M90" s="5" t="s">
        <v>2312</v>
      </c>
      <c r="N90" s="5" t="s">
        <v>469</v>
      </c>
      <c r="O90" s="5" t="s">
        <v>498</v>
      </c>
      <c r="P90" s="5" t="s">
        <v>142</v>
      </c>
      <c r="Q90" s="5" t="s">
        <v>3156</v>
      </c>
      <c r="R90" s="5" t="s">
        <v>2207</v>
      </c>
      <c r="S90" s="252" t="s">
        <v>2208</v>
      </c>
      <c r="T90" s="273" t="s">
        <v>4502</v>
      </c>
      <c r="U90" s="252" t="s">
        <v>2334</v>
      </c>
      <c r="V90" s="252" t="s">
        <v>2208</v>
      </c>
      <c r="W90" s="252" t="s">
        <v>2338</v>
      </c>
      <c r="X90" s="252" t="s">
        <v>2338</v>
      </c>
      <c r="Y90" s="252" t="s">
        <v>2340</v>
      </c>
      <c r="Z90" s="13" t="s">
        <v>4505</v>
      </c>
      <c r="AA90" s="13" t="s">
        <v>3034</v>
      </c>
      <c r="AB90" s="252" t="s">
        <v>2344</v>
      </c>
      <c r="AC90" s="13"/>
      <c r="AG90" s="253">
        <f t="shared" si="8"/>
        <v>15</v>
      </c>
      <c r="AH90" s="244" t="s">
        <v>3162</v>
      </c>
      <c r="AI90" s="254" t="s">
        <v>3164</v>
      </c>
    </row>
    <row r="91" ht="14.25" customHeight="1">
      <c r="A91" s="13" t="s">
        <v>2172</v>
      </c>
      <c r="B91" s="13" t="s">
        <v>1133</v>
      </c>
      <c r="C91" s="13" t="s">
        <v>4508</v>
      </c>
      <c r="D91" s="13" t="s">
        <v>425</v>
      </c>
      <c r="E91" s="13" t="str">
        <f t="array" ref="E91">IFERROR(INDEX(REF_CODES!$B$27:$B$33,MATCH($D91,REF_CODES!$C$27:$C$33,0)),IFERROR(INDEX(REF_CODES!$B$51:$B$55,MATCH($D91,REF_CODES!$C$51:$C$55,0)),""))</f>
        <v>AU-EXC</v>
      </c>
      <c r="F91" s="13" t="s">
        <v>4518</v>
      </c>
      <c r="G91" s="13" t="s">
        <v>4499</v>
      </c>
      <c r="H91" s="277" t="s">
        <v>1229</v>
      </c>
      <c r="I91" s="277">
        <v>25.0</v>
      </c>
      <c r="J91" s="5" t="s">
        <v>2777</v>
      </c>
      <c r="K91" s="5" t="s">
        <v>188</v>
      </c>
      <c r="L91" s="5" t="s">
        <v>97</v>
      </c>
      <c r="M91" s="5" t="s">
        <v>2312</v>
      </c>
      <c r="N91" s="5" t="s">
        <v>469</v>
      </c>
      <c r="O91" s="5" t="s">
        <v>498</v>
      </c>
      <c r="P91" s="5" t="s">
        <v>142</v>
      </c>
      <c r="Q91" s="5" t="s">
        <v>3156</v>
      </c>
      <c r="R91" s="5" t="s">
        <v>2207</v>
      </c>
      <c r="S91" s="252" t="s">
        <v>2208</v>
      </c>
      <c r="T91" s="273" t="s">
        <v>4502</v>
      </c>
      <c r="U91" s="252" t="s">
        <v>2334</v>
      </c>
      <c r="V91" s="252" t="s">
        <v>2208</v>
      </c>
      <c r="W91" s="252" t="s">
        <v>2338</v>
      </c>
      <c r="X91" s="252" t="s">
        <v>2338</v>
      </c>
      <c r="Y91" s="252" t="s">
        <v>2340</v>
      </c>
      <c r="Z91" s="13" t="s">
        <v>4523</v>
      </c>
      <c r="AA91" s="13" t="s">
        <v>3034</v>
      </c>
      <c r="AB91" s="252" t="s">
        <v>2344</v>
      </c>
      <c r="AC91" s="13"/>
      <c r="AG91" s="253">
        <f t="shared" si="8"/>
        <v>13</v>
      </c>
      <c r="AH91" s="244" t="s">
        <v>3162</v>
      </c>
      <c r="AI91" s="254" t="s">
        <v>3164</v>
      </c>
    </row>
    <row r="92" ht="14.25" customHeight="1">
      <c r="A92" s="13" t="s">
        <v>2172</v>
      </c>
      <c r="B92" s="13" t="s">
        <v>1133</v>
      </c>
      <c r="C92" s="13" t="s">
        <v>4529</v>
      </c>
      <c r="D92" s="13" t="s">
        <v>483</v>
      </c>
      <c r="E92" s="13" t="str">
        <f t="array" ref="E92">IFERROR(INDEX(REF_CODES!$B$27:$B$33,MATCH($D92,REF_CODES!$C$27:$C$33,0)),IFERROR(INDEX(REF_CODES!$B$51:$B$55,MATCH($D92,REF_CODES!$C$51:$C$55,0)),""))</f>
        <v>AU-BIE</v>
      </c>
      <c r="F92" s="13" t="s">
        <v>4535</v>
      </c>
      <c r="G92" s="13" t="s">
        <v>2719</v>
      </c>
      <c r="H92" s="277" t="s">
        <v>1229</v>
      </c>
      <c r="I92" s="278">
        <f>I16</f>
        <v>70</v>
      </c>
      <c r="J92" s="5"/>
      <c r="K92" s="5" t="s">
        <v>188</v>
      </c>
      <c r="L92" s="5" t="s">
        <v>97</v>
      </c>
      <c r="M92" s="5" t="s">
        <v>2312</v>
      </c>
      <c r="N92" s="5" t="s">
        <v>469</v>
      </c>
      <c r="O92" s="5" t="s">
        <v>498</v>
      </c>
      <c r="P92" s="5" t="s">
        <v>133</v>
      </c>
      <c r="Q92" s="5" t="s">
        <v>2330</v>
      </c>
      <c r="R92" s="5" t="s">
        <v>2207</v>
      </c>
      <c r="S92" s="252" t="s">
        <v>2208</v>
      </c>
      <c r="T92" s="5" t="s">
        <v>2371</v>
      </c>
      <c r="U92" s="252" t="s">
        <v>2334</v>
      </c>
      <c r="V92" s="252" t="s">
        <v>2208</v>
      </c>
      <c r="W92" s="252" t="s">
        <v>2338</v>
      </c>
      <c r="X92" s="252" t="s">
        <v>2338</v>
      </c>
      <c r="Y92" s="252" t="s">
        <v>2340</v>
      </c>
      <c r="Z92" s="13" t="s">
        <v>4159</v>
      </c>
      <c r="AA92" s="13" t="s">
        <v>4545</v>
      </c>
      <c r="AB92" s="252" t="s">
        <v>2344</v>
      </c>
      <c r="AC92" s="13"/>
      <c r="AG92" s="253" t="s">
        <v>2345</v>
      </c>
      <c r="AH92" s="244" t="s">
        <v>2347</v>
      </c>
      <c r="AI92" s="254" t="s">
        <v>2348</v>
      </c>
    </row>
    <row r="93" ht="14.25" customHeight="1">
      <c r="A93" s="13" t="s">
        <v>2172</v>
      </c>
      <c r="B93" s="13" t="s">
        <v>1133</v>
      </c>
      <c r="C93" s="13" t="s">
        <v>4548</v>
      </c>
      <c r="D93" s="13" t="s">
        <v>483</v>
      </c>
      <c r="E93" s="13" t="str">
        <f t="array" ref="E93">IFERROR(INDEX(REF_CODES!$B$27:$B$33,MATCH($D93,REF_CODES!$C$27:$C$33,0)),IFERROR(INDEX(REF_CODES!$B$51:$B$55,MATCH($D93,REF_CODES!$C$51:$C$55,0)),""))</f>
        <v>AU-BIE</v>
      </c>
      <c r="F93" s="13" t="s">
        <v>4559</v>
      </c>
      <c r="G93" s="13" t="s">
        <v>3882</v>
      </c>
      <c r="H93" s="277" t="s">
        <v>3883</v>
      </c>
      <c r="I93" s="278">
        <f>I60</f>
        <v>160</v>
      </c>
      <c r="J93" s="5"/>
      <c r="K93" s="5" t="s">
        <v>188</v>
      </c>
      <c r="L93" s="5" t="s">
        <v>97</v>
      </c>
      <c r="M93" s="5" t="s">
        <v>2312</v>
      </c>
      <c r="N93" s="5" t="s">
        <v>469</v>
      </c>
      <c r="O93" s="5" t="s">
        <v>498</v>
      </c>
      <c r="P93" s="5" t="s">
        <v>133</v>
      </c>
      <c r="Q93" s="5" t="s">
        <v>2330</v>
      </c>
      <c r="R93" s="5" t="s">
        <v>2207</v>
      </c>
      <c r="S93" s="252" t="s">
        <v>2208</v>
      </c>
      <c r="T93" s="273" t="s">
        <v>3888</v>
      </c>
      <c r="U93" s="252" t="s">
        <v>2334</v>
      </c>
      <c r="V93" s="252" t="s">
        <v>2208</v>
      </c>
      <c r="W93" s="252" t="s">
        <v>2338</v>
      </c>
      <c r="X93" s="252" t="s">
        <v>2338</v>
      </c>
      <c r="Y93" s="252" t="s">
        <v>2340</v>
      </c>
      <c r="Z93" s="13" t="s">
        <v>4569</v>
      </c>
      <c r="AA93" s="13" t="s">
        <v>4571</v>
      </c>
      <c r="AB93" s="252" t="s">
        <v>2344</v>
      </c>
      <c r="AC93" s="13"/>
      <c r="AG93" s="253" t="s">
        <v>2345</v>
      </c>
      <c r="AH93" s="244" t="s">
        <v>2347</v>
      </c>
      <c r="AI93" s="254" t="s">
        <v>2348</v>
      </c>
    </row>
    <row r="94" ht="14.25" customHeight="1">
      <c r="A94" s="13" t="s">
        <v>2172</v>
      </c>
      <c r="B94" s="13" t="s">
        <v>1133</v>
      </c>
      <c r="C94" s="13" t="s">
        <v>4573</v>
      </c>
      <c r="D94" s="13" t="s">
        <v>505</v>
      </c>
      <c r="E94" s="13" t="str">
        <f t="array" ref="E94">IFERROR(INDEX(REF_CODES!$B$27:$B$33,MATCH($D94,REF_CODES!$C$27:$C$33,0)),IFERROR(INDEX(REF_CODES!$B$51:$B$55,MATCH($D94,REF_CODES!$C$51:$C$55,0)),""))</f>
        <v>AU-FES</v>
      </c>
      <c r="F94" s="13" t="s">
        <v>4581</v>
      </c>
      <c r="G94" s="13" t="s">
        <v>4584</v>
      </c>
      <c r="H94" s="277" t="s">
        <v>1229</v>
      </c>
      <c r="I94" s="277">
        <v>80.0</v>
      </c>
      <c r="J94" s="5" t="s">
        <v>2431</v>
      </c>
      <c r="K94" s="5" t="s">
        <v>188</v>
      </c>
      <c r="L94" s="5" t="s">
        <v>110</v>
      </c>
      <c r="M94" s="5" t="s">
        <v>2203</v>
      </c>
      <c r="N94" s="5" t="s">
        <v>469</v>
      </c>
      <c r="O94" s="5" t="s">
        <v>498</v>
      </c>
      <c r="P94" s="5" t="s">
        <v>146</v>
      </c>
      <c r="Q94" s="5" t="s">
        <v>52</v>
      </c>
      <c r="R94" s="5" t="s">
        <v>2207</v>
      </c>
      <c r="S94" s="252" t="s">
        <v>2208</v>
      </c>
      <c r="T94" s="273" t="s">
        <v>4589</v>
      </c>
      <c r="U94" s="252" t="s">
        <v>2334</v>
      </c>
      <c r="V94" s="252" t="s">
        <v>2208</v>
      </c>
      <c r="W94" s="252" t="s">
        <v>2338</v>
      </c>
      <c r="X94" s="252" t="s">
        <v>2338</v>
      </c>
      <c r="Y94" s="252" t="s">
        <v>2340</v>
      </c>
      <c r="Z94" s="13" t="s">
        <v>4591</v>
      </c>
      <c r="AA94" s="13" t="s">
        <v>3034</v>
      </c>
      <c r="AB94" s="252" t="s">
        <v>2344</v>
      </c>
      <c r="AC94" s="13"/>
      <c r="AG94" s="253" t="s">
        <v>2345</v>
      </c>
      <c r="AH94" s="244" t="s">
        <v>3668</v>
      </c>
      <c r="AI94" s="254" t="s">
        <v>3669</v>
      </c>
    </row>
    <row r="95" ht="14.25" customHeight="1">
      <c r="A95" s="13" t="s">
        <v>2172</v>
      </c>
      <c r="B95" s="13" t="s">
        <v>1133</v>
      </c>
      <c r="C95" s="13" t="s">
        <v>4596</v>
      </c>
      <c r="D95" s="13" t="s">
        <v>505</v>
      </c>
      <c r="E95" s="13" t="str">
        <f t="array" ref="E95">IFERROR(INDEX(REF_CODES!$B$27:$B$33,MATCH($D95,REF_CODES!$C$27:$C$33,0)),IFERROR(INDEX(REF_CODES!$B$51:$B$55,MATCH($D95,REF_CODES!$C$51:$C$55,0)),""))</f>
        <v>AU-FES</v>
      </c>
      <c r="F95" s="13" t="s">
        <v>4605</v>
      </c>
      <c r="G95" s="13" t="s">
        <v>4607</v>
      </c>
      <c r="H95" s="277" t="s">
        <v>1229</v>
      </c>
      <c r="I95" s="277">
        <v>80.0</v>
      </c>
      <c r="J95" s="5" t="s">
        <v>2431</v>
      </c>
      <c r="K95" s="5" t="s">
        <v>188</v>
      </c>
      <c r="L95" s="5" t="s">
        <v>110</v>
      </c>
      <c r="M95" s="5" t="s">
        <v>2203</v>
      </c>
      <c r="N95" s="5" t="s">
        <v>469</v>
      </c>
      <c r="O95" s="5" t="s">
        <v>498</v>
      </c>
      <c r="P95" s="5" t="s">
        <v>146</v>
      </c>
      <c r="Q95" s="5" t="s">
        <v>52</v>
      </c>
      <c r="R95" s="5" t="s">
        <v>2207</v>
      </c>
      <c r="S95" s="252" t="s">
        <v>2208</v>
      </c>
      <c r="T95" s="273" t="s">
        <v>4611</v>
      </c>
      <c r="U95" s="252" t="s">
        <v>2334</v>
      </c>
      <c r="V95" s="252" t="s">
        <v>2208</v>
      </c>
      <c r="W95" s="252" t="s">
        <v>2338</v>
      </c>
      <c r="X95" s="252" t="s">
        <v>2338</v>
      </c>
      <c r="Y95" s="252" t="s">
        <v>2340</v>
      </c>
      <c r="Z95" s="13" t="s">
        <v>3618</v>
      </c>
      <c r="AA95" s="13" t="s">
        <v>3034</v>
      </c>
      <c r="AB95" s="252" t="s">
        <v>2344</v>
      </c>
      <c r="AC95" s="13"/>
      <c r="AG95" s="253" t="s">
        <v>2345</v>
      </c>
      <c r="AH95" s="244" t="s">
        <v>3668</v>
      </c>
      <c r="AI95" s="254" t="s">
        <v>3669</v>
      </c>
    </row>
    <row r="96" ht="14.25" customHeight="1">
      <c r="A96" s="13" t="s">
        <v>2172</v>
      </c>
      <c r="B96" s="13" t="s">
        <v>1133</v>
      </c>
      <c r="C96" s="13" t="s">
        <v>4621</v>
      </c>
      <c r="D96" s="13" t="s">
        <v>505</v>
      </c>
      <c r="E96" s="13" t="str">
        <f t="array" ref="E96">IFERROR(INDEX(REF_CODES!$B$27:$B$33,MATCH($D96,REF_CODES!$C$27:$C$33,0)),IFERROR(INDEX(REF_CODES!$B$51:$B$55,MATCH($D96,REF_CODES!$C$51:$C$55,0)),""))</f>
        <v>AU-FES</v>
      </c>
      <c r="F96" s="13" t="s">
        <v>4632</v>
      </c>
      <c r="G96" s="13" t="s">
        <v>4633</v>
      </c>
      <c r="H96" s="277" t="s">
        <v>1229</v>
      </c>
      <c r="I96" s="277">
        <v>80.0</v>
      </c>
      <c r="J96" s="5" t="s">
        <v>2431</v>
      </c>
      <c r="K96" s="5" t="s">
        <v>188</v>
      </c>
      <c r="L96" s="5" t="s">
        <v>110</v>
      </c>
      <c r="M96" s="5" t="s">
        <v>2203</v>
      </c>
      <c r="N96" s="5" t="s">
        <v>469</v>
      </c>
      <c r="O96" s="5" t="s">
        <v>498</v>
      </c>
      <c r="P96" s="5" t="s">
        <v>146</v>
      </c>
      <c r="Q96" s="5" t="s">
        <v>52</v>
      </c>
      <c r="R96" s="5" t="s">
        <v>2207</v>
      </c>
      <c r="S96" s="252" t="s">
        <v>2208</v>
      </c>
      <c r="T96" s="273" t="s">
        <v>4637</v>
      </c>
      <c r="U96" s="252" t="s">
        <v>2334</v>
      </c>
      <c r="V96" s="252" t="s">
        <v>2208</v>
      </c>
      <c r="W96" s="252" t="s">
        <v>2338</v>
      </c>
      <c r="X96" s="252" t="s">
        <v>2338</v>
      </c>
      <c r="Y96" s="252" t="s">
        <v>2340</v>
      </c>
      <c r="Z96" s="13" t="s">
        <v>4640</v>
      </c>
      <c r="AA96" s="13" t="s">
        <v>3034</v>
      </c>
      <c r="AB96" s="252" t="s">
        <v>2344</v>
      </c>
      <c r="AC96" s="13"/>
      <c r="AG96" s="253" t="s">
        <v>2345</v>
      </c>
      <c r="AH96" s="244" t="s">
        <v>3668</v>
      </c>
      <c r="AI96" s="254" t="s">
        <v>3669</v>
      </c>
    </row>
    <row r="97" ht="14.25" customHeight="1">
      <c r="A97" s="13" t="s">
        <v>2172</v>
      </c>
      <c r="B97" s="13" t="s">
        <v>1133</v>
      </c>
      <c r="C97" s="13" t="s">
        <v>4642</v>
      </c>
      <c r="D97" s="13" t="s">
        <v>505</v>
      </c>
      <c r="E97" s="13" t="str">
        <f t="array" ref="E97">IFERROR(INDEX(REF_CODES!$B$27:$B$33,MATCH($D97,REF_CODES!$C$27:$C$33,0)),IFERROR(INDEX(REF_CODES!$B$51:$B$55,MATCH($D97,REF_CODES!$C$51:$C$55,0)),""))</f>
        <v>AU-FES</v>
      </c>
      <c r="F97" s="13" t="s">
        <v>4652</v>
      </c>
      <c r="G97" s="13" t="s">
        <v>3616</v>
      </c>
      <c r="H97" s="277" t="s">
        <v>1229</v>
      </c>
      <c r="I97" s="277">
        <v>80.0</v>
      </c>
      <c r="J97" s="5" t="s">
        <v>2431</v>
      </c>
      <c r="K97" s="5" t="s">
        <v>188</v>
      </c>
      <c r="L97" s="5" t="s">
        <v>110</v>
      </c>
      <c r="M97" s="5" t="s">
        <v>2203</v>
      </c>
      <c r="N97" s="5" t="s">
        <v>469</v>
      </c>
      <c r="O97" s="5" t="s">
        <v>498</v>
      </c>
      <c r="P97" s="5" t="s">
        <v>146</v>
      </c>
      <c r="Q97" s="5" t="s">
        <v>52</v>
      </c>
      <c r="R97" s="5" t="s">
        <v>2207</v>
      </c>
      <c r="S97" s="252" t="s">
        <v>2208</v>
      </c>
      <c r="T97" s="273" t="s">
        <v>4654</v>
      </c>
      <c r="U97" s="252" t="s">
        <v>2334</v>
      </c>
      <c r="V97" s="252" t="s">
        <v>2208</v>
      </c>
      <c r="W97" s="252" t="s">
        <v>2338</v>
      </c>
      <c r="X97" s="252" t="s">
        <v>2338</v>
      </c>
      <c r="Y97" s="252" t="s">
        <v>2340</v>
      </c>
      <c r="Z97" s="13" t="s">
        <v>3618</v>
      </c>
      <c r="AA97" s="13" t="s">
        <v>3034</v>
      </c>
      <c r="AB97" s="252" t="s">
        <v>2344</v>
      </c>
      <c r="AC97" s="13"/>
      <c r="AG97" s="253" t="s">
        <v>2345</v>
      </c>
      <c r="AH97" s="244" t="s">
        <v>3668</v>
      </c>
      <c r="AI97" s="254" t="s">
        <v>3669</v>
      </c>
    </row>
    <row r="98" ht="14.25" customHeight="1">
      <c r="A98" s="13" t="s">
        <v>2172</v>
      </c>
      <c r="B98" s="13" t="s">
        <v>1133</v>
      </c>
      <c r="C98" s="13" t="s">
        <v>4659</v>
      </c>
      <c r="D98" s="13" t="s">
        <v>505</v>
      </c>
      <c r="E98" s="13" t="str">
        <f t="array" ref="E98">IFERROR(INDEX(REF_CODES!$B$27:$B$33,MATCH($D98,REF_CODES!$C$27:$C$33,0)),IFERROR(INDEX(REF_CODES!$B$51:$B$55,MATCH($D98,REF_CODES!$C$51:$C$55,0)),""))</f>
        <v>AU-FES</v>
      </c>
      <c r="F98" s="13" t="s">
        <v>4665</v>
      </c>
      <c r="G98" s="13" t="s">
        <v>4666</v>
      </c>
      <c r="H98" s="277" t="s">
        <v>1229</v>
      </c>
      <c r="I98" s="277">
        <v>80.0</v>
      </c>
      <c r="J98" s="5" t="s">
        <v>2431</v>
      </c>
      <c r="K98" s="5" t="s">
        <v>188</v>
      </c>
      <c r="L98" s="5" t="s">
        <v>110</v>
      </c>
      <c r="M98" s="5" t="s">
        <v>2203</v>
      </c>
      <c r="N98" s="5" t="s">
        <v>469</v>
      </c>
      <c r="O98" s="5" t="s">
        <v>498</v>
      </c>
      <c r="P98" s="5" t="s">
        <v>146</v>
      </c>
      <c r="Q98" s="5" t="s">
        <v>52</v>
      </c>
      <c r="R98" s="5" t="s">
        <v>2207</v>
      </c>
      <c r="S98" s="252" t="s">
        <v>2208</v>
      </c>
      <c r="T98" s="273" t="s">
        <v>3268</v>
      </c>
      <c r="U98" s="252" t="s">
        <v>2334</v>
      </c>
      <c r="V98" s="252" t="s">
        <v>2208</v>
      </c>
      <c r="W98" s="252" t="s">
        <v>2338</v>
      </c>
      <c r="X98" s="252" t="s">
        <v>2338</v>
      </c>
      <c r="Y98" s="252" t="s">
        <v>2340</v>
      </c>
      <c r="Z98" s="13" t="s">
        <v>4591</v>
      </c>
      <c r="AA98" s="13" t="s">
        <v>3034</v>
      </c>
      <c r="AB98" s="252" t="s">
        <v>2344</v>
      </c>
      <c r="AC98" s="13"/>
      <c r="AG98" s="253" t="s">
        <v>2345</v>
      </c>
      <c r="AH98" s="244" t="s">
        <v>3668</v>
      </c>
      <c r="AI98" s="254" t="s">
        <v>3669</v>
      </c>
    </row>
    <row r="99" ht="14.25" customHeight="1">
      <c r="A99" s="13" t="s">
        <v>2172</v>
      </c>
      <c r="B99" s="13" t="s">
        <v>1133</v>
      </c>
      <c r="C99" s="13" t="s">
        <v>4676</v>
      </c>
      <c r="D99" s="13" t="s">
        <v>907</v>
      </c>
      <c r="E99" s="13" t="str">
        <f t="array" ref="E99">IFERROR(INDEX(REF_CODES!$B$27:$B$33,MATCH($D99,REF_CODES!$C$27:$C$33,0)),IFERROR(INDEX(REF_CODES!$B$51:$B$55,MATCH($D99,REF_CODES!$C$51:$C$55,0)),""))</f>
        <v>AK-SER</v>
      </c>
      <c r="F99" s="13" t="s">
        <v>4682</v>
      </c>
      <c r="G99" s="273" t="s">
        <v>4683</v>
      </c>
      <c r="H99" s="13" t="s">
        <v>4684</v>
      </c>
      <c r="I99" s="5">
        <v>100.0</v>
      </c>
      <c r="J99" s="5" t="s">
        <v>4685</v>
      </c>
      <c r="K99" s="5" t="s">
        <v>188</v>
      </c>
      <c r="L99" s="5" t="s">
        <v>110</v>
      </c>
      <c r="M99" s="5" t="s">
        <v>2203</v>
      </c>
      <c r="N99" s="5" t="s">
        <v>469</v>
      </c>
      <c r="O99" s="5" t="s">
        <v>498</v>
      </c>
      <c r="P99" s="5" t="s">
        <v>146</v>
      </c>
      <c r="Q99" s="5" t="s">
        <v>52</v>
      </c>
      <c r="R99" s="5" t="s">
        <v>2207</v>
      </c>
      <c r="S99" s="252" t="s">
        <v>2208</v>
      </c>
      <c r="T99" s="273" t="s">
        <v>4042</v>
      </c>
      <c r="U99" s="252" t="s">
        <v>2334</v>
      </c>
      <c r="V99" s="252" t="s">
        <v>2208</v>
      </c>
      <c r="W99" s="252" t="s">
        <v>2338</v>
      </c>
      <c r="X99" s="252" t="s">
        <v>2338</v>
      </c>
      <c r="Y99" s="252" t="s">
        <v>2340</v>
      </c>
      <c r="Z99" s="5" t="s">
        <v>2342</v>
      </c>
      <c r="AA99" s="5" t="s">
        <v>1229</v>
      </c>
      <c r="AB99" s="252" t="s">
        <v>2344</v>
      </c>
      <c r="AC99" s="13"/>
      <c r="AG99" s="253" t="s">
        <v>4691</v>
      </c>
      <c r="AH99" s="244" t="s">
        <v>4692</v>
      </c>
      <c r="AI99" s="254" t="s">
        <v>4694</v>
      </c>
    </row>
    <row r="100" ht="14.25" customHeight="1">
      <c r="A100" s="13" t="s">
        <v>2172</v>
      </c>
      <c r="B100" s="13" t="s">
        <v>1133</v>
      </c>
      <c r="C100" s="13" t="s">
        <v>4696</v>
      </c>
      <c r="D100" s="13" t="s">
        <v>505</v>
      </c>
      <c r="E100" s="13" t="str">
        <f t="array" ref="E100">IFERROR(INDEX(REF_CODES!$B$27:$B$33,MATCH($D100,REF_CODES!$C$27:$C$33,0)),IFERROR(INDEX(REF_CODES!$B$51:$B$55,MATCH($D100,REF_CODES!$C$51:$C$55,0)),""))</f>
        <v>AU-FES</v>
      </c>
      <c r="F100" s="13" t="s">
        <v>4117</v>
      </c>
      <c r="G100" s="5" t="s">
        <v>2379</v>
      </c>
      <c r="H100" s="13" t="s">
        <v>3139</v>
      </c>
      <c r="I100" s="5">
        <v>80.0</v>
      </c>
      <c r="J100" s="5" t="s">
        <v>2431</v>
      </c>
      <c r="K100" s="5" t="s">
        <v>188</v>
      </c>
      <c r="L100" s="5" t="s">
        <v>110</v>
      </c>
      <c r="M100" s="5" t="s">
        <v>2203</v>
      </c>
      <c r="N100" s="5" t="s">
        <v>469</v>
      </c>
      <c r="O100" s="5" t="s">
        <v>498</v>
      </c>
      <c r="P100" s="5" t="s">
        <v>146</v>
      </c>
      <c r="Q100" s="5" t="s">
        <v>52</v>
      </c>
      <c r="R100" s="5" t="s">
        <v>2207</v>
      </c>
      <c r="S100" s="252" t="s">
        <v>2208</v>
      </c>
      <c r="T100" s="273" t="s">
        <v>4719</v>
      </c>
      <c r="U100" s="252" t="s">
        <v>2334</v>
      </c>
      <c r="V100" s="252" t="s">
        <v>2208</v>
      </c>
      <c r="W100" s="252" t="s">
        <v>2338</v>
      </c>
      <c r="X100" s="252" t="s">
        <v>2338</v>
      </c>
      <c r="Y100" s="252" t="s">
        <v>2340</v>
      </c>
      <c r="Z100" s="5" t="s">
        <v>2342</v>
      </c>
      <c r="AA100" s="5" t="s">
        <v>1229</v>
      </c>
      <c r="AB100" s="252" t="s">
        <v>2344</v>
      </c>
      <c r="AC100" s="13"/>
      <c r="AG100" s="253" t="s">
        <v>2345</v>
      </c>
      <c r="AH100" s="244" t="s">
        <v>3668</v>
      </c>
      <c r="AI100" s="254" t="s">
        <v>3669</v>
      </c>
    </row>
    <row r="101" ht="14.25" customHeight="1">
      <c r="A101" s="261" t="s">
        <v>2172</v>
      </c>
      <c r="B101" s="261" t="s">
        <v>1133</v>
      </c>
      <c r="C101" s="261" t="s">
        <v>4728</v>
      </c>
      <c r="D101" s="13" t="s">
        <v>860</v>
      </c>
      <c r="E101" s="13" t="str">
        <f t="array" ref="E101">IFERROR(INDEX(REF_CODES!$B$27:$B$33,MATCH($D101,REF_CODES!$C$27:$C$33,0)),IFERROR(INDEX(REF_CODES!$B$51:$B$55,MATCH($D101,REF_CODES!$C$51:$C$55,0)),""))</f>
        <v>AK-CRE</v>
      </c>
      <c r="F101" s="261" t="s">
        <v>4740</v>
      </c>
      <c r="G101" s="261" t="s">
        <v>4740</v>
      </c>
      <c r="H101" s="261" t="s">
        <v>4743</v>
      </c>
      <c r="I101" s="261">
        <v>30.0</v>
      </c>
      <c r="J101" s="261" t="s">
        <v>4745</v>
      </c>
      <c r="K101" s="261" t="s">
        <v>188</v>
      </c>
      <c r="L101" s="261" t="s">
        <v>126</v>
      </c>
      <c r="M101" s="261" t="s">
        <v>2312</v>
      </c>
      <c r="N101" s="261" t="s">
        <v>469</v>
      </c>
      <c r="O101" s="261" t="s">
        <v>503</v>
      </c>
      <c r="P101" s="261" t="s">
        <v>142</v>
      </c>
      <c r="Q101" s="261" t="s">
        <v>43</v>
      </c>
      <c r="R101" s="261" t="s">
        <v>207</v>
      </c>
      <c r="AA101" s="13"/>
      <c r="AC101" s="13"/>
      <c r="AG101" s="253">
        <f t="shared" ref="AG101:AG110" si="9">I101</f>
        <v>30</v>
      </c>
      <c r="AH101" s="244" t="s">
        <v>4757</v>
      </c>
      <c r="AI101" s="254" t="s">
        <v>4759</v>
      </c>
    </row>
    <row r="102" ht="14.25" customHeight="1">
      <c r="A102" s="261" t="s">
        <v>2172</v>
      </c>
      <c r="B102" s="261" t="s">
        <v>1133</v>
      </c>
      <c r="C102" s="261" t="s">
        <v>4761</v>
      </c>
      <c r="D102" s="13" t="s">
        <v>860</v>
      </c>
      <c r="E102" s="13" t="str">
        <f t="array" ref="E102">IFERROR(INDEX(REF_CODES!$B$27:$B$33,MATCH($D102,REF_CODES!$C$27:$C$33,0)),IFERROR(INDEX(REF_CODES!$B$51:$B$55,MATCH($D102,REF_CODES!$C$51:$C$55,0)),""))</f>
        <v>AK-CRE</v>
      </c>
      <c r="F102" s="261" t="s">
        <v>4774</v>
      </c>
      <c r="G102" s="261" t="s">
        <v>4774</v>
      </c>
      <c r="H102" s="261" t="s">
        <v>4776</v>
      </c>
      <c r="I102" s="261">
        <v>35.0</v>
      </c>
      <c r="J102" s="261" t="s">
        <v>4745</v>
      </c>
      <c r="K102" s="261" t="s">
        <v>188</v>
      </c>
      <c r="L102" s="261" t="s">
        <v>126</v>
      </c>
      <c r="M102" s="261" t="s">
        <v>2312</v>
      </c>
      <c r="N102" s="261" t="s">
        <v>469</v>
      </c>
      <c r="O102" s="261" t="s">
        <v>503</v>
      </c>
      <c r="P102" s="261" t="s">
        <v>142</v>
      </c>
      <c r="Q102" s="261" t="s">
        <v>43</v>
      </c>
      <c r="R102" s="261" t="s">
        <v>207</v>
      </c>
      <c r="AA102" s="13"/>
      <c r="AC102" s="13"/>
      <c r="AG102" s="253">
        <f t="shared" si="9"/>
        <v>35</v>
      </c>
      <c r="AH102" s="244" t="s">
        <v>4757</v>
      </c>
      <c r="AI102" s="254" t="s">
        <v>4759</v>
      </c>
    </row>
    <row r="103" ht="14.25" customHeight="1">
      <c r="A103" s="261" t="s">
        <v>2172</v>
      </c>
      <c r="B103" s="261" t="s">
        <v>1133</v>
      </c>
      <c r="C103" s="261" t="s">
        <v>4784</v>
      </c>
      <c r="D103" s="13" t="s">
        <v>860</v>
      </c>
      <c r="E103" s="13" t="str">
        <f t="array" ref="E103">IFERROR(INDEX(REF_CODES!$B$27:$B$33,MATCH($D103,REF_CODES!$C$27:$C$33,0)),IFERROR(INDEX(REF_CODES!$B$51:$B$55,MATCH($D103,REF_CODES!$C$51:$C$55,0)),""))</f>
        <v>AK-CRE</v>
      </c>
      <c r="F103" s="261" t="s">
        <v>4795</v>
      </c>
      <c r="G103" s="261" t="s">
        <v>4798</v>
      </c>
      <c r="H103" s="261" t="s">
        <v>4799</v>
      </c>
      <c r="I103" s="261">
        <v>40.0</v>
      </c>
      <c r="J103" s="261" t="s">
        <v>4745</v>
      </c>
      <c r="K103" s="261" t="s">
        <v>188</v>
      </c>
      <c r="L103" s="261" t="s">
        <v>126</v>
      </c>
      <c r="M103" s="261" t="s">
        <v>2312</v>
      </c>
      <c r="N103" s="261" t="s">
        <v>469</v>
      </c>
      <c r="O103" s="261" t="s">
        <v>503</v>
      </c>
      <c r="P103" s="261" t="s">
        <v>142</v>
      </c>
      <c r="Q103" s="261" t="s">
        <v>43</v>
      </c>
      <c r="R103" s="261" t="s">
        <v>207</v>
      </c>
      <c r="AA103" s="13"/>
      <c r="AC103" s="13"/>
      <c r="AG103" s="253">
        <f t="shared" si="9"/>
        <v>40</v>
      </c>
      <c r="AH103" s="244" t="s">
        <v>4757</v>
      </c>
      <c r="AI103" s="254" t="s">
        <v>4759</v>
      </c>
    </row>
    <row r="104" ht="14.25" customHeight="1">
      <c r="A104" s="261" t="s">
        <v>2172</v>
      </c>
      <c r="B104" s="261" t="s">
        <v>1133</v>
      </c>
      <c r="C104" s="261" t="s">
        <v>4804</v>
      </c>
      <c r="D104" s="13" t="s">
        <v>860</v>
      </c>
      <c r="E104" s="13" t="str">
        <f t="array" ref="E104">IFERROR(INDEX(REF_CODES!$B$27:$B$33,MATCH($D104,REF_CODES!$C$27:$C$33,0)),IFERROR(INDEX(REF_CODES!$B$51:$B$55,MATCH($D104,REF_CODES!$C$51:$C$55,0)),""))</f>
        <v>AK-CRE</v>
      </c>
      <c r="F104" s="261" t="s">
        <v>4811</v>
      </c>
      <c r="G104" s="261" t="s">
        <v>4812</v>
      </c>
      <c r="H104" s="261" t="s">
        <v>3102</v>
      </c>
      <c r="I104" s="261">
        <v>30.0</v>
      </c>
      <c r="J104" s="261" t="s">
        <v>4745</v>
      </c>
      <c r="K104" s="261" t="s">
        <v>188</v>
      </c>
      <c r="L104" s="261" t="s">
        <v>126</v>
      </c>
      <c r="M104" s="261" t="s">
        <v>2312</v>
      </c>
      <c r="N104" s="261" t="s">
        <v>463</v>
      </c>
      <c r="O104" s="261" t="s">
        <v>503</v>
      </c>
      <c r="P104" s="261" t="s">
        <v>142</v>
      </c>
      <c r="Q104" s="261" t="s">
        <v>43</v>
      </c>
      <c r="R104" s="261" t="s">
        <v>207</v>
      </c>
      <c r="AA104" s="13"/>
      <c r="AC104" s="13"/>
      <c r="AG104" s="253">
        <f t="shared" si="9"/>
        <v>30</v>
      </c>
      <c r="AH104" s="244" t="s">
        <v>4757</v>
      </c>
      <c r="AI104" s="254" t="s">
        <v>4759</v>
      </c>
    </row>
    <row r="105" ht="14.25" customHeight="1">
      <c r="A105" s="261" t="s">
        <v>2172</v>
      </c>
      <c r="B105" s="261" t="s">
        <v>1133</v>
      </c>
      <c r="C105" s="261" t="s">
        <v>4822</v>
      </c>
      <c r="D105" s="13" t="s">
        <v>860</v>
      </c>
      <c r="E105" s="13" t="str">
        <f t="array" ref="E105">IFERROR(INDEX(REF_CODES!$B$27:$B$33,MATCH($D105,REF_CODES!$C$27:$C$33,0)),IFERROR(INDEX(REF_CODES!$B$51:$B$55,MATCH($D105,REF_CODES!$C$51:$C$55,0)),""))</f>
        <v>AK-CRE</v>
      </c>
      <c r="F105" s="261" t="s">
        <v>4828</v>
      </c>
      <c r="G105" s="261" t="s">
        <v>4829</v>
      </c>
      <c r="H105" s="261" t="s">
        <v>4830</v>
      </c>
      <c r="I105" s="281">
        <v>12.0</v>
      </c>
      <c r="J105" s="261" t="s">
        <v>4745</v>
      </c>
      <c r="K105" s="261" t="s">
        <v>188</v>
      </c>
      <c r="L105" s="261" t="s">
        <v>126</v>
      </c>
      <c r="M105" s="261" t="s">
        <v>2312</v>
      </c>
      <c r="N105" s="261" t="s">
        <v>477</v>
      </c>
      <c r="O105" s="261" t="s">
        <v>503</v>
      </c>
      <c r="P105" s="261" t="s">
        <v>142</v>
      </c>
      <c r="Q105" s="261" t="s">
        <v>43</v>
      </c>
      <c r="R105" s="261" t="s">
        <v>207</v>
      </c>
      <c r="T105" s="275" t="s">
        <v>4831</v>
      </c>
      <c r="AA105" s="13"/>
      <c r="AC105" s="13"/>
      <c r="AG105" s="253">
        <f t="shared" si="9"/>
        <v>12</v>
      </c>
      <c r="AH105" s="244" t="s">
        <v>4757</v>
      </c>
      <c r="AI105" s="254" t="s">
        <v>4759</v>
      </c>
    </row>
    <row r="106" ht="14.25" customHeight="1">
      <c r="A106" s="261" t="s">
        <v>2172</v>
      </c>
      <c r="B106" s="261" t="s">
        <v>1133</v>
      </c>
      <c r="C106" s="261" t="s">
        <v>4842</v>
      </c>
      <c r="D106" s="13" t="s">
        <v>860</v>
      </c>
      <c r="E106" s="13" t="str">
        <f t="array" ref="E106">IFERROR(INDEX(REF_CODES!$B$27:$B$33,MATCH($D106,REF_CODES!$C$27:$C$33,0)),IFERROR(INDEX(REF_CODES!$B$51:$B$55,MATCH($D106,REF_CODES!$C$51:$C$55,0)),""))</f>
        <v>AK-CRE</v>
      </c>
      <c r="F106" s="261" t="s">
        <v>4845</v>
      </c>
      <c r="G106" s="261" t="s">
        <v>4847</v>
      </c>
      <c r="H106" s="261" t="s">
        <v>4848</v>
      </c>
      <c r="I106" s="261">
        <v>15.0</v>
      </c>
      <c r="J106" s="261" t="s">
        <v>4849</v>
      </c>
      <c r="K106" s="261" t="s">
        <v>188</v>
      </c>
      <c r="L106" s="261" t="s">
        <v>126</v>
      </c>
      <c r="M106" s="261" t="s">
        <v>2312</v>
      </c>
      <c r="N106" s="261" t="s">
        <v>463</v>
      </c>
      <c r="O106" s="261" t="s">
        <v>503</v>
      </c>
      <c r="P106" s="261" t="s">
        <v>142</v>
      </c>
      <c r="Q106" s="261" t="s">
        <v>43</v>
      </c>
      <c r="R106" s="261" t="s">
        <v>207</v>
      </c>
      <c r="AA106" s="13"/>
      <c r="AC106" s="13"/>
      <c r="AG106" s="253">
        <f t="shared" si="9"/>
        <v>15</v>
      </c>
      <c r="AH106" s="244" t="s">
        <v>4757</v>
      </c>
      <c r="AI106" s="254" t="s">
        <v>4759</v>
      </c>
    </row>
    <row r="107" ht="14.25" customHeight="1">
      <c r="A107" s="261" t="s">
        <v>2172</v>
      </c>
      <c r="B107" s="261" t="s">
        <v>1133</v>
      </c>
      <c r="C107" s="261" t="s">
        <v>4854</v>
      </c>
      <c r="D107" s="13" t="s">
        <v>860</v>
      </c>
      <c r="E107" s="13" t="str">
        <f t="array" ref="E107">IFERROR(INDEX(REF_CODES!$B$27:$B$33,MATCH($D107,REF_CODES!$C$27:$C$33,0)),IFERROR(INDEX(REF_CODES!$B$51:$B$55,MATCH($D107,REF_CODES!$C$51:$C$55,0)),""))</f>
        <v>AK-CRE</v>
      </c>
      <c r="F107" s="261" t="s">
        <v>4860</v>
      </c>
      <c r="G107" s="261" t="s">
        <v>4860</v>
      </c>
      <c r="H107" s="261" t="s">
        <v>4862</v>
      </c>
      <c r="I107" s="261">
        <v>15.0</v>
      </c>
      <c r="J107" s="261" t="s">
        <v>4849</v>
      </c>
      <c r="K107" s="261" t="s">
        <v>188</v>
      </c>
      <c r="L107" s="261" t="s">
        <v>126</v>
      </c>
      <c r="M107" s="261" t="s">
        <v>2312</v>
      </c>
      <c r="N107" s="261" t="s">
        <v>463</v>
      </c>
      <c r="O107" s="261" t="s">
        <v>503</v>
      </c>
      <c r="P107" s="261" t="s">
        <v>142</v>
      </c>
      <c r="Q107" s="261" t="s">
        <v>43</v>
      </c>
      <c r="R107" s="261" t="s">
        <v>207</v>
      </c>
      <c r="AA107" s="13"/>
      <c r="AC107" s="13"/>
      <c r="AG107" s="253">
        <f t="shared" si="9"/>
        <v>15</v>
      </c>
      <c r="AH107" s="244" t="s">
        <v>4757</v>
      </c>
      <c r="AI107" s="254" t="s">
        <v>4759</v>
      </c>
    </row>
    <row r="108" ht="14.25" customHeight="1">
      <c r="A108" s="261" t="s">
        <v>2172</v>
      </c>
      <c r="B108" s="261" t="s">
        <v>1133</v>
      </c>
      <c r="C108" s="261" t="s">
        <v>4869</v>
      </c>
      <c r="D108" s="13" t="s">
        <v>860</v>
      </c>
      <c r="E108" s="13" t="str">
        <f t="array" ref="E108">IFERROR(INDEX(REF_CODES!$B$27:$B$33,MATCH($D108,REF_CODES!$C$27:$C$33,0)),IFERROR(INDEX(REF_CODES!$B$51:$B$55,MATCH($D108,REF_CODES!$C$51:$C$55,0)),""))</f>
        <v>AK-CRE</v>
      </c>
      <c r="F108" s="261" t="s">
        <v>4874</v>
      </c>
      <c r="G108" s="261" t="s">
        <v>4874</v>
      </c>
      <c r="H108" s="261" t="s">
        <v>2519</v>
      </c>
      <c r="I108" s="261">
        <v>20.0</v>
      </c>
      <c r="J108" s="261" t="s">
        <v>4849</v>
      </c>
      <c r="K108" s="261" t="s">
        <v>188</v>
      </c>
      <c r="L108" s="261" t="s">
        <v>126</v>
      </c>
      <c r="M108" s="261" t="s">
        <v>2312</v>
      </c>
      <c r="N108" s="261" t="s">
        <v>469</v>
      </c>
      <c r="O108" s="261" t="s">
        <v>503</v>
      </c>
      <c r="P108" s="261" t="s">
        <v>142</v>
      </c>
      <c r="Q108" s="261" t="s">
        <v>43</v>
      </c>
      <c r="R108" s="261" t="s">
        <v>207</v>
      </c>
      <c r="T108" s="275" t="s">
        <v>4880</v>
      </c>
      <c r="AA108" s="13"/>
      <c r="AC108" s="13"/>
      <c r="AG108" s="253">
        <f t="shared" si="9"/>
        <v>20</v>
      </c>
      <c r="AH108" s="244" t="s">
        <v>4757</v>
      </c>
      <c r="AI108" s="254" t="s">
        <v>4759</v>
      </c>
    </row>
    <row r="109" ht="14.25" customHeight="1">
      <c r="A109" s="261" t="s">
        <v>2172</v>
      </c>
      <c r="B109" s="261" t="s">
        <v>1133</v>
      </c>
      <c r="C109" s="261" t="s">
        <v>4882</v>
      </c>
      <c r="D109" s="13" t="s">
        <v>860</v>
      </c>
      <c r="E109" s="13" t="str">
        <f t="array" ref="E109">IFERROR(INDEX(REF_CODES!$B$27:$B$33,MATCH($D109,REF_CODES!$C$27:$C$33,0)),IFERROR(INDEX(REF_CODES!$B$51:$B$55,MATCH($D109,REF_CODES!$C$51:$C$55,0)),""))</f>
        <v>AK-CRE</v>
      </c>
      <c r="F109" s="261" t="s">
        <v>4888</v>
      </c>
      <c r="G109" s="261" t="s">
        <v>4888</v>
      </c>
      <c r="H109" s="261" t="s">
        <v>4862</v>
      </c>
      <c r="I109" s="261">
        <v>15.0</v>
      </c>
      <c r="J109" s="261" t="s">
        <v>4745</v>
      </c>
      <c r="K109" s="261" t="s">
        <v>188</v>
      </c>
      <c r="L109" s="261" t="s">
        <v>126</v>
      </c>
      <c r="M109" s="261" t="s">
        <v>2312</v>
      </c>
      <c r="N109" s="261" t="s">
        <v>463</v>
      </c>
      <c r="O109" s="261" t="s">
        <v>503</v>
      </c>
      <c r="P109" s="261" t="s">
        <v>142</v>
      </c>
      <c r="Q109" s="261" t="s">
        <v>43</v>
      </c>
      <c r="R109" s="261" t="s">
        <v>207</v>
      </c>
      <c r="AA109" s="13"/>
      <c r="AC109" s="13"/>
      <c r="AG109" s="253">
        <f t="shared" si="9"/>
        <v>15</v>
      </c>
      <c r="AH109" s="244" t="s">
        <v>4757</v>
      </c>
      <c r="AI109" s="254" t="s">
        <v>4759</v>
      </c>
    </row>
    <row r="110" ht="14.25" customHeight="1">
      <c r="A110" s="261" t="s">
        <v>2172</v>
      </c>
      <c r="B110" s="261" t="s">
        <v>1133</v>
      </c>
      <c r="C110" s="261" t="s">
        <v>4894</v>
      </c>
      <c r="D110" s="13" t="s">
        <v>860</v>
      </c>
      <c r="E110" s="13" t="str">
        <f t="array" ref="E110">IFERROR(INDEX(REF_CODES!$B$27:$B$33,MATCH($D110,REF_CODES!$C$27:$C$33,0)),IFERROR(INDEX(REF_CODES!$B$51:$B$55,MATCH($D110,REF_CODES!$C$51:$C$55,0)),""))</f>
        <v>AK-CRE</v>
      </c>
      <c r="F110" s="261" t="s">
        <v>3910</v>
      </c>
      <c r="G110" s="261" t="s">
        <v>3910</v>
      </c>
      <c r="H110" s="261" t="s">
        <v>4898</v>
      </c>
      <c r="I110" s="261">
        <v>45.0</v>
      </c>
      <c r="J110" s="261" t="s">
        <v>4745</v>
      </c>
      <c r="K110" s="261" t="s">
        <v>188</v>
      </c>
      <c r="L110" s="261" t="s">
        <v>126</v>
      </c>
      <c r="M110" s="261" t="s">
        <v>2312</v>
      </c>
      <c r="N110" s="261" t="s">
        <v>477</v>
      </c>
      <c r="O110" s="261" t="s">
        <v>503</v>
      </c>
      <c r="P110" s="261" t="s">
        <v>142</v>
      </c>
      <c r="Q110" s="261" t="s">
        <v>43</v>
      </c>
      <c r="R110" s="261" t="s">
        <v>207</v>
      </c>
      <c r="T110" s="275" t="s">
        <v>4901</v>
      </c>
      <c r="AA110" s="13"/>
      <c r="AC110" s="13"/>
      <c r="AG110" s="253">
        <f t="shared" si="9"/>
        <v>45</v>
      </c>
      <c r="AH110" s="244" t="s">
        <v>4757</v>
      </c>
      <c r="AI110" s="254" t="s">
        <v>4759</v>
      </c>
    </row>
    <row r="111" ht="14.25" customHeight="1">
      <c r="A111" s="261" t="s">
        <v>2172</v>
      </c>
      <c r="B111" s="261" t="s">
        <v>1133</v>
      </c>
      <c r="C111" s="261" t="s">
        <v>4908</v>
      </c>
      <c r="D111" s="13" t="s">
        <v>483</v>
      </c>
      <c r="E111" s="13" t="str">
        <f t="array" ref="E111">IFERROR(INDEX(REF_CODES!$B$27:$B$33,MATCH($D111,REF_CODES!$C$27:$C$33,0)),IFERROR(INDEX(REF_CODES!$B$51:$B$55,MATCH($D111,REF_CODES!$C$51:$C$55,0)),""))</f>
        <v>AU-BIE</v>
      </c>
      <c r="F111" s="261" t="s">
        <v>4921</v>
      </c>
      <c r="G111" s="261" t="s">
        <v>4922</v>
      </c>
      <c r="I111" s="261">
        <v>35.0</v>
      </c>
      <c r="K111" s="251" t="s">
        <v>195</v>
      </c>
      <c r="N111" s="261" t="s">
        <v>473</v>
      </c>
      <c r="O111" s="261" t="s">
        <v>503</v>
      </c>
      <c r="P111" s="261" t="s">
        <v>149</v>
      </c>
      <c r="T111" s="275" t="s">
        <v>2736</v>
      </c>
      <c r="AA111" s="13"/>
      <c r="AC111" s="13"/>
      <c r="AG111" s="253" t="s">
        <v>3271</v>
      </c>
      <c r="AH111" s="244" t="s">
        <v>3272</v>
      </c>
      <c r="AI111" s="254" t="s">
        <v>4928</v>
      </c>
    </row>
    <row r="112" ht="14.25" customHeight="1">
      <c r="A112" s="261" t="s">
        <v>2172</v>
      </c>
      <c r="B112" s="261" t="s">
        <v>1133</v>
      </c>
      <c r="C112" s="261" t="s">
        <v>4930</v>
      </c>
      <c r="D112" s="261" t="s">
        <v>483</v>
      </c>
      <c r="E112" s="13" t="str">
        <f t="array" ref="E112">IFERROR(INDEX(REF_CODES!$B$27:$B$33,MATCH($D112,REF_CODES!$C$27:$C$33,0)),IFERROR(INDEX(REF_CODES!$B$51:$B$55,MATCH($D112,REF_CODES!$C$51:$C$55,0)),""))</f>
        <v>AU-BIE</v>
      </c>
      <c r="F112" s="261" t="s">
        <v>4921</v>
      </c>
      <c r="G112" s="261" t="s">
        <v>4941</v>
      </c>
      <c r="I112" s="261">
        <v>35.0</v>
      </c>
      <c r="K112" s="251" t="s">
        <v>195</v>
      </c>
      <c r="N112" s="261" t="s">
        <v>473</v>
      </c>
      <c r="O112" s="261" t="s">
        <v>503</v>
      </c>
      <c r="P112" s="261" t="s">
        <v>149</v>
      </c>
      <c r="T112" s="275" t="s">
        <v>4949</v>
      </c>
      <c r="AA112" s="13"/>
      <c r="AC112" s="13"/>
      <c r="AG112" s="253" t="s">
        <v>3271</v>
      </c>
      <c r="AH112" s="244" t="s">
        <v>3272</v>
      </c>
      <c r="AI112" s="254" t="s">
        <v>4928</v>
      </c>
    </row>
    <row r="113" ht="14.25" customHeight="1">
      <c r="A113" s="261" t="s">
        <v>2172</v>
      </c>
      <c r="B113" s="261" t="s">
        <v>1133</v>
      </c>
      <c r="C113" s="261" t="s">
        <v>4951</v>
      </c>
      <c r="D113" s="261" t="s">
        <v>483</v>
      </c>
      <c r="E113" s="13" t="str">
        <f t="array" ref="E113">IFERROR(INDEX(REF_CODES!$B$27:$B$33,MATCH($D113,REF_CODES!$C$27:$C$33,0)),IFERROR(INDEX(REF_CODES!$B$51:$B$55,MATCH($D113,REF_CODES!$C$51:$C$55,0)),""))</f>
        <v>AU-BIE</v>
      </c>
      <c r="F113" s="261" t="s">
        <v>4921</v>
      </c>
      <c r="G113" s="261" t="s">
        <v>4959</v>
      </c>
      <c r="I113" s="261">
        <v>90.0</v>
      </c>
      <c r="K113" s="251" t="s">
        <v>195</v>
      </c>
      <c r="N113" s="261" t="s">
        <v>465</v>
      </c>
      <c r="O113" s="261" t="s">
        <v>503</v>
      </c>
      <c r="P113" s="261" t="s">
        <v>142</v>
      </c>
      <c r="AA113" s="13"/>
      <c r="AC113" s="13"/>
      <c r="AG113" s="253" t="s">
        <v>3271</v>
      </c>
      <c r="AH113" s="244" t="s">
        <v>3272</v>
      </c>
      <c r="AI113" s="254" t="s">
        <v>4928</v>
      </c>
    </row>
    <row r="114" ht="14.25" customHeight="1">
      <c r="A114" s="261" t="s">
        <v>2172</v>
      </c>
      <c r="B114" s="261" t="s">
        <v>1133</v>
      </c>
      <c r="C114" s="261" t="s">
        <v>4966</v>
      </c>
      <c r="D114" s="261" t="s">
        <v>483</v>
      </c>
      <c r="E114" s="13" t="str">
        <f t="array" ref="E114">IFERROR(INDEX(REF_CODES!$B$27:$B$33,MATCH($D114,REF_CODES!$C$27:$C$33,0)),IFERROR(INDEX(REF_CODES!$B$51:$B$55,MATCH($D114,REF_CODES!$C$51:$C$55,0)),""))</f>
        <v>AU-BIE</v>
      </c>
      <c r="F114" s="261" t="s">
        <v>4921</v>
      </c>
      <c r="G114" s="261" t="s">
        <v>4138</v>
      </c>
      <c r="I114" s="261">
        <v>90.0</v>
      </c>
      <c r="K114" s="251" t="s">
        <v>195</v>
      </c>
      <c r="N114" s="261" t="s">
        <v>465</v>
      </c>
      <c r="O114" s="261" t="s">
        <v>503</v>
      </c>
      <c r="P114" s="261" t="s">
        <v>146</v>
      </c>
      <c r="AA114" s="13"/>
      <c r="AC114" s="13"/>
      <c r="AG114" s="253" t="s">
        <v>3271</v>
      </c>
      <c r="AH114" s="244" t="s">
        <v>3272</v>
      </c>
      <c r="AI114" s="254" t="s">
        <v>4928</v>
      </c>
    </row>
    <row r="115" ht="14.25" customHeight="1">
      <c r="A115" s="261" t="s">
        <v>2172</v>
      </c>
      <c r="B115" s="261" t="s">
        <v>1133</v>
      </c>
      <c r="C115" s="261" t="s">
        <v>4983</v>
      </c>
      <c r="D115" s="261" t="s">
        <v>483</v>
      </c>
      <c r="E115" s="13" t="str">
        <f t="array" ref="E115">IFERROR(INDEX(REF_CODES!$B$27:$B$33,MATCH($D115,REF_CODES!$C$27:$C$33,0)),IFERROR(INDEX(REF_CODES!$B$51:$B$55,MATCH($D115,REF_CODES!$C$51:$C$55,0)),""))</f>
        <v>AU-BIE</v>
      </c>
      <c r="F115" s="261" t="s">
        <v>4921</v>
      </c>
      <c r="G115" s="261" t="s">
        <v>4996</v>
      </c>
      <c r="I115" s="261">
        <v>90.0</v>
      </c>
      <c r="K115" s="251" t="s">
        <v>195</v>
      </c>
      <c r="N115" s="261" t="s">
        <v>465</v>
      </c>
      <c r="O115" s="261" t="s">
        <v>503</v>
      </c>
      <c r="P115" s="261" t="s">
        <v>142</v>
      </c>
      <c r="AA115" s="13"/>
      <c r="AC115" s="13"/>
      <c r="AG115" s="253" t="s">
        <v>3271</v>
      </c>
      <c r="AH115" s="244" t="s">
        <v>3272</v>
      </c>
      <c r="AI115" s="254" t="s">
        <v>4928</v>
      </c>
    </row>
    <row r="116" ht="14.25" customHeight="1">
      <c r="A116" s="261" t="s">
        <v>2172</v>
      </c>
      <c r="B116" s="261" t="s">
        <v>1133</v>
      </c>
      <c r="C116" s="261" t="s">
        <v>5002</v>
      </c>
      <c r="D116" s="261" t="s">
        <v>483</v>
      </c>
      <c r="E116" s="13" t="str">
        <f t="array" ref="E116">IFERROR(INDEX(REF_CODES!$B$27:$B$33,MATCH($D116,REF_CODES!$C$27:$C$33,0)),IFERROR(INDEX(REF_CODES!$B$51:$B$55,MATCH($D116,REF_CODES!$C$51:$C$55,0)),""))</f>
        <v>AU-BIE</v>
      </c>
      <c r="F116" s="261" t="s">
        <v>4921</v>
      </c>
      <c r="G116" s="261" t="s">
        <v>5013</v>
      </c>
      <c r="I116" s="261">
        <v>90.0</v>
      </c>
      <c r="K116" s="251" t="s">
        <v>195</v>
      </c>
      <c r="N116" s="261" t="s">
        <v>465</v>
      </c>
      <c r="O116" s="261" t="s">
        <v>503</v>
      </c>
      <c r="P116" s="261" t="s">
        <v>146</v>
      </c>
      <c r="AA116" s="13"/>
      <c r="AC116" s="13"/>
      <c r="AG116" s="253" t="s">
        <v>3271</v>
      </c>
      <c r="AH116" s="244" t="s">
        <v>3272</v>
      </c>
      <c r="AI116" s="254" t="s">
        <v>4928</v>
      </c>
    </row>
    <row r="117" ht="14.25" customHeight="1">
      <c r="A117" s="261" t="s">
        <v>2172</v>
      </c>
      <c r="B117" s="261" t="s">
        <v>1133</v>
      </c>
      <c r="C117" s="261" t="s">
        <v>5020</v>
      </c>
      <c r="D117" s="261" t="s">
        <v>483</v>
      </c>
      <c r="E117" s="13" t="str">
        <f t="array" ref="E117">IFERROR(INDEX(REF_CODES!$B$27:$B$33,MATCH($D117,REF_CODES!$C$27:$C$33,0)),IFERROR(INDEX(REF_CODES!$B$51:$B$55,MATCH($D117,REF_CODES!$C$51:$C$55,0)),""))</f>
        <v>AU-BIE</v>
      </c>
      <c r="F117" s="261" t="s">
        <v>4921</v>
      </c>
      <c r="G117" s="261" t="s">
        <v>5027</v>
      </c>
      <c r="I117" s="261">
        <v>90.0</v>
      </c>
      <c r="K117" s="251" t="s">
        <v>195</v>
      </c>
      <c r="L117" s="5" t="s">
        <v>97</v>
      </c>
      <c r="M117" s="5" t="s">
        <v>2312</v>
      </c>
      <c r="N117" s="5" t="s">
        <v>469</v>
      </c>
      <c r="O117" s="5" t="s">
        <v>498</v>
      </c>
      <c r="P117" s="5" t="s">
        <v>133</v>
      </c>
      <c r="Q117" s="5" t="s">
        <v>2330</v>
      </c>
      <c r="R117" s="5" t="s">
        <v>2207</v>
      </c>
      <c r="T117" s="275" t="s">
        <v>5032</v>
      </c>
      <c r="AA117" s="13"/>
      <c r="AC117" s="13"/>
      <c r="AG117" s="253" t="s">
        <v>3271</v>
      </c>
      <c r="AH117" s="244" t="s">
        <v>3272</v>
      </c>
      <c r="AI117" s="254" t="s">
        <v>4928</v>
      </c>
    </row>
    <row r="118" ht="14.25" customHeight="1">
      <c r="A118" s="261" t="s">
        <v>2172</v>
      </c>
      <c r="B118" s="261" t="s">
        <v>1133</v>
      </c>
      <c r="C118" s="261" t="s">
        <v>5035</v>
      </c>
      <c r="D118" s="261" t="s">
        <v>483</v>
      </c>
      <c r="E118" s="13" t="str">
        <f t="array" ref="E118">IFERROR(INDEX(REF_CODES!$B$27:$B$33,MATCH($D118,REF_CODES!$C$27:$C$33,0)),IFERROR(INDEX(REF_CODES!$B$51:$B$55,MATCH($D118,REF_CODES!$C$51:$C$55,0)),""))</f>
        <v>AU-BIE</v>
      </c>
      <c r="F118" s="261" t="s">
        <v>4921</v>
      </c>
      <c r="G118" s="261" t="s">
        <v>5043</v>
      </c>
      <c r="I118" s="261">
        <v>90.0</v>
      </c>
      <c r="K118" s="251" t="s">
        <v>195</v>
      </c>
      <c r="L118" s="5" t="s">
        <v>97</v>
      </c>
      <c r="M118" s="5" t="s">
        <v>2312</v>
      </c>
      <c r="N118" s="5" t="s">
        <v>469</v>
      </c>
      <c r="O118" s="5" t="s">
        <v>498</v>
      </c>
      <c r="P118" s="5" t="s">
        <v>133</v>
      </c>
      <c r="Q118" s="5" t="s">
        <v>2330</v>
      </c>
      <c r="R118" s="5" t="s">
        <v>2207</v>
      </c>
      <c r="AA118" s="13"/>
      <c r="AC118" s="13"/>
      <c r="AG118" s="253" t="s">
        <v>3271</v>
      </c>
      <c r="AH118" s="244" t="s">
        <v>3272</v>
      </c>
      <c r="AI118" s="254" t="s">
        <v>4928</v>
      </c>
    </row>
    <row r="119" ht="14.25" customHeight="1">
      <c r="A119" s="261" t="s">
        <v>2172</v>
      </c>
      <c r="B119" s="261" t="s">
        <v>1133</v>
      </c>
      <c r="C119" s="261" t="s">
        <v>5050</v>
      </c>
      <c r="D119" s="261" t="s">
        <v>483</v>
      </c>
      <c r="E119" s="13" t="str">
        <f t="array" ref="E119">IFERROR(INDEX(REF_CODES!$B$27:$B$33,MATCH($D119,REF_CODES!$C$27:$C$33,0)),IFERROR(INDEX(REF_CODES!$B$51:$B$55,MATCH($D119,REF_CODES!$C$51:$C$55,0)),""))</f>
        <v>AU-BIE</v>
      </c>
      <c r="F119" s="261" t="s">
        <v>4921</v>
      </c>
      <c r="G119" s="261" t="s">
        <v>5058</v>
      </c>
      <c r="I119" s="261">
        <v>90.0</v>
      </c>
      <c r="K119" s="251" t="s">
        <v>195</v>
      </c>
      <c r="L119" s="5" t="s">
        <v>97</v>
      </c>
      <c r="M119" s="5" t="s">
        <v>2312</v>
      </c>
      <c r="N119" s="5" t="s">
        <v>469</v>
      </c>
      <c r="O119" s="5" t="s">
        <v>498</v>
      </c>
      <c r="P119" s="5" t="s">
        <v>133</v>
      </c>
      <c r="Q119" s="5" t="s">
        <v>2330</v>
      </c>
      <c r="R119" s="5" t="s">
        <v>2207</v>
      </c>
      <c r="T119" s="285" t="s">
        <v>2349</v>
      </c>
      <c r="U119" s="261" t="s">
        <v>2960</v>
      </c>
      <c r="AA119" s="13"/>
      <c r="AC119" s="13"/>
      <c r="AD119" s="271">
        <v>4.6</v>
      </c>
      <c r="AE119" s="272">
        <v>550.0</v>
      </c>
      <c r="AG119" s="253" t="s">
        <v>3271</v>
      </c>
      <c r="AH119" s="244" t="s">
        <v>3272</v>
      </c>
      <c r="AI119" s="254" t="s">
        <v>4928</v>
      </c>
    </row>
    <row r="120" ht="14.25" customHeight="1">
      <c r="A120" s="261" t="s">
        <v>2172</v>
      </c>
      <c r="B120" s="261" t="s">
        <v>1133</v>
      </c>
      <c r="C120" s="261" t="s">
        <v>5066</v>
      </c>
      <c r="D120" s="261" t="s">
        <v>483</v>
      </c>
      <c r="E120" s="13" t="str">
        <f t="array" ref="E120">IFERROR(INDEX(REF_CODES!$B$27:$B$33,MATCH($D120,REF_CODES!$C$27:$C$33,0)),IFERROR(INDEX(REF_CODES!$B$51:$B$55,MATCH($D120,REF_CODES!$C$51:$C$55,0)),""))</f>
        <v>AU-BIE</v>
      </c>
      <c r="F120" s="261" t="s">
        <v>4921</v>
      </c>
      <c r="G120" s="261" t="s">
        <v>5072</v>
      </c>
      <c r="I120" s="261">
        <v>90.0</v>
      </c>
      <c r="K120" s="251" t="s">
        <v>195</v>
      </c>
      <c r="L120" s="5" t="s">
        <v>97</v>
      </c>
      <c r="M120" s="5" t="s">
        <v>2312</v>
      </c>
      <c r="N120" s="5" t="s">
        <v>469</v>
      </c>
      <c r="O120" s="5" t="s">
        <v>498</v>
      </c>
      <c r="P120" s="5" t="s">
        <v>133</v>
      </c>
      <c r="Q120" s="5" t="s">
        <v>2330</v>
      </c>
      <c r="R120" s="5" t="s">
        <v>2207</v>
      </c>
      <c r="T120" s="285" t="s">
        <v>5076</v>
      </c>
      <c r="U120" s="261" t="s">
        <v>2514</v>
      </c>
      <c r="AA120" s="13"/>
      <c r="AC120" s="13"/>
      <c r="AD120" s="271">
        <v>4.7</v>
      </c>
      <c r="AE120" s="272">
        <v>131.0</v>
      </c>
      <c r="AG120" s="253" t="s">
        <v>3271</v>
      </c>
      <c r="AH120" s="244" t="s">
        <v>3272</v>
      </c>
      <c r="AI120" s="254" t="s">
        <v>4928</v>
      </c>
    </row>
    <row r="121" ht="14.25" customHeight="1">
      <c r="A121" s="261" t="s">
        <v>2172</v>
      </c>
      <c r="B121" s="261" t="s">
        <v>1133</v>
      </c>
      <c r="C121" s="261" t="s">
        <v>5078</v>
      </c>
      <c r="D121" s="261" t="s">
        <v>483</v>
      </c>
      <c r="E121" s="13" t="str">
        <f t="array" ref="E121">IFERROR(INDEX(REF_CODES!$B$27:$B$33,MATCH($D121,REF_CODES!$C$27:$C$33,0)),IFERROR(INDEX(REF_CODES!$B$51:$B$55,MATCH($D121,REF_CODES!$C$51:$C$55,0)),""))</f>
        <v>AU-BIE</v>
      </c>
      <c r="F121" s="261" t="s">
        <v>5084</v>
      </c>
      <c r="G121" s="261" t="s">
        <v>4922</v>
      </c>
      <c r="I121" s="261">
        <v>30.0</v>
      </c>
      <c r="K121" s="251" t="s">
        <v>195</v>
      </c>
      <c r="L121" s="5" t="s">
        <v>97</v>
      </c>
      <c r="M121" s="5" t="s">
        <v>2312</v>
      </c>
      <c r="N121" s="5" t="s">
        <v>469</v>
      </c>
      <c r="O121" s="5" t="s">
        <v>498</v>
      </c>
      <c r="P121" s="5" t="s">
        <v>133</v>
      </c>
      <c r="Q121" s="5" t="s">
        <v>2330</v>
      </c>
      <c r="R121" s="5" t="s">
        <v>2207</v>
      </c>
      <c r="T121" s="285" t="s">
        <v>2418</v>
      </c>
      <c r="U121" s="261" t="s">
        <v>3726</v>
      </c>
      <c r="AA121" s="13"/>
      <c r="AC121" s="13"/>
      <c r="AD121" s="271">
        <v>4.6</v>
      </c>
      <c r="AE121" s="272">
        <v>785.0</v>
      </c>
      <c r="AG121" s="253" t="s">
        <v>3271</v>
      </c>
      <c r="AH121" s="244" t="s">
        <v>3272</v>
      </c>
      <c r="AI121" s="254" t="s">
        <v>5088</v>
      </c>
    </row>
    <row r="122" ht="14.25" customHeight="1">
      <c r="A122" s="261" t="s">
        <v>2172</v>
      </c>
      <c r="B122" s="261" t="s">
        <v>1133</v>
      </c>
      <c r="C122" s="261" t="s">
        <v>5089</v>
      </c>
      <c r="D122" s="261" t="s">
        <v>483</v>
      </c>
      <c r="E122" s="13" t="str">
        <f t="array" ref="E122">IFERROR(INDEX(REF_CODES!$B$27:$B$33,MATCH($D122,REF_CODES!$C$27:$C$33,0)),IFERROR(INDEX(REF_CODES!$B$51:$B$55,MATCH($D122,REF_CODES!$C$51:$C$55,0)),""))</f>
        <v>AU-BIE</v>
      </c>
      <c r="F122" s="261" t="s">
        <v>5084</v>
      </c>
      <c r="G122" s="261" t="s">
        <v>5098</v>
      </c>
      <c r="I122" s="261">
        <v>30.0</v>
      </c>
      <c r="K122" s="251" t="s">
        <v>195</v>
      </c>
      <c r="L122" s="5" t="s">
        <v>97</v>
      </c>
      <c r="M122" s="5" t="s">
        <v>2312</v>
      </c>
      <c r="N122" s="5" t="s">
        <v>469</v>
      </c>
      <c r="O122" s="5" t="s">
        <v>498</v>
      </c>
      <c r="P122" s="5" t="s">
        <v>133</v>
      </c>
      <c r="Q122" s="5" t="s">
        <v>2330</v>
      </c>
      <c r="R122" s="5" t="s">
        <v>2207</v>
      </c>
      <c r="T122" s="275" t="s">
        <v>5101</v>
      </c>
      <c r="AA122" s="13"/>
      <c r="AC122" s="13"/>
      <c r="AG122" s="253" t="s">
        <v>3271</v>
      </c>
      <c r="AH122" s="244" t="s">
        <v>3272</v>
      </c>
      <c r="AI122" s="254" t="s">
        <v>5088</v>
      </c>
    </row>
    <row r="123" ht="14.25" customHeight="1">
      <c r="A123" s="261" t="s">
        <v>2172</v>
      </c>
      <c r="B123" s="261" t="s">
        <v>1133</v>
      </c>
      <c r="C123" s="261" t="s">
        <v>5103</v>
      </c>
      <c r="D123" s="261" t="s">
        <v>483</v>
      </c>
      <c r="E123" s="13" t="str">
        <f t="array" ref="E123">IFERROR(INDEX(REF_CODES!$B$27:$B$33,MATCH($D123,REF_CODES!$C$27:$C$33,0)),IFERROR(INDEX(REF_CODES!$B$51:$B$55,MATCH($D123,REF_CODES!$C$51:$C$55,0)),""))</f>
        <v>AU-BIE</v>
      </c>
      <c r="F123" s="261" t="s">
        <v>5084</v>
      </c>
      <c r="G123" s="261" t="s">
        <v>5110</v>
      </c>
      <c r="I123" s="261">
        <v>90.0</v>
      </c>
      <c r="K123" s="251" t="s">
        <v>195</v>
      </c>
      <c r="L123" s="5" t="s">
        <v>97</v>
      </c>
      <c r="M123" s="5" t="s">
        <v>2312</v>
      </c>
      <c r="N123" s="5" t="s">
        <v>469</v>
      </c>
      <c r="O123" s="5" t="s">
        <v>498</v>
      </c>
      <c r="P123" s="5" t="s">
        <v>133</v>
      </c>
      <c r="Q123" s="5" t="s">
        <v>2330</v>
      </c>
      <c r="R123" s="5" t="s">
        <v>2207</v>
      </c>
      <c r="T123" s="275" t="s">
        <v>4949</v>
      </c>
      <c r="AA123" s="13"/>
      <c r="AC123" s="13"/>
      <c r="AG123" s="253" t="s">
        <v>3271</v>
      </c>
      <c r="AH123" s="244" t="s">
        <v>3272</v>
      </c>
      <c r="AI123" s="254" t="s">
        <v>5088</v>
      </c>
    </row>
    <row r="124" ht="14.25" customHeight="1">
      <c r="A124" s="261" t="s">
        <v>2172</v>
      </c>
      <c r="B124" s="261" t="s">
        <v>1133</v>
      </c>
      <c r="C124" s="261" t="s">
        <v>5115</v>
      </c>
      <c r="D124" s="261" t="s">
        <v>483</v>
      </c>
      <c r="E124" s="13" t="str">
        <f t="array" ref="E124">IFERROR(INDEX(REF_CODES!$B$27:$B$33,MATCH($D124,REF_CODES!$C$27:$C$33,0)),IFERROR(INDEX(REF_CODES!$B$51:$B$55,MATCH($D124,REF_CODES!$C$51:$C$55,0)),""))</f>
        <v>AU-BIE</v>
      </c>
      <c r="F124" s="261" t="s">
        <v>5084</v>
      </c>
      <c r="G124" s="261" t="s">
        <v>4996</v>
      </c>
      <c r="I124" s="261">
        <v>90.0</v>
      </c>
      <c r="K124" s="251" t="s">
        <v>195</v>
      </c>
      <c r="L124" s="5" t="s">
        <v>97</v>
      </c>
      <c r="M124" s="5" t="s">
        <v>2312</v>
      </c>
      <c r="N124" s="5" t="s">
        <v>469</v>
      </c>
      <c r="O124" s="5" t="s">
        <v>498</v>
      </c>
      <c r="P124" s="5" t="s">
        <v>133</v>
      </c>
      <c r="Q124" s="5" t="s">
        <v>2330</v>
      </c>
      <c r="R124" s="5" t="s">
        <v>2207</v>
      </c>
      <c r="T124" s="285" t="s">
        <v>2633</v>
      </c>
      <c r="U124" s="261" t="s">
        <v>3726</v>
      </c>
      <c r="AA124" s="13"/>
      <c r="AC124" s="13"/>
      <c r="AD124" s="271">
        <v>4.6</v>
      </c>
      <c r="AE124" s="272">
        <v>1156.0</v>
      </c>
      <c r="AG124" s="253" t="s">
        <v>3271</v>
      </c>
      <c r="AH124" s="244" t="s">
        <v>3272</v>
      </c>
      <c r="AI124" s="254" t="s">
        <v>5088</v>
      </c>
    </row>
    <row r="125" ht="14.25" customHeight="1">
      <c r="A125" s="261" t="s">
        <v>2172</v>
      </c>
      <c r="B125" s="261" t="s">
        <v>1133</v>
      </c>
      <c r="C125" s="261" t="s">
        <v>5130</v>
      </c>
      <c r="D125" s="261" t="s">
        <v>483</v>
      </c>
      <c r="E125" s="13" t="str">
        <f t="array" ref="E125">IFERROR(INDEX(REF_CODES!$B$27:$B$33,MATCH($D125,REF_CODES!$C$27:$C$33,0)),IFERROR(INDEX(REF_CODES!$B$51:$B$55,MATCH($D125,REF_CODES!$C$51:$C$55,0)),""))</f>
        <v>AU-BIE</v>
      </c>
      <c r="F125" s="261" t="s">
        <v>5084</v>
      </c>
      <c r="G125" s="261" t="s">
        <v>5013</v>
      </c>
      <c r="I125" s="261">
        <v>90.0</v>
      </c>
      <c r="K125" s="251" t="s">
        <v>195</v>
      </c>
      <c r="L125" s="5" t="s">
        <v>97</v>
      </c>
      <c r="M125" s="5" t="s">
        <v>2312</v>
      </c>
      <c r="N125" s="5" t="s">
        <v>469</v>
      </c>
      <c r="O125" s="5" t="s">
        <v>498</v>
      </c>
      <c r="P125" s="5" t="s">
        <v>133</v>
      </c>
      <c r="Q125" s="5" t="s">
        <v>2330</v>
      </c>
      <c r="R125" s="5" t="s">
        <v>2207</v>
      </c>
      <c r="T125" s="285" t="s">
        <v>2736</v>
      </c>
      <c r="U125" s="261" t="s">
        <v>3739</v>
      </c>
      <c r="AA125" s="13"/>
      <c r="AC125" s="13"/>
      <c r="AD125" s="271">
        <v>4.7</v>
      </c>
      <c r="AE125" s="272">
        <v>1569.0</v>
      </c>
      <c r="AG125" s="253" t="s">
        <v>3271</v>
      </c>
      <c r="AH125" s="244" t="s">
        <v>3272</v>
      </c>
      <c r="AI125" s="254" t="s">
        <v>5088</v>
      </c>
    </row>
    <row r="126" ht="14.25" customHeight="1">
      <c r="A126" s="261" t="s">
        <v>2172</v>
      </c>
      <c r="B126" s="261" t="s">
        <v>1133</v>
      </c>
      <c r="C126" s="261" t="s">
        <v>5142</v>
      </c>
      <c r="D126" s="261" t="s">
        <v>483</v>
      </c>
      <c r="E126" s="13" t="str">
        <f t="array" ref="E126">IFERROR(INDEX(REF_CODES!$B$27:$B$33,MATCH($D126,REF_CODES!$C$27:$C$33,0)),IFERROR(INDEX(REF_CODES!$B$51:$B$55,MATCH($D126,REF_CODES!$C$51:$C$55,0)),""))</f>
        <v>AU-BIE</v>
      </c>
      <c r="F126" s="261" t="s">
        <v>5084</v>
      </c>
      <c r="G126" s="261" t="s">
        <v>5148</v>
      </c>
      <c r="I126" s="261">
        <v>90.0</v>
      </c>
      <c r="K126" s="251" t="s">
        <v>195</v>
      </c>
      <c r="L126" s="5" t="s">
        <v>97</v>
      </c>
      <c r="M126" s="5" t="s">
        <v>2312</v>
      </c>
      <c r="N126" s="5" t="s">
        <v>469</v>
      </c>
      <c r="O126" s="5" t="s">
        <v>498</v>
      </c>
      <c r="P126" s="5" t="s">
        <v>133</v>
      </c>
      <c r="Q126" s="5" t="s">
        <v>2330</v>
      </c>
      <c r="R126" s="5" t="s">
        <v>2207</v>
      </c>
      <c r="T126" s="285" t="s">
        <v>2605</v>
      </c>
      <c r="U126" s="261" t="s">
        <v>2620</v>
      </c>
      <c r="AA126" s="13"/>
      <c r="AC126" s="13"/>
      <c r="AD126" s="271">
        <v>4.6</v>
      </c>
      <c r="AE126" s="272">
        <v>2211.0</v>
      </c>
      <c r="AG126" s="253" t="s">
        <v>3271</v>
      </c>
      <c r="AH126" s="244" t="s">
        <v>3272</v>
      </c>
      <c r="AI126" s="254" t="s">
        <v>5088</v>
      </c>
    </row>
    <row r="127" ht="14.25" customHeight="1">
      <c r="A127" s="261" t="s">
        <v>2172</v>
      </c>
      <c r="B127" s="261" t="s">
        <v>1133</v>
      </c>
      <c r="C127" s="261" t="s">
        <v>5153</v>
      </c>
      <c r="D127" s="261" t="s">
        <v>483</v>
      </c>
      <c r="E127" s="13" t="str">
        <f t="array" ref="E127">IFERROR(INDEX(REF_CODES!$B$27:$B$33,MATCH($D127,REF_CODES!$C$27:$C$33,0)),IFERROR(INDEX(REF_CODES!$B$51:$B$55,MATCH($D127,REF_CODES!$C$51:$C$55,0)),""))</f>
        <v>AU-BIE</v>
      </c>
      <c r="F127" s="261" t="s">
        <v>5084</v>
      </c>
      <c r="G127" s="261" t="s">
        <v>5043</v>
      </c>
      <c r="I127" s="261">
        <v>90.0</v>
      </c>
      <c r="K127" s="251" t="s">
        <v>195</v>
      </c>
      <c r="L127" s="5" t="s">
        <v>97</v>
      </c>
      <c r="M127" s="5" t="s">
        <v>2312</v>
      </c>
      <c r="N127" s="5" t="s">
        <v>469</v>
      </c>
      <c r="O127" s="5" t="s">
        <v>498</v>
      </c>
      <c r="P127" s="5" t="s">
        <v>133</v>
      </c>
      <c r="Q127" s="5" t="s">
        <v>2330</v>
      </c>
      <c r="R127" s="5" t="s">
        <v>2207</v>
      </c>
      <c r="T127" s="275" t="s">
        <v>5032</v>
      </c>
      <c r="AA127" s="13"/>
      <c r="AC127" s="13"/>
      <c r="AG127" s="253" t="s">
        <v>3271</v>
      </c>
      <c r="AH127" s="244" t="s">
        <v>3272</v>
      </c>
      <c r="AI127" s="254" t="s">
        <v>5088</v>
      </c>
    </row>
    <row r="128" ht="14.25" customHeight="1">
      <c r="A128" s="261" t="s">
        <v>2172</v>
      </c>
      <c r="B128" s="261" t="s">
        <v>1133</v>
      </c>
      <c r="C128" s="261" t="s">
        <v>5172</v>
      </c>
      <c r="D128" s="261" t="s">
        <v>483</v>
      </c>
      <c r="E128" s="13" t="str">
        <f t="array" ref="E128">IFERROR(INDEX(REF_CODES!$B$27:$B$33,MATCH($D128,REF_CODES!$C$27:$C$33,0)),IFERROR(INDEX(REF_CODES!$B$51:$B$55,MATCH($D128,REF_CODES!$C$51:$C$55,0)),""))</f>
        <v>AU-BIE</v>
      </c>
      <c r="F128" s="261" t="s">
        <v>5084</v>
      </c>
      <c r="G128" s="261" t="s">
        <v>3739</v>
      </c>
      <c r="I128" s="261">
        <v>90.0</v>
      </c>
      <c r="K128" s="251" t="s">
        <v>195</v>
      </c>
      <c r="L128" s="5" t="s">
        <v>97</v>
      </c>
      <c r="M128" s="5" t="s">
        <v>2312</v>
      </c>
      <c r="N128" s="5" t="s">
        <v>469</v>
      </c>
      <c r="O128" s="5" t="s">
        <v>498</v>
      </c>
      <c r="P128" s="5" t="s">
        <v>133</v>
      </c>
      <c r="Q128" s="5" t="s">
        <v>2330</v>
      </c>
      <c r="R128" s="5" t="s">
        <v>2207</v>
      </c>
      <c r="T128" s="275" t="s">
        <v>5189</v>
      </c>
      <c r="AA128" s="13"/>
      <c r="AC128" s="13"/>
      <c r="AG128" s="253" t="s">
        <v>3271</v>
      </c>
      <c r="AH128" s="244" t="s">
        <v>3272</v>
      </c>
      <c r="AI128" s="254" t="s">
        <v>5088</v>
      </c>
    </row>
    <row r="129" ht="14.25" customHeight="1">
      <c r="A129" s="261" t="s">
        <v>2172</v>
      </c>
      <c r="B129" s="261" t="s">
        <v>1133</v>
      </c>
      <c r="C129" s="261" t="s">
        <v>5192</v>
      </c>
      <c r="D129" s="261" t="s">
        <v>493</v>
      </c>
      <c r="E129" s="13" t="str">
        <f t="array" ref="E129">IFERROR(INDEX(REF_CODES!$B$27:$B$33,MATCH($D129,REF_CODES!$C$27:$C$33,0)),IFERROR(INDEX(REF_CODES!$B$51:$B$55,MATCH($D129,REF_CODES!$C$51:$C$55,0)),""))</f>
        <v>AU-ELI</v>
      </c>
      <c r="F129" s="261" t="s">
        <v>3152</v>
      </c>
      <c r="G129" s="261" t="s">
        <v>5205</v>
      </c>
      <c r="H129" s="261" t="s">
        <v>1919</v>
      </c>
      <c r="I129" s="261">
        <v>325.0</v>
      </c>
      <c r="K129" s="251" t="s">
        <v>195</v>
      </c>
      <c r="L129" s="5" t="s">
        <v>97</v>
      </c>
      <c r="M129" s="5" t="s">
        <v>2312</v>
      </c>
      <c r="N129" s="5" t="s">
        <v>469</v>
      </c>
      <c r="O129" s="5" t="s">
        <v>498</v>
      </c>
      <c r="P129" s="5" t="s">
        <v>133</v>
      </c>
      <c r="Q129" s="5" t="s">
        <v>2330</v>
      </c>
      <c r="R129" s="5" t="s">
        <v>2207</v>
      </c>
      <c r="T129" s="275" t="s">
        <v>4142</v>
      </c>
      <c r="AA129" s="13"/>
      <c r="AC129" s="13"/>
      <c r="AG129" s="253" t="s">
        <v>3332</v>
      </c>
      <c r="AH129" s="244" t="s">
        <v>3333</v>
      </c>
      <c r="AI129" s="254" t="s">
        <v>3334</v>
      </c>
    </row>
    <row r="130" ht="14.25" customHeight="1">
      <c r="A130" s="261" t="s">
        <v>2172</v>
      </c>
      <c r="B130" s="261" t="s">
        <v>1133</v>
      </c>
      <c r="C130" s="261" t="s">
        <v>5213</v>
      </c>
      <c r="D130" s="261" t="s">
        <v>493</v>
      </c>
      <c r="E130" s="13" t="str">
        <f t="array" ref="E130">IFERROR(INDEX(REF_CODES!$B$27:$B$33,MATCH($D130,REF_CODES!$C$27:$C$33,0)),IFERROR(INDEX(REF_CODES!$B$51:$B$55,MATCH($D130,REF_CODES!$C$51:$C$55,0)),""))</f>
        <v>AU-ELI</v>
      </c>
      <c r="F130" s="261" t="s">
        <v>3152</v>
      </c>
      <c r="G130" s="261" t="s">
        <v>5224</v>
      </c>
      <c r="H130" s="261" t="s">
        <v>1919</v>
      </c>
      <c r="I130" s="261">
        <v>280.0</v>
      </c>
      <c r="K130" s="251" t="s">
        <v>195</v>
      </c>
      <c r="L130" s="5" t="s">
        <v>97</v>
      </c>
      <c r="M130" s="5" t="s">
        <v>2312</v>
      </c>
      <c r="N130" s="5" t="s">
        <v>469</v>
      </c>
      <c r="O130" s="5" t="s">
        <v>498</v>
      </c>
      <c r="P130" s="5" t="s">
        <v>133</v>
      </c>
      <c r="Q130" s="5" t="s">
        <v>2330</v>
      </c>
      <c r="R130" s="5" t="s">
        <v>2207</v>
      </c>
      <c r="T130" s="275" t="s">
        <v>2418</v>
      </c>
      <c r="AA130" s="13"/>
      <c r="AC130" s="13"/>
      <c r="AG130" s="253" t="s">
        <v>3332</v>
      </c>
      <c r="AH130" s="244" t="s">
        <v>3333</v>
      </c>
      <c r="AI130" s="254" t="s">
        <v>3334</v>
      </c>
    </row>
    <row r="131" ht="14.25" customHeight="1">
      <c r="A131" s="261" t="s">
        <v>2172</v>
      </c>
      <c r="B131" s="261" t="s">
        <v>1133</v>
      </c>
      <c r="C131" s="261" t="s">
        <v>5233</v>
      </c>
      <c r="D131" s="261" t="s">
        <v>493</v>
      </c>
      <c r="E131" s="13" t="str">
        <f t="array" ref="E131">IFERROR(INDEX(REF_CODES!$B$27:$B$33,MATCH($D131,REF_CODES!$C$27:$C$33,0)),IFERROR(INDEX(REF_CODES!$B$51:$B$55,MATCH($D131,REF_CODES!$C$51:$C$55,0)),""))</f>
        <v>AU-ELI</v>
      </c>
      <c r="F131" s="261" t="s">
        <v>3152</v>
      </c>
      <c r="G131" s="261" t="s">
        <v>5244</v>
      </c>
      <c r="I131" s="261">
        <v>255.0</v>
      </c>
      <c r="K131" s="251" t="s">
        <v>195</v>
      </c>
      <c r="L131" s="5" t="s">
        <v>97</v>
      </c>
      <c r="M131" s="5" t="s">
        <v>2312</v>
      </c>
      <c r="N131" s="5" t="s">
        <v>469</v>
      </c>
      <c r="O131" s="5" t="s">
        <v>498</v>
      </c>
      <c r="P131" s="5" t="s">
        <v>133</v>
      </c>
      <c r="Q131" s="5" t="s">
        <v>2330</v>
      </c>
      <c r="R131" s="5" t="s">
        <v>2207</v>
      </c>
      <c r="T131" s="275" t="s">
        <v>5101</v>
      </c>
      <c r="AA131" s="13"/>
      <c r="AC131" s="13"/>
      <c r="AG131" s="253" t="s">
        <v>3332</v>
      </c>
      <c r="AH131" s="244" t="s">
        <v>3333</v>
      </c>
      <c r="AI131" s="254" t="s">
        <v>3334</v>
      </c>
    </row>
    <row r="132" ht="14.25" customHeight="1">
      <c r="A132" s="261" t="s">
        <v>2172</v>
      </c>
      <c r="B132" s="261" t="s">
        <v>1133</v>
      </c>
      <c r="C132" s="261" t="s">
        <v>5248</v>
      </c>
      <c r="D132" s="261" t="s">
        <v>493</v>
      </c>
      <c r="E132" s="13" t="str">
        <f t="array" ref="E132">IFERROR(INDEX(REF_CODES!$B$27:$B$33,MATCH($D132,REF_CODES!$C$27:$C$33,0)),IFERROR(INDEX(REF_CODES!$B$51:$B$55,MATCH($D132,REF_CODES!$C$51:$C$55,0)),""))</f>
        <v>AU-ELI</v>
      </c>
      <c r="F132" s="261" t="s">
        <v>3152</v>
      </c>
      <c r="G132" s="261" t="s">
        <v>5252</v>
      </c>
      <c r="I132" s="261">
        <v>255.0</v>
      </c>
      <c r="K132" s="251" t="s">
        <v>195</v>
      </c>
      <c r="L132" s="5" t="s">
        <v>97</v>
      </c>
      <c r="M132" s="5" t="s">
        <v>2312</v>
      </c>
      <c r="N132" s="5" t="s">
        <v>469</v>
      </c>
      <c r="O132" s="5" t="s">
        <v>498</v>
      </c>
      <c r="P132" s="5" t="s">
        <v>133</v>
      </c>
      <c r="Q132" s="5" t="s">
        <v>2330</v>
      </c>
      <c r="R132" s="5" t="s">
        <v>2207</v>
      </c>
      <c r="T132" s="275" t="s">
        <v>4949</v>
      </c>
      <c r="AA132" s="13"/>
      <c r="AC132" s="13"/>
      <c r="AG132" s="253" t="s">
        <v>3332</v>
      </c>
      <c r="AH132" s="244" t="s">
        <v>3333</v>
      </c>
      <c r="AI132" s="254" t="s">
        <v>3334</v>
      </c>
    </row>
    <row r="133" ht="14.25" customHeight="1">
      <c r="A133" s="261" t="s">
        <v>2172</v>
      </c>
      <c r="B133" s="261" t="s">
        <v>1133</v>
      </c>
      <c r="C133" s="261" t="s">
        <v>5257</v>
      </c>
      <c r="D133" s="261" t="s">
        <v>493</v>
      </c>
      <c r="E133" s="13" t="str">
        <f t="array" ref="E133">IFERROR(INDEX(REF_CODES!$B$27:$B$33,MATCH($D133,REF_CODES!$C$27:$C$33,0)),IFERROR(INDEX(REF_CODES!$B$51:$B$55,MATCH($D133,REF_CODES!$C$51:$C$55,0)),""))</f>
        <v>AU-ELI</v>
      </c>
      <c r="F133" s="261" t="s">
        <v>3152</v>
      </c>
      <c r="G133" s="261" t="s">
        <v>5268</v>
      </c>
      <c r="I133" s="261">
        <v>255.0</v>
      </c>
      <c r="K133" s="251" t="s">
        <v>195</v>
      </c>
      <c r="L133" s="5" t="s">
        <v>97</v>
      </c>
      <c r="M133" s="5" t="s">
        <v>2312</v>
      </c>
      <c r="N133" s="5" t="s">
        <v>469</v>
      </c>
      <c r="O133" s="5" t="s">
        <v>498</v>
      </c>
      <c r="P133" s="5" t="s">
        <v>133</v>
      </c>
      <c r="Q133" s="5" t="s">
        <v>2330</v>
      </c>
      <c r="R133" s="5" t="s">
        <v>2207</v>
      </c>
      <c r="T133" s="275" t="s">
        <v>2633</v>
      </c>
      <c r="AA133" s="13"/>
      <c r="AC133" s="13"/>
      <c r="AG133" s="253" t="s">
        <v>3332</v>
      </c>
      <c r="AH133" s="244" t="s">
        <v>3333</v>
      </c>
      <c r="AI133" s="254" t="s">
        <v>3334</v>
      </c>
    </row>
    <row r="134" ht="14.25" customHeight="1">
      <c r="A134" s="261" t="s">
        <v>2172</v>
      </c>
      <c r="B134" s="261" t="s">
        <v>1133</v>
      </c>
      <c r="C134" s="261" t="s">
        <v>5273</v>
      </c>
      <c r="D134" s="261" t="s">
        <v>493</v>
      </c>
      <c r="E134" s="13" t="str">
        <f t="array" ref="E134">IFERROR(INDEX(REF_CODES!$B$27:$B$33,MATCH($D134,REF_CODES!$C$27:$C$33,0)),IFERROR(INDEX(REF_CODES!$B$51:$B$55,MATCH($D134,REF_CODES!$C$51:$C$55,0)),""))</f>
        <v>AU-ELI</v>
      </c>
      <c r="F134" s="261" t="s">
        <v>3152</v>
      </c>
      <c r="G134" s="261" t="s">
        <v>5289</v>
      </c>
      <c r="I134" s="261">
        <v>255.0</v>
      </c>
      <c r="K134" s="251" t="s">
        <v>195</v>
      </c>
      <c r="L134" s="5" t="s">
        <v>97</v>
      </c>
      <c r="M134" s="5" t="s">
        <v>2312</v>
      </c>
      <c r="N134" s="5" t="s">
        <v>469</v>
      </c>
      <c r="O134" s="5" t="s">
        <v>498</v>
      </c>
      <c r="P134" s="5" t="s">
        <v>133</v>
      </c>
      <c r="Q134" s="5" t="s">
        <v>2330</v>
      </c>
      <c r="R134" s="5" t="s">
        <v>2207</v>
      </c>
      <c r="T134" s="275" t="s">
        <v>2736</v>
      </c>
      <c r="AA134" s="13"/>
      <c r="AC134" s="13"/>
      <c r="AG134" s="253" t="s">
        <v>3332</v>
      </c>
      <c r="AH134" s="244" t="s">
        <v>3333</v>
      </c>
      <c r="AI134" s="254" t="s">
        <v>3334</v>
      </c>
    </row>
    <row r="135" ht="14.25" customHeight="1">
      <c r="A135" s="261" t="s">
        <v>2172</v>
      </c>
      <c r="B135" s="261" t="s">
        <v>1133</v>
      </c>
      <c r="C135" s="261" t="s">
        <v>5300</v>
      </c>
      <c r="D135" s="261" t="s">
        <v>493</v>
      </c>
      <c r="E135" s="13" t="str">
        <f t="array" ref="E135">IFERROR(INDEX(REF_CODES!$B$27:$B$33,MATCH($D135,REF_CODES!$C$27:$C$33,0)),IFERROR(INDEX(REF_CODES!$B$51:$B$55,MATCH($D135,REF_CODES!$C$51:$C$55,0)),""))</f>
        <v>AU-ELI</v>
      </c>
      <c r="F135" s="261" t="s">
        <v>3152</v>
      </c>
      <c r="G135" s="261" t="s">
        <v>5316</v>
      </c>
      <c r="I135" s="261">
        <v>255.0</v>
      </c>
      <c r="K135" s="251" t="s">
        <v>195</v>
      </c>
      <c r="L135" s="5" t="s">
        <v>90</v>
      </c>
      <c r="M135" s="5" t="s">
        <v>2203</v>
      </c>
      <c r="N135" s="5" t="s">
        <v>469</v>
      </c>
      <c r="O135" s="5" t="s">
        <v>498</v>
      </c>
      <c r="P135" s="5" t="s">
        <v>138</v>
      </c>
      <c r="Q135" s="5" t="s">
        <v>2205</v>
      </c>
      <c r="R135" s="5" t="s">
        <v>2207</v>
      </c>
      <c r="U135" s="261" t="s">
        <v>5321</v>
      </c>
      <c r="V135" s="261" t="s">
        <v>5322</v>
      </c>
      <c r="AA135" s="13"/>
      <c r="AC135" s="13"/>
      <c r="AF135" s="261" t="s">
        <v>5324</v>
      </c>
      <c r="AG135" s="253" t="s">
        <v>3332</v>
      </c>
      <c r="AH135" s="244" t="s">
        <v>3333</v>
      </c>
      <c r="AI135" s="254" t="s">
        <v>3334</v>
      </c>
    </row>
    <row r="136" ht="14.25" customHeight="1">
      <c r="A136" s="261" t="s">
        <v>2172</v>
      </c>
      <c r="B136" s="261" t="s">
        <v>1133</v>
      </c>
      <c r="C136" s="261" t="s">
        <v>5326</v>
      </c>
      <c r="D136" s="261" t="s">
        <v>493</v>
      </c>
      <c r="E136" s="13" t="str">
        <f t="array" ref="E136">IFERROR(INDEX(REF_CODES!$B$27:$B$33,MATCH($D136,REF_CODES!$C$27:$C$33,0)),IFERROR(INDEX(REF_CODES!$B$51:$B$55,MATCH($D136,REF_CODES!$C$51:$C$55,0)),""))</f>
        <v>AU-ELI</v>
      </c>
      <c r="F136" s="261" t="s">
        <v>3152</v>
      </c>
      <c r="G136" s="261" t="s">
        <v>5339</v>
      </c>
      <c r="I136" s="261">
        <v>255.0</v>
      </c>
      <c r="K136" s="251" t="s">
        <v>195</v>
      </c>
      <c r="L136" s="5" t="s">
        <v>90</v>
      </c>
      <c r="M136" s="5" t="s">
        <v>2203</v>
      </c>
      <c r="N136" s="5" t="s">
        <v>469</v>
      </c>
      <c r="O136" s="5" t="s">
        <v>498</v>
      </c>
      <c r="P136" s="5" t="s">
        <v>138</v>
      </c>
      <c r="Q136" s="5" t="s">
        <v>2205</v>
      </c>
      <c r="R136" s="5" t="s">
        <v>2207</v>
      </c>
      <c r="U136" s="261" t="s">
        <v>5346</v>
      </c>
      <c r="V136" s="261" t="s">
        <v>5347</v>
      </c>
      <c r="AA136" s="13"/>
      <c r="AC136" s="13"/>
      <c r="AF136" s="261" t="s">
        <v>5324</v>
      </c>
      <c r="AG136" s="253" t="s">
        <v>3332</v>
      </c>
      <c r="AH136" s="244" t="s">
        <v>3333</v>
      </c>
      <c r="AI136" s="254" t="s">
        <v>3334</v>
      </c>
    </row>
    <row r="137" ht="14.25" customHeight="1">
      <c r="A137" s="261" t="s">
        <v>2172</v>
      </c>
      <c r="B137" s="261" t="s">
        <v>1133</v>
      </c>
      <c r="C137" s="261" t="s">
        <v>5349</v>
      </c>
      <c r="D137" s="261" t="s">
        <v>505</v>
      </c>
      <c r="E137" s="13" t="str">
        <f t="array" ref="E137">IFERROR(INDEX(REF_CODES!$B$27:$B$33,MATCH($D137,REF_CODES!$C$27:$C$33,0)),IFERROR(INDEX(REF_CODES!$B$51:$B$55,MATCH($D137,REF_CODES!$C$51:$C$55,0)),""))</f>
        <v>AU-FES</v>
      </c>
      <c r="F137" s="261" t="s">
        <v>5363</v>
      </c>
      <c r="G137" s="261" t="s">
        <v>5364</v>
      </c>
      <c r="I137" s="261">
        <v>1000.0</v>
      </c>
      <c r="K137" s="251" t="s">
        <v>195</v>
      </c>
      <c r="L137" s="5" t="s">
        <v>90</v>
      </c>
      <c r="M137" s="5" t="s">
        <v>2203</v>
      </c>
      <c r="N137" s="5" t="s">
        <v>469</v>
      </c>
      <c r="O137" s="5" t="s">
        <v>498</v>
      </c>
      <c r="P137" s="5" t="s">
        <v>138</v>
      </c>
      <c r="Q137" s="5" t="s">
        <v>2205</v>
      </c>
      <c r="R137" s="5" t="s">
        <v>2207</v>
      </c>
      <c r="T137" s="275" t="s">
        <v>5369</v>
      </c>
      <c r="AA137" s="13"/>
      <c r="AC137" s="13"/>
      <c r="AG137" s="253" t="s">
        <v>3717</v>
      </c>
      <c r="AH137" s="244" t="s">
        <v>3718</v>
      </c>
      <c r="AI137" s="254" t="s">
        <v>3719</v>
      </c>
    </row>
    <row r="138" ht="14.25" customHeight="1">
      <c r="A138" s="261" t="s">
        <v>2172</v>
      </c>
      <c r="B138" s="261" t="s">
        <v>1133</v>
      </c>
      <c r="C138" s="261" t="s">
        <v>5373</v>
      </c>
      <c r="D138" s="261" t="s">
        <v>505</v>
      </c>
      <c r="E138" s="13" t="str">
        <f t="array" ref="E138">IFERROR(INDEX(REF_CODES!$B$27:$B$33,MATCH($D138,REF_CODES!$C$27:$C$33,0)),IFERROR(INDEX(REF_CODES!$B$51:$B$55,MATCH($D138,REF_CODES!$C$51:$C$55,0)),""))</f>
        <v>AU-FES</v>
      </c>
      <c r="F138" s="261" t="s">
        <v>5363</v>
      </c>
      <c r="G138" s="261" t="s">
        <v>5388</v>
      </c>
      <c r="I138" s="261">
        <v>1000.0</v>
      </c>
      <c r="K138" s="251" t="s">
        <v>195</v>
      </c>
      <c r="L138" s="5" t="s">
        <v>90</v>
      </c>
      <c r="M138" s="5" t="s">
        <v>2203</v>
      </c>
      <c r="N138" s="5" t="s">
        <v>469</v>
      </c>
      <c r="O138" s="5" t="s">
        <v>498</v>
      </c>
      <c r="P138" s="5" t="s">
        <v>138</v>
      </c>
      <c r="Q138" s="5" t="s">
        <v>2205</v>
      </c>
      <c r="R138" s="5" t="s">
        <v>2207</v>
      </c>
      <c r="AA138" s="13"/>
      <c r="AC138" s="13"/>
      <c r="AG138" s="253" t="s">
        <v>3717</v>
      </c>
      <c r="AH138" s="244" t="s">
        <v>3718</v>
      </c>
      <c r="AI138" s="254" t="s">
        <v>3719</v>
      </c>
    </row>
    <row r="139" ht="14.25" customHeight="1">
      <c r="A139" s="261" t="s">
        <v>2172</v>
      </c>
      <c r="B139" s="261" t="s">
        <v>1133</v>
      </c>
      <c r="C139" s="261" t="s">
        <v>5398</v>
      </c>
      <c r="D139" s="261" t="s">
        <v>505</v>
      </c>
      <c r="E139" s="13" t="str">
        <f t="array" ref="E139">IFERROR(INDEX(REF_CODES!$B$27:$B$33,MATCH($D139,REF_CODES!$C$27:$C$33,0)),IFERROR(INDEX(REF_CODES!$B$51:$B$55,MATCH($D139,REF_CODES!$C$51:$C$55,0)),""))</f>
        <v>AU-FES</v>
      </c>
      <c r="F139" s="261" t="s">
        <v>5363</v>
      </c>
      <c r="G139" s="261" t="s">
        <v>5410</v>
      </c>
      <c r="I139" s="261">
        <v>1000.0</v>
      </c>
      <c r="K139" s="251" t="s">
        <v>195</v>
      </c>
      <c r="L139" s="5" t="s">
        <v>90</v>
      </c>
      <c r="M139" s="5" t="s">
        <v>2203</v>
      </c>
      <c r="N139" s="5" t="s">
        <v>469</v>
      </c>
      <c r="O139" s="5" t="s">
        <v>498</v>
      </c>
      <c r="P139" s="5" t="s">
        <v>138</v>
      </c>
      <c r="Q139" s="5" t="s">
        <v>2205</v>
      </c>
      <c r="R139" s="5" t="s">
        <v>2207</v>
      </c>
      <c r="AA139" s="13"/>
      <c r="AC139" s="13"/>
      <c r="AG139" s="253" t="s">
        <v>3717</v>
      </c>
      <c r="AH139" s="244" t="s">
        <v>3718</v>
      </c>
      <c r="AI139" s="254" t="s">
        <v>3719</v>
      </c>
    </row>
    <row r="140" ht="14.25" customHeight="1">
      <c r="A140" s="261" t="s">
        <v>2172</v>
      </c>
      <c r="B140" s="261" t="s">
        <v>1133</v>
      </c>
      <c r="C140" s="261" t="s">
        <v>5419</v>
      </c>
      <c r="D140" s="261" t="s">
        <v>505</v>
      </c>
      <c r="E140" s="13" t="str">
        <f t="array" ref="E140">IFERROR(INDEX(REF_CODES!$B$27:$B$33,MATCH($D140,REF_CODES!$C$27:$C$33,0)),IFERROR(INDEX(REF_CODES!$B$51:$B$55,MATCH($D140,REF_CODES!$C$51:$C$55,0)),""))</f>
        <v>AU-FES</v>
      </c>
      <c r="F140" s="261" t="s">
        <v>5363</v>
      </c>
      <c r="G140" s="261" t="s">
        <v>5231</v>
      </c>
      <c r="I140" s="261">
        <v>1000.0</v>
      </c>
      <c r="K140" s="251" t="s">
        <v>195</v>
      </c>
      <c r="L140" s="5" t="s">
        <v>90</v>
      </c>
      <c r="M140" s="5" t="s">
        <v>2203</v>
      </c>
      <c r="N140" s="5" t="s">
        <v>469</v>
      </c>
      <c r="O140" s="5" t="s">
        <v>498</v>
      </c>
      <c r="P140" s="5" t="s">
        <v>138</v>
      </c>
      <c r="Q140" s="5" t="s">
        <v>2205</v>
      </c>
      <c r="R140" s="5" t="s">
        <v>2207</v>
      </c>
      <c r="AA140" s="13"/>
      <c r="AC140" s="13"/>
      <c r="AG140" s="253" t="s">
        <v>3717</v>
      </c>
      <c r="AH140" s="244" t="s">
        <v>3718</v>
      </c>
      <c r="AI140" s="254" t="s">
        <v>3719</v>
      </c>
    </row>
    <row r="141" ht="14.25" customHeight="1">
      <c r="A141" s="261" t="s">
        <v>2172</v>
      </c>
      <c r="B141" s="261" t="s">
        <v>1133</v>
      </c>
      <c r="C141" s="261" t="s">
        <v>5438</v>
      </c>
      <c r="D141" s="261" t="s">
        <v>505</v>
      </c>
      <c r="E141" s="13" t="str">
        <f t="array" ref="E141">IFERROR(INDEX(REF_CODES!$B$27:$B$33,MATCH($D141,REF_CODES!$C$27:$C$33,0)),IFERROR(INDEX(REF_CODES!$B$51:$B$55,MATCH($D141,REF_CODES!$C$51:$C$55,0)),""))</f>
        <v>AU-FES</v>
      </c>
      <c r="F141" s="261" t="s">
        <v>5363</v>
      </c>
      <c r="G141" s="261" t="s">
        <v>5451</v>
      </c>
      <c r="I141" s="261">
        <v>1000.0</v>
      </c>
      <c r="K141" s="251" t="s">
        <v>195</v>
      </c>
      <c r="L141" s="5" t="s">
        <v>90</v>
      </c>
      <c r="M141" s="5" t="s">
        <v>2203</v>
      </c>
      <c r="N141" s="5" t="s">
        <v>469</v>
      </c>
      <c r="O141" s="5" t="s">
        <v>498</v>
      </c>
      <c r="P141" s="5" t="s">
        <v>138</v>
      </c>
      <c r="Q141" s="5" t="s">
        <v>2205</v>
      </c>
      <c r="R141" s="5" t="s">
        <v>2207</v>
      </c>
      <c r="AA141" s="13"/>
      <c r="AC141" s="13"/>
      <c r="AG141" s="253" t="s">
        <v>3717</v>
      </c>
      <c r="AH141" s="244" t="s">
        <v>3718</v>
      </c>
      <c r="AI141" s="254" t="s">
        <v>3719</v>
      </c>
    </row>
    <row r="142" ht="14.25" customHeight="1">
      <c r="A142" s="261" t="s">
        <v>2172</v>
      </c>
      <c r="B142" s="261" t="s">
        <v>1133</v>
      </c>
      <c r="C142" s="261" t="s">
        <v>5457</v>
      </c>
      <c r="D142" s="261" t="s">
        <v>505</v>
      </c>
      <c r="E142" s="13" t="str">
        <f t="array" ref="E142">IFERROR(INDEX(REF_CODES!$B$27:$B$33,MATCH($D142,REF_CODES!$C$27:$C$33,0)),IFERROR(INDEX(REF_CODES!$B$51:$B$55,MATCH($D142,REF_CODES!$C$51:$C$55,0)),""))</f>
        <v>AU-FES</v>
      </c>
      <c r="F142" s="261" t="s">
        <v>5363</v>
      </c>
      <c r="G142" s="261" t="s">
        <v>5471</v>
      </c>
      <c r="I142" s="261">
        <v>1000.0</v>
      </c>
      <c r="K142" s="251" t="s">
        <v>195</v>
      </c>
      <c r="L142" s="5" t="s">
        <v>90</v>
      </c>
      <c r="M142" s="5" t="s">
        <v>2203</v>
      </c>
      <c r="N142" s="5" t="s">
        <v>469</v>
      </c>
      <c r="O142" s="5" t="s">
        <v>498</v>
      </c>
      <c r="P142" s="5" t="s">
        <v>138</v>
      </c>
      <c r="Q142" s="5" t="s">
        <v>2205</v>
      </c>
      <c r="R142" s="5" t="s">
        <v>2207</v>
      </c>
      <c r="AA142" s="13"/>
      <c r="AC142" s="13"/>
      <c r="AG142" s="253" t="s">
        <v>3717</v>
      </c>
      <c r="AH142" s="244" t="s">
        <v>3718</v>
      </c>
      <c r="AI142" s="254" t="s">
        <v>3719</v>
      </c>
    </row>
    <row r="143" ht="14.25" customHeight="1">
      <c r="A143" s="261" t="s">
        <v>2172</v>
      </c>
      <c r="B143" s="261" t="s">
        <v>1133</v>
      </c>
      <c r="C143" s="261" t="s">
        <v>5479</v>
      </c>
      <c r="D143" s="261" t="s">
        <v>505</v>
      </c>
      <c r="E143" s="13" t="str">
        <f t="array" ref="E143">IFERROR(INDEX(REF_CODES!$B$27:$B$33,MATCH($D143,REF_CODES!$C$27:$C$33,0)),IFERROR(INDEX(REF_CODES!$B$51:$B$55,MATCH($D143,REF_CODES!$C$51:$C$55,0)),""))</f>
        <v>AU-FES</v>
      </c>
      <c r="F143" s="261" t="s">
        <v>5363</v>
      </c>
      <c r="G143" s="261" t="s">
        <v>5487</v>
      </c>
      <c r="I143" s="261">
        <v>1000.0</v>
      </c>
      <c r="K143" s="251" t="s">
        <v>195</v>
      </c>
      <c r="L143" s="5" t="s">
        <v>110</v>
      </c>
      <c r="M143" s="5" t="s">
        <v>2203</v>
      </c>
      <c r="N143" s="5" t="s">
        <v>469</v>
      </c>
      <c r="O143" s="5" t="s">
        <v>498</v>
      </c>
      <c r="P143" s="5" t="s">
        <v>146</v>
      </c>
      <c r="Q143" s="5" t="s">
        <v>52</v>
      </c>
      <c r="R143" s="5" t="s">
        <v>2207</v>
      </c>
      <c r="T143" s="275" t="s">
        <v>5040</v>
      </c>
      <c r="AA143" s="13"/>
      <c r="AC143" s="13"/>
      <c r="AG143" s="253" t="s">
        <v>3717</v>
      </c>
      <c r="AH143" s="244" t="s">
        <v>3718</v>
      </c>
      <c r="AI143" s="254" t="s">
        <v>3719</v>
      </c>
    </row>
    <row r="144" ht="14.25" customHeight="1">
      <c r="A144" s="261" t="s">
        <v>2172</v>
      </c>
      <c r="B144" s="261" t="s">
        <v>1133</v>
      </c>
      <c r="C144" s="261" t="s">
        <v>5492</v>
      </c>
      <c r="D144" s="261" t="s">
        <v>442</v>
      </c>
      <c r="E144" s="13" t="str">
        <f t="array" ref="E144">IFERROR(INDEX(REF_CODES!$B$27:$B$33,MATCH($D144,REF_CODES!$C$27:$C$33,0)),IFERROR(INDEX(REF_CODES!$B$51:$B$55,MATCH($D144,REF_CODES!$C$51:$C$55,0)),""))</f>
        <v>AU-DES</v>
      </c>
      <c r="F144" s="261" t="s">
        <v>5499</v>
      </c>
      <c r="G144" s="261" t="s">
        <v>3023</v>
      </c>
      <c r="H144" s="261" t="s">
        <v>5500</v>
      </c>
      <c r="I144" s="261">
        <v>42.0</v>
      </c>
      <c r="K144" s="251" t="s">
        <v>188</v>
      </c>
      <c r="L144" s="5" t="s">
        <v>110</v>
      </c>
      <c r="M144" s="5" t="s">
        <v>2203</v>
      </c>
      <c r="N144" s="5" t="s">
        <v>469</v>
      </c>
      <c r="O144" s="5" t="s">
        <v>498</v>
      </c>
      <c r="P144" s="5" t="s">
        <v>146</v>
      </c>
      <c r="Q144" s="5" t="s">
        <v>52</v>
      </c>
      <c r="R144" s="5" t="s">
        <v>2207</v>
      </c>
      <c r="AA144" s="13"/>
      <c r="AC144" s="13"/>
      <c r="AG144" s="253">
        <v>35.0</v>
      </c>
      <c r="AH144" s="244" t="s">
        <v>3088</v>
      </c>
      <c r="AI144" s="254" t="s">
        <v>3089</v>
      </c>
    </row>
    <row r="145" ht="14.25" customHeight="1">
      <c r="A145" s="261" t="s">
        <v>2172</v>
      </c>
      <c r="B145" s="261" t="s">
        <v>1133</v>
      </c>
      <c r="C145" s="261" t="s">
        <v>5504</v>
      </c>
      <c r="D145" s="261" t="s">
        <v>442</v>
      </c>
      <c r="E145" s="13" t="str">
        <f t="array" ref="E145">IFERROR(INDEX(REF_CODES!$B$27:$B$33,MATCH($D145,REF_CODES!$C$27:$C$33,0)),IFERROR(INDEX(REF_CODES!$B$51:$B$55,MATCH($D145,REF_CODES!$C$51:$C$55,0)),""))</f>
        <v>AU-DES</v>
      </c>
      <c r="F145" s="261" t="s">
        <v>5499</v>
      </c>
      <c r="G145" s="261" t="s">
        <v>5515</v>
      </c>
      <c r="H145" s="261" t="s">
        <v>2543</v>
      </c>
      <c r="I145" s="261">
        <v>37.0</v>
      </c>
      <c r="K145" s="251" t="s">
        <v>188</v>
      </c>
      <c r="L145" s="5" t="s">
        <v>110</v>
      </c>
      <c r="M145" s="5" t="s">
        <v>2203</v>
      </c>
      <c r="N145" s="5" t="s">
        <v>469</v>
      </c>
      <c r="O145" s="5" t="s">
        <v>498</v>
      </c>
      <c r="P145" s="5" t="s">
        <v>146</v>
      </c>
      <c r="Q145" s="5" t="s">
        <v>52</v>
      </c>
      <c r="R145" s="5" t="s">
        <v>2207</v>
      </c>
      <c r="T145" s="275" t="s">
        <v>5518</v>
      </c>
      <c r="AA145" s="13"/>
      <c r="AC145" s="13"/>
      <c r="AG145" s="253">
        <v>35.0</v>
      </c>
      <c r="AH145" s="244" t="s">
        <v>3088</v>
      </c>
      <c r="AI145" s="254" t="s">
        <v>3089</v>
      </c>
    </row>
    <row r="146" ht="14.25" customHeight="1">
      <c r="A146" s="261" t="s">
        <v>2172</v>
      </c>
      <c r="B146" s="261" t="s">
        <v>1133</v>
      </c>
      <c r="C146" s="261" t="s">
        <v>5520</v>
      </c>
      <c r="D146" s="261" t="s">
        <v>442</v>
      </c>
      <c r="E146" s="13" t="str">
        <f t="array" ref="E146">IFERROR(INDEX(REF_CODES!$B$27:$B$33,MATCH($D146,REF_CODES!$C$27:$C$33,0)),IFERROR(INDEX(REF_CODES!$B$51:$B$55,MATCH($D146,REF_CODES!$C$51:$C$55,0)),""))</f>
        <v>AU-DES</v>
      </c>
      <c r="F146" s="261" t="s">
        <v>5499</v>
      </c>
      <c r="G146" s="261" t="s">
        <v>3816</v>
      </c>
      <c r="H146" s="261" t="s">
        <v>2543</v>
      </c>
      <c r="I146" s="261">
        <v>51.0</v>
      </c>
      <c r="K146" s="251" t="s">
        <v>188</v>
      </c>
      <c r="L146" s="5" t="s">
        <v>110</v>
      </c>
      <c r="M146" s="5" t="s">
        <v>2203</v>
      </c>
      <c r="N146" s="5" t="s">
        <v>469</v>
      </c>
      <c r="O146" s="5" t="s">
        <v>498</v>
      </c>
      <c r="P146" s="5" t="s">
        <v>146</v>
      </c>
      <c r="Q146" s="5" t="s">
        <v>52</v>
      </c>
      <c r="R146" s="5" t="s">
        <v>2207</v>
      </c>
      <c r="T146" s="275" t="s">
        <v>5531</v>
      </c>
      <c r="AA146" s="13"/>
      <c r="AC146" s="13"/>
      <c r="AG146" s="253">
        <v>35.0</v>
      </c>
      <c r="AH146" s="244" t="s">
        <v>3088</v>
      </c>
      <c r="AI146" s="254" t="s">
        <v>3089</v>
      </c>
    </row>
    <row r="147" ht="14.25" customHeight="1">
      <c r="A147" s="261" t="s">
        <v>2172</v>
      </c>
      <c r="B147" s="261" t="s">
        <v>1133</v>
      </c>
      <c r="C147" s="261" t="s">
        <v>5536</v>
      </c>
      <c r="D147" s="261" t="s">
        <v>442</v>
      </c>
      <c r="E147" s="13" t="str">
        <f t="array" ref="E147">IFERROR(INDEX(REF_CODES!$B$27:$B$33,MATCH($D147,REF_CODES!$C$27:$C$33,0)),IFERROR(INDEX(REF_CODES!$B$51:$B$55,MATCH($D147,REF_CODES!$C$51:$C$55,0)),""))</f>
        <v>AU-DES</v>
      </c>
      <c r="F147" s="261" t="s">
        <v>5499</v>
      </c>
      <c r="G147" s="261" t="s">
        <v>3882</v>
      </c>
      <c r="H147" s="261" t="s">
        <v>2543</v>
      </c>
      <c r="I147" s="261">
        <v>42.0</v>
      </c>
      <c r="K147" s="251" t="s">
        <v>188</v>
      </c>
      <c r="L147" s="5" t="s">
        <v>110</v>
      </c>
      <c r="M147" s="5" t="s">
        <v>2203</v>
      </c>
      <c r="N147" s="5" t="s">
        <v>469</v>
      </c>
      <c r="O147" s="5" t="s">
        <v>498</v>
      </c>
      <c r="P147" s="5" t="s">
        <v>146</v>
      </c>
      <c r="Q147" s="5" t="s">
        <v>52</v>
      </c>
      <c r="R147" s="5" t="s">
        <v>2207</v>
      </c>
      <c r="T147" s="275" t="s">
        <v>5551</v>
      </c>
      <c r="AA147" s="13"/>
      <c r="AC147" s="13"/>
      <c r="AG147" s="253">
        <v>35.0</v>
      </c>
      <c r="AH147" s="244" t="s">
        <v>3088</v>
      </c>
      <c r="AI147" s="254" t="s">
        <v>3089</v>
      </c>
    </row>
    <row r="148" ht="14.25" customHeight="1">
      <c r="A148" s="261" t="s">
        <v>2172</v>
      </c>
      <c r="B148" s="261" t="s">
        <v>1133</v>
      </c>
      <c r="C148" s="261" t="s">
        <v>5553</v>
      </c>
      <c r="D148" s="261" t="s">
        <v>442</v>
      </c>
      <c r="E148" s="13" t="str">
        <f t="array" ref="E148">IFERROR(INDEX(REF_CODES!$B$27:$B$33,MATCH($D148,REF_CODES!$C$27:$C$33,0)),IFERROR(INDEX(REF_CODES!$B$51:$B$55,MATCH($D148,REF_CODES!$C$51:$C$55,0)),""))</f>
        <v>AU-DES</v>
      </c>
      <c r="F148" s="261" t="s">
        <v>5499</v>
      </c>
      <c r="G148" s="261" t="s">
        <v>4223</v>
      </c>
      <c r="H148" s="261" t="s">
        <v>2543</v>
      </c>
      <c r="I148" s="261">
        <v>47.0</v>
      </c>
      <c r="K148" s="251" t="s">
        <v>188</v>
      </c>
      <c r="L148" s="5" t="s">
        <v>110</v>
      </c>
      <c r="M148" s="5" t="s">
        <v>2203</v>
      </c>
      <c r="N148" s="5" t="s">
        <v>469</v>
      </c>
      <c r="O148" s="5" t="s">
        <v>498</v>
      </c>
      <c r="P148" s="5" t="s">
        <v>146</v>
      </c>
      <c r="Q148" s="5" t="s">
        <v>52</v>
      </c>
      <c r="R148" s="5" t="s">
        <v>2207</v>
      </c>
      <c r="AA148" s="13"/>
      <c r="AC148" s="13"/>
      <c r="AG148" s="253">
        <v>35.0</v>
      </c>
      <c r="AH148" s="244" t="s">
        <v>3088</v>
      </c>
      <c r="AI148" s="254" t="s">
        <v>3089</v>
      </c>
    </row>
    <row r="149" ht="14.25" customHeight="1">
      <c r="A149" s="261" t="s">
        <v>2172</v>
      </c>
      <c r="B149" s="261" t="s">
        <v>1133</v>
      </c>
      <c r="C149" s="261" t="s">
        <v>5563</v>
      </c>
      <c r="D149" s="261" t="s">
        <v>442</v>
      </c>
      <c r="E149" s="13" t="str">
        <f t="array" ref="E149">IFERROR(INDEX(REF_CODES!$B$27:$B$33,MATCH($D149,REF_CODES!$C$27:$C$33,0)),IFERROR(INDEX(REF_CODES!$B$51:$B$55,MATCH($D149,REF_CODES!$C$51:$C$55,0)),""))</f>
        <v>AU-DES</v>
      </c>
      <c r="F149" s="261" t="s">
        <v>5499</v>
      </c>
      <c r="G149" s="261" t="s">
        <v>4085</v>
      </c>
      <c r="H149" s="261" t="s">
        <v>2543</v>
      </c>
      <c r="I149" s="261">
        <v>56.0</v>
      </c>
      <c r="K149" s="251" t="s">
        <v>188</v>
      </c>
      <c r="L149" s="5" t="s">
        <v>110</v>
      </c>
      <c r="M149" s="5" t="s">
        <v>2203</v>
      </c>
      <c r="N149" s="5" t="s">
        <v>469</v>
      </c>
      <c r="O149" s="5" t="s">
        <v>498</v>
      </c>
      <c r="P149" s="5" t="s">
        <v>146</v>
      </c>
      <c r="Q149" s="5" t="s">
        <v>52</v>
      </c>
      <c r="R149" s="5" t="s">
        <v>2207</v>
      </c>
      <c r="T149" s="275" t="s">
        <v>5587</v>
      </c>
      <c r="AA149" s="13"/>
      <c r="AC149" s="13"/>
      <c r="AG149" s="253">
        <v>35.0</v>
      </c>
      <c r="AH149" s="244" t="s">
        <v>3088</v>
      </c>
      <c r="AI149" s="254" t="s">
        <v>3089</v>
      </c>
    </row>
    <row r="150" ht="14.25" customHeight="1">
      <c r="A150" s="261" t="s">
        <v>2172</v>
      </c>
      <c r="B150" s="261" t="s">
        <v>1133</v>
      </c>
      <c r="C150" s="261" t="s">
        <v>5589</v>
      </c>
      <c r="D150" s="261" t="s">
        <v>442</v>
      </c>
      <c r="E150" s="13" t="str">
        <f t="array" ref="E150">IFERROR(INDEX(REF_CODES!$B$27:$B$33,MATCH($D150,REF_CODES!$C$27:$C$33,0)),IFERROR(INDEX(REF_CODES!$B$51:$B$55,MATCH($D150,REF_CODES!$C$51:$C$55,0)),""))</f>
        <v>AU-DES</v>
      </c>
      <c r="F150" s="261" t="s">
        <v>5499</v>
      </c>
      <c r="G150" s="261" t="s">
        <v>4077</v>
      </c>
      <c r="I150" s="261">
        <v>35.0</v>
      </c>
      <c r="K150" s="251" t="s">
        <v>188</v>
      </c>
      <c r="L150" s="5" t="s">
        <v>97</v>
      </c>
      <c r="M150" s="5" t="s">
        <v>2312</v>
      </c>
      <c r="N150" s="5" t="s">
        <v>463</v>
      </c>
      <c r="O150" s="5" t="s">
        <v>498</v>
      </c>
      <c r="P150" s="5" t="s">
        <v>2782</v>
      </c>
      <c r="Q150" s="5" t="s">
        <v>2783</v>
      </c>
      <c r="R150" s="5" t="s">
        <v>2207</v>
      </c>
      <c r="T150" s="285" t="s">
        <v>5603</v>
      </c>
      <c r="U150" s="261" t="s">
        <v>3726</v>
      </c>
      <c r="V150" s="261" t="s">
        <v>4070</v>
      </c>
      <c r="AC150" s="13"/>
      <c r="AD150" s="271">
        <v>4.5</v>
      </c>
      <c r="AE150" s="272">
        <v>384.0</v>
      </c>
      <c r="AF150" s="261" t="s">
        <v>5605</v>
      </c>
      <c r="AG150" s="253">
        <v>35.0</v>
      </c>
      <c r="AH150" s="244" t="s">
        <v>3088</v>
      </c>
      <c r="AI150" s="254" t="s">
        <v>3089</v>
      </c>
    </row>
    <row r="151" ht="14.25" customHeight="1">
      <c r="A151" s="261" t="s">
        <v>2172</v>
      </c>
      <c r="B151" s="261" t="s">
        <v>1133</v>
      </c>
      <c r="C151" s="261" t="s">
        <v>5607</v>
      </c>
      <c r="D151" s="261" t="s">
        <v>442</v>
      </c>
      <c r="E151" s="13" t="str">
        <f t="array" ref="E151">IFERROR(INDEX(REF_CODES!$B$27:$B$33,MATCH($D151,REF_CODES!$C$27:$C$33,0)),IFERROR(INDEX(REF_CODES!$B$51:$B$55,MATCH($D151,REF_CODES!$C$51:$C$55,0)),""))</f>
        <v>AU-DES</v>
      </c>
      <c r="F151" s="261" t="s">
        <v>5499</v>
      </c>
      <c r="G151" s="261" t="s">
        <v>3145</v>
      </c>
      <c r="H151" s="261" t="s">
        <v>1919</v>
      </c>
      <c r="I151" s="261">
        <v>28.0</v>
      </c>
      <c r="K151" s="251" t="s">
        <v>188</v>
      </c>
      <c r="L151" s="5" t="s">
        <v>97</v>
      </c>
      <c r="M151" s="5" t="s">
        <v>2312</v>
      </c>
      <c r="N151" s="5" t="s">
        <v>463</v>
      </c>
      <c r="O151" s="5" t="s">
        <v>498</v>
      </c>
      <c r="P151" s="5" t="s">
        <v>2782</v>
      </c>
      <c r="Q151" s="5" t="s">
        <v>2783</v>
      </c>
      <c r="R151" s="5" t="s">
        <v>2207</v>
      </c>
      <c r="T151" s="285" t="s">
        <v>5616</v>
      </c>
      <c r="U151" s="261" t="s">
        <v>3726</v>
      </c>
      <c r="V151" s="261" t="s">
        <v>5617</v>
      </c>
      <c r="AC151" s="13"/>
      <c r="AD151" s="271">
        <v>4.3</v>
      </c>
      <c r="AE151" s="272">
        <v>374.0</v>
      </c>
      <c r="AF151" s="261" t="s">
        <v>5605</v>
      </c>
      <c r="AG151" s="253">
        <v>35.0</v>
      </c>
      <c r="AH151" s="244" t="s">
        <v>3088</v>
      </c>
      <c r="AI151" s="254" t="s">
        <v>3089</v>
      </c>
    </row>
    <row r="152" ht="14.25" customHeight="1">
      <c r="A152" s="261" t="s">
        <v>2172</v>
      </c>
      <c r="B152" s="261" t="s">
        <v>1133</v>
      </c>
      <c r="C152" s="261" t="s">
        <v>5621</v>
      </c>
      <c r="D152" s="261" t="s">
        <v>470</v>
      </c>
      <c r="E152" s="13" t="str">
        <f t="array" ref="E152">IFERROR(INDEX(REF_CODES!$B$27:$B$33,MATCH($D152,REF_CODES!$C$27:$C$33,0)),IFERROR(INDEX(REF_CODES!$B$51:$B$55,MATCH($D152,REF_CODES!$C$51:$C$55,0)),""))</f>
        <v>AU-CUL</v>
      </c>
      <c r="F152" s="261" t="s">
        <v>5635</v>
      </c>
      <c r="G152" s="261" t="s">
        <v>3629</v>
      </c>
      <c r="I152" s="261">
        <v>50.0</v>
      </c>
      <c r="K152" s="251" t="s">
        <v>188</v>
      </c>
      <c r="L152" s="5" t="s">
        <v>97</v>
      </c>
      <c r="M152" s="5" t="s">
        <v>2312</v>
      </c>
      <c r="N152" s="5" t="s">
        <v>463</v>
      </c>
      <c r="O152" s="5" t="s">
        <v>498</v>
      </c>
      <c r="P152" s="5" t="s">
        <v>2782</v>
      </c>
      <c r="Q152" s="5" t="s">
        <v>2783</v>
      </c>
      <c r="R152" s="5" t="s">
        <v>2207</v>
      </c>
      <c r="T152" s="275" t="s">
        <v>5641</v>
      </c>
      <c r="V152" s="261" t="s">
        <v>5642</v>
      </c>
      <c r="AC152" s="13"/>
      <c r="AF152" s="261" t="s">
        <v>5605</v>
      </c>
      <c r="AG152" s="253">
        <f t="shared" ref="AG152:AG159" si="10">I152</f>
        <v>50</v>
      </c>
      <c r="AH152" s="244" t="s">
        <v>2876</v>
      </c>
      <c r="AI152" s="254" t="s">
        <v>2877</v>
      </c>
    </row>
    <row r="153" ht="14.25" customHeight="1">
      <c r="A153" s="261" t="s">
        <v>2172</v>
      </c>
      <c r="B153" s="261" t="s">
        <v>1133</v>
      </c>
      <c r="C153" s="261" t="s">
        <v>5647</v>
      </c>
      <c r="D153" s="261" t="s">
        <v>470</v>
      </c>
      <c r="E153" s="13" t="str">
        <f t="array" ref="E153">IFERROR(INDEX(REF_CODES!$B$27:$B$33,MATCH($D153,REF_CODES!$C$27:$C$33,0)),IFERROR(INDEX(REF_CODES!$B$51:$B$55,MATCH($D153,REF_CODES!$C$51:$C$55,0)),""))</f>
        <v>AU-CUL</v>
      </c>
      <c r="F153" s="261" t="s">
        <v>5635</v>
      </c>
      <c r="G153" s="261" t="s">
        <v>5654</v>
      </c>
      <c r="I153" s="261">
        <v>50.0</v>
      </c>
      <c r="K153" s="251" t="s">
        <v>188</v>
      </c>
      <c r="L153" s="5" t="s">
        <v>97</v>
      </c>
      <c r="M153" s="5" t="s">
        <v>2312</v>
      </c>
      <c r="N153" s="5" t="s">
        <v>463</v>
      </c>
      <c r="O153" s="5" t="s">
        <v>498</v>
      </c>
      <c r="P153" s="5" t="s">
        <v>2782</v>
      </c>
      <c r="Q153" s="5" t="s">
        <v>2783</v>
      </c>
      <c r="R153" s="5" t="s">
        <v>2207</v>
      </c>
      <c r="T153" s="275" t="s">
        <v>5660</v>
      </c>
      <c r="AC153" s="13"/>
      <c r="AF153" s="261" t="s">
        <v>5605</v>
      </c>
      <c r="AG153" s="253">
        <f t="shared" si="10"/>
        <v>50</v>
      </c>
      <c r="AH153" s="244" t="s">
        <v>2876</v>
      </c>
      <c r="AI153" s="254" t="s">
        <v>2877</v>
      </c>
    </row>
    <row r="154" ht="14.25" customHeight="1">
      <c r="A154" s="261" t="s">
        <v>2172</v>
      </c>
      <c r="B154" s="261" t="s">
        <v>1133</v>
      </c>
      <c r="C154" s="261" t="s">
        <v>5664</v>
      </c>
      <c r="D154" s="261" t="s">
        <v>470</v>
      </c>
      <c r="E154" s="13" t="str">
        <f t="array" ref="E154">IFERROR(INDEX(REF_CODES!$B$27:$B$33,MATCH($D154,REF_CODES!$C$27:$C$33,0)),IFERROR(INDEX(REF_CODES!$B$51:$B$55,MATCH($D154,REF_CODES!$C$51:$C$55,0)),""))</f>
        <v>AU-CUL</v>
      </c>
      <c r="F154" s="261" t="s">
        <v>5635</v>
      </c>
      <c r="G154" s="261" t="s">
        <v>5673</v>
      </c>
      <c r="I154" s="261">
        <v>90.0</v>
      </c>
      <c r="K154" s="251" t="s">
        <v>188</v>
      </c>
      <c r="L154" s="5" t="s">
        <v>97</v>
      </c>
      <c r="M154" s="5" t="s">
        <v>2312</v>
      </c>
      <c r="N154" s="5" t="s">
        <v>463</v>
      </c>
      <c r="O154" s="5" t="s">
        <v>498</v>
      </c>
      <c r="P154" s="5" t="s">
        <v>2782</v>
      </c>
      <c r="Q154" s="5" t="s">
        <v>2783</v>
      </c>
      <c r="R154" s="5" t="s">
        <v>2207</v>
      </c>
      <c r="T154" s="285" t="s">
        <v>5679</v>
      </c>
      <c r="U154" s="261" t="s">
        <v>3726</v>
      </c>
      <c r="V154" s="261" t="s">
        <v>5680</v>
      </c>
      <c r="AC154" s="13"/>
      <c r="AD154" s="271">
        <v>4.4</v>
      </c>
      <c r="AE154" s="272">
        <v>1410.0</v>
      </c>
      <c r="AF154" s="261" t="s">
        <v>5605</v>
      </c>
      <c r="AG154" s="253">
        <f t="shared" si="10"/>
        <v>90</v>
      </c>
      <c r="AH154" s="244" t="s">
        <v>2876</v>
      </c>
      <c r="AI154" s="254" t="s">
        <v>2877</v>
      </c>
    </row>
    <row r="155" ht="14.25" customHeight="1">
      <c r="A155" s="261" t="s">
        <v>2172</v>
      </c>
      <c r="B155" s="261" t="s">
        <v>1133</v>
      </c>
      <c r="C155" s="261" t="s">
        <v>5683</v>
      </c>
      <c r="D155" s="261" t="s">
        <v>470</v>
      </c>
      <c r="E155" s="13" t="str">
        <f t="array" ref="E155">IFERROR(INDEX(REF_CODES!$B$27:$B$33,MATCH($D155,REF_CODES!$C$27:$C$33,0)),IFERROR(INDEX(REF_CODES!$B$51:$B$55,MATCH($D155,REF_CODES!$C$51:$C$55,0)),""))</f>
        <v>AU-CUL</v>
      </c>
      <c r="F155" s="261" t="s">
        <v>5635</v>
      </c>
      <c r="G155" s="261" t="s">
        <v>5692</v>
      </c>
      <c r="I155" s="261">
        <v>50.0</v>
      </c>
      <c r="K155" s="251" t="s">
        <v>188</v>
      </c>
      <c r="L155" s="5" t="s">
        <v>97</v>
      </c>
      <c r="M155" s="5" t="s">
        <v>2312</v>
      </c>
      <c r="N155" s="5" t="s">
        <v>463</v>
      </c>
      <c r="O155" s="5" t="s">
        <v>498</v>
      </c>
      <c r="P155" s="5" t="s">
        <v>2782</v>
      </c>
      <c r="Q155" s="5" t="s">
        <v>2783</v>
      </c>
      <c r="R155" s="5" t="s">
        <v>2207</v>
      </c>
      <c r="V155" s="261" t="s">
        <v>5695</v>
      </c>
      <c r="AC155" s="13"/>
      <c r="AF155" s="261" t="s">
        <v>5605</v>
      </c>
      <c r="AG155" s="253">
        <f t="shared" si="10"/>
        <v>50</v>
      </c>
      <c r="AH155" s="244" t="s">
        <v>2876</v>
      </c>
      <c r="AI155" s="254" t="s">
        <v>2877</v>
      </c>
    </row>
    <row r="156" ht="14.25" customHeight="1">
      <c r="A156" s="261" t="s">
        <v>2172</v>
      </c>
      <c r="B156" s="261" t="s">
        <v>1133</v>
      </c>
      <c r="C156" s="261" t="s">
        <v>5698</v>
      </c>
      <c r="D156" s="261" t="s">
        <v>470</v>
      </c>
      <c r="E156" s="13" t="str">
        <f t="array" ref="E156">IFERROR(INDEX(REF_CODES!$B$27:$B$33,MATCH($D156,REF_CODES!$C$27:$C$33,0)),IFERROR(INDEX(REF_CODES!$B$51:$B$55,MATCH($D156,REF_CODES!$C$51:$C$55,0)),""))</f>
        <v>AU-CUL</v>
      </c>
      <c r="F156" s="261" t="s">
        <v>5635</v>
      </c>
      <c r="G156" s="261" t="s">
        <v>5706</v>
      </c>
      <c r="I156" s="261">
        <v>50.0</v>
      </c>
      <c r="K156" s="251" t="s">
        <v>188</v>
      </c>
      <c r="L156" s="5" t="s">
        <v>97</v>
      </c>
      <c r="M156" s="5" t="s">
        <v>2312</v>
      </c>
      <c r="N156" s="5" t="s">
        <v>463</v>
      </c>
      <c r="O156" s="5" t="s">
        <v>498</v>
      </c>
      <c r="P156" s="5" t="s">
        <v>2782</v>
      </c>
      <c r="Q156" s="5" t="s">
        <v>2783</v>
      </c>
      <c r="R156" s="5" t="s">
        <v>2207</v>
      </c>
      <c r="AC156" s="13"/>
      <c r="AG156" s="253">
        <f t="shared" si="10"/>
        <v>50</v>
      </c>
      <c r="AH156" s="244" t="s">
        <v>2876</v>
      </c>
      <c r="AI156" s="254" t="s">
        <v>2877</v>
      </c>
    </row>
    <row r="157" ht="14.25" customHeight="1">
      <c r="A157" s="261" t="s">
        <v>2172</v>
      </c>
      <c r="B157" s="261" t="s">
        <v>1133</v>
      </c>
      <c r="C157" s="261" t="s">
        <v>5714</v>
      </c>
      <c r="D157" s="261" t="s">
        <v>470</v>
      </c>
      <c r="E157" s="13" t="str">
        <f t="array" ref="E157">IFERROR(INDEX(REF_CODES!$B$27:$B$33,MATCH($D157,REF_CODES!$C$27:$C$33,0)),IFERROR(INDEX(REF_CODES!$B$51:$B$55,MATCH($D157,REF_CODES!$C$51:$C$55,0)),""))</f>
        <v>AU-CUL</v>
      </c>
      <c r="F157" s="261" t="s">
        <v>5635</v>
      </c>
      <c r="G157" s="261" t="s">
        <v>5721</v>
      </c>
      <c r="I157" s="281">
        <v>255.0</v>
      </c>
      <c r="K157" s="251" t="s">
        <v>188</v>
      </c>
      <c r="L157" s="5" t="s">
        <v>97</v>
      </c>
      <c r="M157" s="5" t="s">
        <v>2312</v>
      </c>
      <c r="N157" s="5" t="s">
        <v>463</v>
      </c>
      <c r="O157" s="5" t="s">
        <v>498</v>
      </c>
      <c r="P157" s="5" t="s">
        <v>2782</v>
      </c>
      <c r="Q157" s="5" t="s">
        <v>2783</v>
      </c>
      <c r="R157" s="5" t="s">
        <v>2207</v>
      </c>
      <c r="AC157" s="13"/>
      <c r="AF157" s="261" t="s">
        <v>5726</v>
      </c>
      <c r="AG157" s="253">
        <f t="shared" si="10"/>
        <v>255</v>
      </c>
      <c r="AH157" s="244" t="s">
        <v>2876</v>
      </c>
      <c r="AI157" s="254" t="s">
        <v>2877</v>
      </c>
    </row>
    <row r="158" ht="14.25" customHeight="1">
      <c r="A158" s="261" t="s">
        <v>2172</v>
      </c>
      <c r="B158" s="261" t="s">
        <v>1133</v>
      </c>
      <c r="C158" s="261" t="s">
        <v>5729</v>
      </c>
      <c r="D158" s="261" t="s">
        <v>470</v>
      </c>
      <c r="E158" s="13" t="str">
        <f t="array" ref="E158">IFERROR(INDEX(REF_CODES!$B$27:$B$33,MATCH($D158,REF_CODES!$C$27:$C$33,0)),IFERROR(INDEX(REF_CODES!$B$51:$B$55,MATCH($D158,REF_CODES!$C$51:$C$55,0)),""))</f>
        <v>AU-CUL</v>
      </c>
      <c r="F158" s="261" t="s">
        <v>5635</v>
      </c>
      <c r="G158" s="261" t="s">
        <v>5740</v>
      </c>
      <c r="I158" s="261">
        <v>50.0</v>
      </c>
      <c r="K158" s="251" t="s">
        <v>188</v>
      </c>
      <c r="L158" s="5" t="s">
        <v>97</v>
      </c>
      <c r="M158" s="5" t="s">
        <v>2312</v>
      </c>
      <c r="N158" s="5" t="s">
        <v>463</v>
      </c>
      <c r="O158" s="5" t="s">
        <v>498</v>
      </c>
      <c r="P158" s="5" t="s">
        <v>142</v>
      </c>
      <c r="Q158" s="5" t="s">
        <v>2391</v>
      </c>
      <c r="R158" s="5" t="s">
        <v>2207</v>
      </c>
      <c r="T158" s="275" t="s">
        <v>3636</v>
      </c>
      <c r="AC158" s="13"/>
      <c r="AG158" s="253">
        <f t="shared" si="10"/>
        <v>50</v>
      </c>
      <c r="AH158" s="244" t="s">
        <v>2876</v>
      </c>
      <c r="AI158" s="254" t="s">
        <v>2877</v>
      </c>
    </row>
    <row r="159" ht="14.25" customHeight="1">
      <c r="A159" s="261" t="s">
        <v>2172</v>
      </c>
      <c r="B159" s="261" t="s">
        <v>1133</v>
      </c>
      <c r="C159" s="261" t="s">
        <v>5758</v>
      </c>
      <c r="D159" s="261" t="s">
        <v>470</v>
      </c>
      <c r="E159" s="13" t="str">
        <f t="array" ref="E159">IFERROR(INDEX(REF_CODES!$B$27:$B$33,MATCH($D159,REF_CODES!$C$27:$C$33,0)),IFERROR(INDEX(REF_CODES!$B$51:$B$55,MATCH($D159,REF_CODES!$C$51:$C$55,0)),""))</f>
        <v>AU-CUL</v>
      </c>
      <c r="F159" s="261" t="s">
        <v>5635</v>
      </c>
      <c r="G159" s="261" t="s">
        <v>5775</v>
      </c>
      <c r="I159" s="261">
        <v>50.0</v>
      </c>
      <c r="K159" s="251" t="s">
        <v>188</v>
      </c>
      <c r="L159" s="5" t="s">
        <v>97</v>
      </c>
      <c r="M159" s="5" t="s">
        <v>2312</v>
      </c>
      <c r="N159" s="5" t="s">
        <v>463</v>
      </c>
      <c r="O159" s="5" t="s">
        <v>498</v>
      </c>
      <c r="P159" s="5" t="s">
        <v>142</v>
      </c>
      <c r="Q159" s="5" t="s">
        <v>2391</v>
      </c>
      <c r="R159" s="5" t="s">
        <v>2207</v>
      </c>
      <c r="AC159" s="13"/>
      <c r="AG159" s="253">
        <f t="shared" si="10"/>
        <v>50</v>
      </c>
      <c r="AH159" s="244" t="s">
        <v>2876</v>
      </c>
      <c r="AI159" s="254" t="s">
        <v>2877</v>
      </c>
    </row>
    <row r="160" ht="14.25" customHeight="1">
      <c r="A160" s="261" t="s">
        <v>2172</v>
      </c>
      <c r="B160" s="261" t="s">
        <v>1133</v>
      </c>
      <c r="C160" s="261" t="s">
        <v>5782</v>
      </c>
      <c r="D160" s="261" t="s">
        <v>470</v>
      </c>
      <c r="E160" s="13" t="str">
        <f t="array" ref="E160">IFERROR(INDEX(REF_CODES!$B$27:$B$33,MATCH($D160,REF_CODES!$C$27:$C$33,0)),IFERROR(INDEX(REF_CODES!$B$51:$B$55,MATCH($D160,REF_CODES!$C$51:$C$55,0)),""))</f>
        <v>AU-CUL</v>
      </c>
      <c r="F160" s="261" t="s">
        <v>4075</v>
      </c>
      <c r="G160" s="261" t="s">
        <v>5788</v>
      </c>
      <c r="I160" s="261">
        <v>30.0</v>
      </c>
      <c r="K160" s="251" t="s">
        <v>188</v>
      </c>
      <c r="L160" s="5" t="s">
        <v>97</v>
      </c>
      <c r="M160" s="5" t="s">
        <v>2312</v>
      </c>
      <c r="N160" s="5" t="s">
        <v>463</v>
      </c>
      <c r="O160" s="5" t="s">
        <v>498</v>
      </c>
      <c r="P160" s="5" t="s">
        <v>142</v>
      </c>
      <c r="Q160" s="5" t="s">
        <v>2391</v>
      </c>
      <c r="R160" s="5" t="s">
        <v>2207</v>
      </c>
      <c r="T160" s="275" t="s">
        <v>5791</v>
      </c>
      <c r="AC160" s="13"/>
      <c r="AG160" s="253">
        <f t="shared" ref="AG160:AG164" si="11">ROUND(I160*0.5,0)</f>
        <v>15</v>
      </c>
      <c r="AH160" s="244" t="s">
        <v>3390</v>
      </c>
      <c r="AI160" s="254" t="s">
        <v>4083</v>
      </c>
    </row>
    <row r="161" ht="14.25" customHeight="1">
      <c r="A161" s="261" t="s">
        <v>2172</v>
      </c>
      <c r="B161" s="261" t="s">
        <v>1133</v>
      </c>
      <c r="C161" s="261" t="s">
        <v>5800</v>
      </c>
      <c r="D161" s="261" t="s">
        <v>470</v>
      </c>
      <c r="E161" s="13" t="str">
        <f t="array" ref="E161">IFERROR(INDEX(REF_CODES!$B$27:$B$33,MATCH($D161,REF_CODES!$C$27:$C$33,0)),IFERROR(INDEX(REF_CODES!$B$51:$B$55,MATCH($D161,REF_CODES!$C$51:$C$55,0)),""))</f>
        <v>AU-CUL</v>
      </c>
      <c r="F161" s="261" t="s">
        <v>4075</v>
      </c>
      <c r="G161" s="261" t="s">
        <v>5813</v>
      </c>
      <c r="I161" s="261">
        <v>30.0</v>
      </c>
      <c r="K161" s="251" t="s">
        <v>188</v>
      </c>
      <c r="L161" s="5" t="s">
        <v>97</v>
      </c>
      <c r="M161" s="5" t="s">
        <v>2312</v>
      </c>
      <c r="N161" s="5" t="s">
        <v>463</v>
      </c>
      <c r="O161" s="5" t="s">
        <v>498</v>
      </c>
      <c r="P161" s="5" t="s">
        <v>142</v>
      </c>
      <c r="Q161" s="5" t="s">
        <v>2391</v>
      </c>
      <c r="R161" s="5" t="s">
        <v>2207</v>
      </c>
      <c r="AC161" s="13"/>
      <c r="AG161" s="253">
        <f t="shared" si="11"/>
        <v>15</v>
      </c>
      <c r="AH161" s="244" t="s">
        <v>3390</v>
      </c>
      <c r="AI161" s="254" t="s">
        <v>4083</v>
      </c>
    </row>
    <row r="162" ht="14.25" customHeight="1">
      <c r="A162" s="261" t="s">
        <v>2172</v>
      </c>
      <c r="B162" s="261" t="s">
        <v>1133</v>
      </c>
      <c r="C162" s="261" t="s">
        <v>5821</v>
      </c>
      <c r="D162" s="261" t="s">
        <v>470</v>
      </c>
      <c r="E162" s="13" t="str">
        <f t="array" ref="E162">IFERROR(INDEX(REF_CODES!$B$27:$B$33,MATCH($D162,REF_CODES!$C$27:$C$33,0)),IFERROR(INDEX(REF_CODES!$B$51:$B$55,MATCH($D162,REF_CODES!$C$51:$C$55,0)),""))</f>
        <v>AU-CUL</v>
      </c>
      <c r="F162" s="261" t="s">
        <v>4075</v>
      </c>
      <c r="G162" s="261" t="s">
        <v>5834</v>
      </c>
      <c r="I162" s="261">
        <v>30.0</v>
      </c>
      <c r="K162" s="251" t="s">
        <v>188</v>
      </c>
      <c r="L162" s="5" t="s">
        <v>97</v>
      </c>
      <c r="M162" s="5" t="s">
        <v>2312</v>
      </c>
      <c r="N162" s="5" t="s">
        <v>463</v>
      </c>
      <c r="O162" s="5" t="s">
        <v>498</v>
      </c>
      <c r="P162" s="5" t="s">
        <v>142</v>
      </c>
      <c r="Q162" s="5" t="s">
        <v>2391</v>
      </c>
      <c r="R162" s="5" t="s">
        <v>2207</v>
      </c>
      <c r="AC162" s="13"/>
      <c r="AG162" s="253">
        <f t="shared" si="11"/>
        <v>15</v>
      </c>
      <c r="AH162" s="244" t="s">
        <v>3390</v>
      </c>
      <c r="AI162" s="254" t="s">
        <v>4083</v>
      </c>
    </row>
    <row r="163" ht="14.25" customHeight="1">
      <c r="A163" s="261" t="s">
        <v>2172</v>
      </c>
      <c r="B163" s="261" t="s">
        <v>1133</v>
      </c>
      <c r="C163" s="261" t="s">
        <v>5842</v>
      </c>
      <c r="D163" s="261" t="s">
        <v>470</v>
      </c>
      <c r="E163" s="13" t="str">
        <f t="array" ref="E163">IFERROR(INDEX(REF_CODES!$B$27:$B$33,MATCH($D163,REF_CODES!$C$27:$C$33,0)),IFERROR(INDEX(REF_CODES!$B$51:$B$55,MATCH($D163,REF_CODES!$C$51:$C$55,0)),""))</f>
        <v>AU-CUL</v>
      </c>
      <c r="F163" s="261" t="s">
        <v>4075</v>
      </c>
      <c r="G163" s="261" t="s">
        <v>5855</v>
      </c>
      <c r="I163" s="261">
        <v>30.0</v>
      </c>
      <c r="K163" s="251" t="s">
        <v>188</v>
      </c>
      <c r="L163" s="5" t="s">
        <v>97</v>
      </c>
      <c r="M163" s="5" t="s">
        <v>2312</v>
      </c>
      <c r="N163" s="5" t="s">
        <v>463</v>
      </c>
      <c r="O163" s="5" t="s">
        <v>498</v>
      </c>
      <c r="P163" s="5" t="s">
        <v>142</v>
      </c>
      <c r="Q163" s="5" t="s">
        <v>2391</v>
      </c>
      <c r="R163" s="5" t="s">
        <v>2207</v>
      </c>
      <c r="T163" s="275" t="s">
        <v>5865</v>
      </c>
      <c r="AC163" s="13"/>
      <c r="AG163" s="253">
        <f t="shared" si="11"/>
        <v>15</v>
      </c>
      <c r="AH163" s="244" t="s">
        <v>3390</v>
      </c>
      <c r="AI163" s="254" t="s">
        <v>4083</v>
      </c>
    </row>
    <row r="164" ht="14.25" customHeight="1">
      <c r="A164" s="261" t="s">
        <v>2172</v>
      </c>
      <c r="B164" s="261" t="s">
        <v>1133</v>
      </c>
      <c r="C164" s="261" t="s">
        <v>5869</v>
      </c>
      <c r="D164" s="261" t="s">
        <v>470</v>
      </c>
      <c r="E164" s="13" t="str">
        <f t="array" ref="E164">IFERROR(INDEX(REF_CODES!$B$27:$B$33,MATCH($D164,REF_CODES!$C$27:$C$33,0)),IFERROR(INDEX(REF_CODES!$B$51:$B$55,MATCH($D164,REF_CODES!$C$51:$C$55,0)),""))</f>
        <v>AU-CUL</v>
      </c>
      <c r="F164" s="261" t="s">
        <v>4075</v>
      </c>
      <c r="G164" s="261" t="s">
        <v>5881</v>
      </c>
      <c r="I164" s="261">
        <v>30.0</v>
      </c>
      <c r="K164" s="251" t="s">
        <v>188</v>
      </c>
      <c r="L164" s="5" t="s">
        <v>97</v>
      </c>
      <c r="M164" s="5" t="s">
        <v>2312</v>
      </c>
      <c r="N164" s="5" t="s">
        <v>463</v>
      </c>
      <c r="O164" s="5" t="s">
        <v>498</v>
      </c>
      <c r="P164" s="5" t="s">
        <v>142</v>
      </c>
      <c r="Q164" s="5" t="s">
        <v>2391</v>
      </c>
      <c r="R164" s="5" t="s">
        <v>2207</v>
      </c>
      <c r="AC164" s="13"/>
      <c r="AG164" s="253">
        <f t="shared" si="11"/>
        <v>15</v>
      </c>
      <c r="AH164" s="244" t="s">
        <v>3390</v>
      </c>
      <c r="AI164" s="254" t="s">
        <v>4083</v>
      </c>
    </row>
    <row r="165" ht="14.25" customHeight="1">
      <c r="A165" s="261" t="s">
        <v>2172</v>
      </c>
      <c r="B165" s="261" t="s">
        <v>1133</v>
      </c>
      <c r="C165" s="261" t="s">
        <v>5890</v>
      </c>
      <c r="D165" s="261" t="s">
        <v>470</v>
      </c>
      <c r="E165" s="13" t="str">
        <f t="array" ref="E165">IFERROR(INDEX(REF_CODES!$B$27:$B$33,MATCH($D165,REF_CODES!$C$27:$C$33,0)),IFERROR(INDEX(REF_CODES!$B$51:$B$55,MATCH($D165,REF_CODES!$C$51:$C$55,0)),""))</f>
        <v>AU-CUL</v>
      </c>
      <c r="F165" s="261" t="s">
        <v>5897</v>
      </c>
      <c r="G165" s="261" t="s">
        <v>5898</v>
      </c>
      <c r="H165" s="261" t="s">
        <v>2191</v>
      </c>
      <c r="I165" s="261">
        <v>42.0</v>
      </c>
      <c r="K165" s="251" t="s">
        <v>188</v>
      </c>
      <c r="L165" s="5" t="s">
        <v>97</v>
      </c>
      <c r="M165" s="5" t="s">
        <v>2312</v>
      </c>
      <c r="N165" s="5" t="s">
        <v>463</v>
      </c>
      <c r="O165" s="5" t="s">
        <v>498</v>
      </c>
      <c r="P165" s="5" t="s">
        <v>142</v>
      </c>
      <c r="Q165" s="5" t="s">
        <v>2391</v>
      </c>
      <c r="R165" s="5" t="s">
        <v>2207</v>
      </c>
      <c r="T165" s="275" t="s">
        <v>5907</v>
      </c>
      <c r="AC165" s="13"/>
      <c r="AG165" s="253">
        <f t="shared" ref="AG165:AG170" si="12">I165</f>
        <v>42</v>
      </c>
      <c r="AH165" s="244" t="s">
        <v>2852</v>
      </c>
      <c r="AI165" s="254" t="s">
        <v>2854</v>
      </c>
    </row>
    <row r="166" ht="14.25" customHeight="1">
      <c r="A166" s="261" t="s">
        <v>2172</v>
      </c>
      <c r="B166" s="261" t="s">
        <v>1133</v>
      </c>
      <c r="C166" s="261" t="s">
        <v>5909</v>
      </c>
      <c r="D166" s="261" t="s">
        <v>470</v>
      </c>
      <c r="E166" s="13" t="str">
        <f t="array" ref="E166">IFERROR(INDEX(REF_CODES!$B$27:$B$33,MATCH($D166,REF_CODES!$C$27:$C$33,0)),IFERROR(INDEX(REF_CODES!$B$51:$B$55,MATCH($D166,REF_CODES!$C$51:$C$55,0)),""))</f>
        <v>AU-CUL</v>
      </c>
      <c r="F166" s="261" t="s">
        <v>5897</v>
      </c>
      <c r="G166" s="261" t="s">
        <v>5921</v>
      </c>
      <c r="H166" s="261" t="s">
        <v>2306</v>
      </c>
      <c r="I166" s="261">
        <v>150.0</v>
      </c>
      <c r="K166" s="251" t="s">
        <v>188</v>
      </c>
      <c r="L166" s="5" t="s">
        <v>97</v>
      </c>
      <c r="M166" s="5" t="s">
        <v>2312</v>
      </c>
      <c r="N166" s="5" t="s">
        <v>463</v>
      </c>
      <c r="O166" s="5" t="s">
        <v>498</v>
      </c>
      <c r="P166" s="5" t="s">
        <v>142</v>
      </c>
      <c r="Q166" s="5" t="s">
        <v>2391</v>
      </c>
      <c r="R166" s="5" t="s">
        <v>2207</v>
      </c>
      <c r="T166" s="275" t="s">
        <v>5925</v>
      </c>
      <c r="AC166" s="13"/>
      <c r="AG166" s="253">
        <f t="shared" si="12"/>
        <v>150</v>
      </c>
      <c r="AH166" s="244" t="s">
        <v>2852</v>
      </c>
      <c r="AI166" s="254" t="s">
        <v>2854</v>
      </c>
    </row>
    <row r="167" ht="14.25" customHeight="1">
      <c r="A167" s="261" t="s">
        <v>2172</v>
      </c>
      <c r="B167" s="261" t="s">
        <v>1133</v>
      </c>
      <c r="C167" s="261" t="s">
        <v>5929</v>
      </c>
      <c r="D167" s="261" t="s">
        <v>470</v>
      </c>
      <c r="E167" s="13" t="str">
        <f t="array" ref="E167">IFERROR(INDEX(REF_CODES!$B$27:$B$33,MATCH($D167,REF_CODES!$C$27:$C$33,0)),IFERROR(INDEX(REF_CODES!$B$51:$B$55,MATCH($D167,REF_CODES!$C$51:$C$55,0)),""))</f>
        <v>AU-CUL</v>
      </c>
      <c r="F167" s="261" t="s">
        <v>5897</v>
      </c>
      <c r="G167" s="261" t="s">
        <v>5944</v>
      </c>
      <c r="I167" s="261">
        <v>65.0</v>
      </c>
      <c r="K167" s="251" t="s">
        <v>188</v>
      </c>
      <c r="L167" s="5" t="s">
        <v>97</v>
      </c>
      <c r="M167" s="5" t="s">
        <v>2312</v>
      </c>
      <c r="N167" s="5" t="s">
        <v>463</v>
      </c>
      <c r="O167" s="5" t="s">
        <v>498</v>
      </c>
      <c r="P167" s="5" t="s">
        <v>142</v>
      </c>
      <c r="Q167" s="5" t="s">
        <v>2391</v>
      </c>
      <c r="R167" s="5" t="s">
        <v>2207</v>
      </c>
      <c r="AC167" s="13"/>
      <c r="AG167" s="253">
        <f t="shared" si="12"/>
        <v>65</v>
      </c>
      <c r="AH167" s="244" t="s">
        <v>2852</v>
      </c>
      <c r="AI167" s="254" t="s">
        <v>2854</v>
      </c>
    </row>
    <row r="168" ht="14.25" customHeight="1">
      <c r="A168" s="261" t="s">
        <v>2172</v>
      </c>
      <c r="B168" s="261" t="s">
        <v>1133</v>
      </c>
      <c r="C168" s="261" t="s">
        <v>5955</v>
      </c>
      <c r="D168" s="261" t="s">
        <v>470</v>
      </c>
      <c r="E168" s="261" t="str">
        <f t="array" ref="E168">IFERROR(INDEX(REF_CODES!$B$27:$B$33,MATCH($D168,REF_CODES!$C$27:$C$33,0)),IFERROR(INDEX(REF_CODES!$B$51:$B$55,MATCH($D168,REF_CODES!$C$51:$C$55,0)),""))</f>
        <v>AU-CUL</v>
      </c>
      <c r="F168" s="261" t="s">
        <v>5897</v>
      </c>
      <c r="G168" s="261" t="s">
        <v>5968</v>
      </c>
      <c r="I168" s="261">
        <v>65.0</v>
      </c>
      <c r="K168" s="251" t="s">
        <v>188</v>
      </c>
      <c r="L168" s="5" t="s">
        <v>97</v>
      </c>
      <c r="M168" s="5" t="s">
        <v>2312</v>
      </c>
      <c r="N168" s="5" t="s">
        <v>463</v>
      </c>
      <c r="O168" s="5" t="s">
        <v>498</v>
      </c>
      <c r="P168" s="5" t="s">
        <v>142</v>
      </c>
      <c r="Q168" s="5" t="s">
        <v>2391</v>
      </c>
      <c r="R168" s="5" t="s">
        <v>2207</v>
      </c>
      <c r="AC168" s="13"/>
      <c r="AG168" s="253">
        <f t="shared" si="12"/>
        <v>65</v>
      </c>
      <c r="AH168" s="244" t="s">
        <v>2852</v>
      </c>
      <c r="AI168" s="254" t="s">
        <v>2854</v>
      </c>
    </row>
    <row r="169" ht="14.25" customHeight="1">
      <c r="A169" s="261" t="s">
        <v>2172</v>
      </c>
      <c r="B169" s="261" t="s">
        <v>1133</v>
      </c>
      <c r="C169" s="261" t="s">
        <v>5974</v>
      </c>
      <c r="D169" s="261" t="s">
        <v>470</v>
      </c>
      <c r="E169" s="261" t="str">
        <f t="array" ref="E169">IFERROR(INDEX(REF_CODES!$B$27:$B$33,MATCH($D169,REF_CODES!$C$27:$C$33,0)),IFERROR(INDEX(REF_CODES!$B$51:$B$55,MATCH($D169,REF_CODES!$C$51:$C$55,0)),""))</f>
        <v>AU-CUL</v>
      </c>
      <c r="F169" s="261" t="s">
        <v>5897</v>
      </c>
      <c r="G169" s="261" t="s">
        <v>4076</v>
      </c>
      <c r="H169" s="261" t="s">
        <v>1919</v>
      </c>
      <c r="I169" s="261">
        <v>65.0</v>
      </c>
      <c r="K169" s="251" t="s">
        <v>188</v>
      </c>
      <c r="L169" s="5" t="s">
        <v>97</v>
      </c>
      <c r="M169" s="5" t="s">
        <v>2312</v>
      </c>
      <c r="N169" s="5" t="s">
        <v>463</v>
      </c>
      <c r="O169" s="5" t="s">
        <v>498</v>
      </c>
      <c r="P169" s="5" t="s">
        <v>142</v>
      </c>
      <c r="Q169" s="5" t="s">
        <v>2391</v>
      </c>
      <c r="R169" s="5" t="s">
        <v>2207</v>
      </c>
      <c r="AC169" s="13"/>
      <c r="AG169" s="253">
        <f t="shared" si="12"/>
        <v>65</v>
      </c>
      <c r="AH169" s="244" t="s">
        <v>2852</v>
      </c>
      <c r="AI169" s="254" t="s">
        <v>2854</v>
      </c>
    </row>
    <row r="170" ht="14.25" customHeight="1">
      <c r="A170" s="261" t="s">
        <v>2172</v>
      </c>
      <c r="B170" s="261" t="s">
        <v>1133</v>
      </c>
      <c r="C170" s="261" t="s">
        <v>5984</v>
      </c>
      <c r="D170" s="261" t="s">
        <v>470</v>
      </c>
      <c r="E170" s="261" t="str">
        <f t="array" ref="E170">IFERROR(INDEX(REF_CODES!$B$27:$B$33,MATCH($D170,REF_CODES!$C$27:$C$33,0)),IFERROR(INDEX(REF_CODES!$B$51:$B$55,MATCH($D170,REF_CODES!$C$51:$C$55,0)),""))</f>
        <v>AU-CUL</v>
      </c>
      <c r="F170" s="261" t="s">
        <v>5897</v>
      </c>
      <c r="G170" s="261" t="s">
        <v>2444</v>
      </c>
      <c r="I170" s="261">
        <v>150.0</v>
      </c>
      <c r="K170" s="251" t="s">
        <v>188</v>
      </c>
      <c r="L170" s="5" t="s">
        <v>97</v>
      </c>
      <c r="M170" s="5" t="s">
        <v>2312</v>
      </c>
      <c r="N170" s="5" t="s">
        <v>463</v>
      </c>
      <c r="O170" s="5" t="s">
        <v>498</v>
      </c>
      <c r="P170" s="5" t="s">
        <v>142</v>
      </c>
      <c r="Q170" s="5" t="s">
        <v>2391</v>
      </c>
      <c r="R170" s="5" t="s">
        <v>2207</v>
      </c>
      <c r="AC170" s="13"/>
      <c r="AG170" s="253">
        <f t="shared" si="12"/>
        <v>150</v>
      </c>
      <c r="AH170" s="244" t="s">
        <v>2852</v>
      </c>
      <c r="AI170" s="254" t="s">
        <v>2854</v>
      </c>
    </row>
    <row r="171" ht="14.25" customHeight="1">
      <c r="A171" s="261" t="s">
        <v>2172</v>
      </c>
      <c r="B171" s="261" t="s">
        <v>1133</v>
      </c>
      <c r="C171" s="261" t="s">
        <v>5994</v>
      </c>
      <c r="D171" s="261" t="s">
        <v>505</v>
      </c>
      <c r="E171" s="261" t="str">
        <f t="array" ref="E171">IFERROR(INDEX(REF_CODES!$B$27:$B$33,MATCH($D171,REF_CODES!$C$27:$C$33,0)),IFERROR(INDEX(REF_CODES!$B$51:$B$55,MATCH($D171,REF_CODES!$C$51:$C$55,0)),""))</f>
        <v>AU-FES</v>
      </c>
      <c r="F171" s="261" t="s">
        <v>6003</v>
      </c>
      <c r="G171" s="261" t="s">
        <v>6004</v>
      </c>
      <c r="I171" s="261">
        <v>90.0</v>
      </c>
      <c r="K171" s="251" t="s">
        <v>188</v>
      </c>
      <c r="L171" s="5" t="s">
        <v>97</v>
      </c>
      <c r="M171" s="5" t="s">
        <v>2312</v>
      </c>
      <c r="N171" s="5" t="s">
        <v>463</v>
      </c>
      <c r="O171" s="5" t="s">
        <v>498</v>
      </c>
      <c r="P171" s="5" t="s">
        <v>142</v>
      </c>
      <c r="Q171" s="5" t="s">
        <v>2391</v>
      </c>
      <c r="R171" s="5" t="s">
        <v>2207</v>
      </c>
      <c r="T171" s="275" t="s">
        <v>3636</v>
      </c>
      <c r="V171" s="261" t="s">
        <v>6007</v>
      </c>
      <c r="AC171" s="13"/>
      <c r="AF171" s="261" t="s">
        <v>6008</v>
      </c>
      <c r="AG171" s="253" t="s">
        <v>3717</v>
      </c>
      <c r="AH171" s="244" t="s">
        <v>3718</v>
      </c>
      <c r="AI171" s="254" t="s">
        <v>3719</v>
      </c>
    </row>
    <row r="172" ht="14.25" customHeight="1">
      <c r="A172" s="261" t="s">
        <v>2172</v>
      </c>
      <c r="B172" s="261" t="s">
        <v>1133</v>
      </c>
      <c r="C172" s="261" t="s">
        <v>6009</v>
      </c>
      <c r="D172" s="261" t="s">
        <v>505</v>
      </c>
      <c r="E172" s="261" t="str">
        <f t="array" ref="E172">IFERROR(INDEX(REF_CODES!$B$27:$B$33,MATCH($D172,REF_CODES!$C$27:$C$33,0)),IFERROR(INDEX(REF_CODES!$B$51:$B$55,MATCH($D172,REF_CODES!$C$51:$C$55,0)),""))</f>
        <v>AU-FES</v>
      </c>
      <c r="F172" s="261" t="s">
        <v>6003</v>
      </c>
      <c r="G172" s="261" t="s">
        <v>6019</v>
      </c>
      <c r="H172" s="261" t="s">
        <v>2627</v>
      </c>
      <c r="I172" s="261">
        <v>140.0</v>
      </c>
      <c r="K172" s="251" t="s">
        <v>195</v>
      </c>
      <c r="L172" s="5" t="s">
        <v>97</v>
      </c>
      <c r="M172" s="5" t="s">
        <v>2312</v>
      </c>
      <c r="N172" s="5" t="s">
        <v>463</v>
      </c>
      <c r="O172" s="5" t="s">
        <v>498</v>
      </c>
      <c r="P172" s="5" t="s">
        <v>142</v>
      </c>
      <c r="Q172" s="5" t="s">
        <v>2391</v>
      </c>
      <c r="R172" s="5" t="s">
        <v>2207</v>
      </c>
      <c r="AC172" s="13"/>
      <c r="AG172" s="253" t="s">
        <v>3717</v>
      </c>
      <c r="AH172" s="244" t="s">
        <v>3718</v>
      </c>
      <c r="AI172" s="254" t="s">
        <v>3719</v>
      </c>
    </row>
    <row r="173" ht="15.0" customHeight="1">
      <c r="A173" s="261" t="s">
        <v>2172</v>
      </c>
      <c r="B173" s="261" t="s">
        <v>1133</v>
      </c>
      <c r="C173" s="261" t="s">
        <v>6022</v>
      </c>
      <c r="D173" s="261" t="s">
        <v>505</v>
      </c>
      <c r="E173" s="261" t="str">
        <f t="array" ref="E173">IFERROR(INDEX(REF_CODES!$B$27:$B$33,MATCH($D173,REF_CODES!$C$27:$C$33,0)),IFERROR(INDEX(REF_CODES!$B$51:$B$55,MATCH($D173,REF_CODES!$C$51:$C$55,0)),""))</f>
        <v>AU-FES</v>
      </c>
      <c r="F173" s="261" t="s">
        <v>6003</v>
      </c>
      <c r="G173" s="261" t="s">
        <v>6030</v>
      </c>
      <c r="H173" s="261" t="s">
        <v>2511</v>
      </c>
      <c r="I173" s="261">
        <v>140.0</v>
      </c>
      <c r="K173" s="251" t="s">
        <v>188</v>
      </c>
      <c r="L173" s="5" t="s">
        <v>97</v>
      </c>
      <c r="M173" s="5" t="s">
        <v>2312</v>
      </c>
      <c r="N173" s="5" t="s">
        <v>463</v>
      </c>
      <c r="O173" s="5" t="s">
        <v>498</v>
      </c>
      <c r="P173" s="5" t="s">
        <v>142</v>
      </c>
      <c r="Q173" s="5" t="s">
        <v>2391</v>
      </c>
      <c r="R173" s="5" t="s">
        <v>2207</v>
      </c>
      <c r="T173" s="275" t="s">
        <v>6033</v>
      </c>
      <c r="AG173" s="253" t="s">
        <v>3717</v>
      </c>
      <c r="AH173" s="244" t="s">
        <v>3718</v>
      </c>
      <c r="AI173" s="254" t="s">
        <v>3719</v>
      </c>
    </row>
    <row r="174" ht="15.0" customHeight="1">
      <c r="A174" s="261" t="s">
        <v>2172</v>
      </c>
      <c r="B174" s="261" t="s">
        <v>1133</v>
      </c>
      <c r="C174" s="261" t="s">
        <v>6035</v>
      </c>
      <c r="D174" s="261" t="s">
        <v>505</v>
      </c>
      <c r="E174" s="261" t="str">
        <f t="array" ref="E174">IFERROR(INDEX(REF_CODES!$B$27:$B$33,MATCH($D174,REF_CODES!$C$27:$C$33,0)),IFERROR(INDEX(REF_CODES!$B$51:$B$55,MATCH($D174,REF_CODES!$C$51:$C$55,0)),""))</f>
        <v>AU-FES</v>
      </c>
      <c r="F174" s="261" t="s">
        <v>6003</v>
      </c>
      <c r="G174" s="261" t="s">
        <v>6045</v>
      </c>
      <c r="H174" s="261" t="s">
        <v>2416</v>
      </c>
      <c r="I174" s="261">
        <v>140.0</v>
      </c>
      <c r="K174" s="251" t="s">
        <v>188</v>
      </c>
      <c r="L174" s="5" t="s">
        <v>97</v>
      </c>
      <c r="M174" s="5" t="s">
        <v>2312</v>
      </c>
      <c r="N174" s="5" t="s">
        <v>463</v>
      </c>
      <c r="O174" s="5" t="s">
        <v>498</v>
      </c>
      <c r="P174" s="5" t="s">
        <v>142</v>
      </c>
      <c r="Q174" s="5" t="s">
        <v>2391</v>
      </c>
      <c r="R174" s="5" t="s">
        <v>2207</v>
      </c>
      <c r="AF174" s="261" t="s">
        <v>3717</v>
      </c>
      <c r="AG174" s="253" t="s">
        <v>3717</v>
      </c>
      <c r="AH174" s="244" t="s">
        <v>3718</v>
      </c>
      <c r="AI174" s="254" t="s">
        <v>3719</v>
      </c>
    </row>
    <row r="175" ht="15.0" customHeight="1">
      <c r="A175" s="261" t="s">
        <v>2172</v>
      </c>
      <c r="B175" s="261" t="s">
        <v>1133</v>
      </c>
      <c r="C175" s="261" t="s">
        <v>6052</v>
      </c>
      <c r="D175" s="261" t="s">
        <v>505</v>
      </c>
      <c r="E175" s="261" t="str">
        <f t="array" ref="E175">IFERROR(INDEX(REF_CODES!$B$27:$B$33,MATCH($D175,REF_CODES!$C$27:$C$33,0)),IFERROR(INDEX(REF_CODES!$B$51:$B$55,MATCH($D175,REF_CODES!$C$51:$C$55,0)),""))</f>
        <v>AU-FES</v>
      </c>
      <c r="F175" s="261" t="s">
        <v>6003</v>
      </c>
      <c r="G175" s="261" t="s">
        <v>6061</v>
      </c>
      <c r="I175" s="261">
        <v>140.0</v>
      </c>
      <c r="K175" s="251" t="s">
        <v>188</v>
      </c>
      <c r="L175" s="5" t="s">
        <v>97</v>
      </c>
      <c r="M175" s="5" t="s">
        <v>2312</v>
      </c>
      <c r="N175" s="5" t="s">
        <v>463</v>
      </c>
      <c r="O175" s="5" t="s">
        <v>498</v>
      </c>
      <c r="P175" s="5" t="s">
        <v>142</v>
      </c>
      <c r="Q175" s="5" t="s">
        <v>2391</v>
      </c>
      <c r="R175" s="5" t="s">
        <v>2207</v>
      </c>
      <c r="T175" s="275" t="s">
        <v>2742</v>
      </c>
      <c r="AG175" s="253" t="s">
        <v>3717</v>
      </c>
      <c r="AH175" s="244" t="s">
        <v>3718</v>
      </c>
      <c r="AI175" s="254" t="s">
        <v>3719</v>
      </c>
    </row>
    <row r="176" ht="15.0" customHeight="1">
      <c r="A176" s="261" t="s">
        <v>2172</v>
      </c>
      <c r="B176" s="261" t="s">
        <v>1133</v>
      </c>
      <c r="C176" s="261" t="s">
        <v>6073</v>
      </c>
      <c r="D176" s="261" t="s">
        <v>505</v>
      </c>
      <c r="E176" s="261" t="str">
        <f t="array" ref="E176">IFERROR(INDEX(REF_CODES!$B$27:$B$33,MATCH($D176,REF_CODES!$C$27:$C$33,0)),IFERROR(INDEX(REF_CODES!$B$51:$B$55,MATCH($D176,REF_CODES!$C$51:$C$55,0)),""))</f>
        <v>AU-FES</v>
      </c>
      <c r="F176" s="261" t="s">
        <v>6003</v>
      </c>
      <c r="G176" s="261" t="s">
        <v>6082</v>
      </c>
      <c r="H176" s="261" t="s">
        <v>2627</v>
      </c>
      <c r="I176" s="281">
        <v>33.0</v>
      </c>
      <c r="K176" s="251" t="s">
        <v>188</v>
      </c>
      <c r="L176" s="5" t="s">
        <v>110</v>
      </c>
      <c r="M176" s="5" t="s">
        <v>2203</v>
      </c>
      <c r="N176" s="5" t="s">
        <v>463</v>
      </c>
      <c r="O176" s="5" t="s">
        <v>498</v>
      </c>
      <c r="P176" s="5" t="s">
        <v>146</v>
      </c>
      <c r="Q176" s="5" t="s">
        <v>52</v>
      </c>
      <c r="R176" s="5" t="s">
        <v>2207</v>
      </c>
      <c r="AG176" s="253" t="s">
        <v>3717</v>
      </c>
      <c r="AH176" s="244" t="s">
        <v>3718</v>
      </c>
      <c r="AI176" s="254" t="s">
        <v>3719</v>
      </c>
    </row>
    <row r="177" ht="15.0" customHeight="1">
      <c r="A177" s="261" t="s">
        <v>2172</v>
      </c>
      <c r="B177" s="261" t="s">
        <v>1133</v>
      </c>
      <c r="C177" s="261" t="s">
        <v>6090</v>
      </c>
      <c r="D177" s="261" t="s">
        <v>493</v>
      </c>
      <c r="E177" s="261" t="str">
        <f t="array" ref="E177">IFERROR(INDEX(REF_CODES!$B$27:$B$33,MATCH($D177,REF_CODES!$C$27:$C$33,0)),IFERROR(INDEX(REF_CODES!$B$51:$B$55,MATCH($D177,REF_CODES!$C$51:$C$55,0)),""))</f>
        <v>AU-ELI</v>
      </c>
      <c r="F177" s="261" t="s">
        <v>6094</v>
      </c>
      <c r="G177" s="261" t="s">
        <v>6095</v>
      </c>
      <c r="H177" s="261" t="s">
        <v>1919</v>
      </c>
      <c r="I177" s="261">
        <v>250.0</v>
      </c>
      <c r="K177" s="251" t="s">
        <v>195</v>
      </c>
      <c r="L177" s="5" t="s">
        <v>110</v>
      </c>
      <c r="M177" s="5" t="s">
        <v>2203</v>
      </c>
      <c r="N177" s="5" t="s">
        <v>463</v>
      </c>
      <c r="O177" s="5" t="s">
        <v>498</v>
      </c>
      <c r="P177" s="5" t="s">
        <v>146</v>
      </c>
      <c r="Q177" s="5" t="s">
        <v>52</v>
      </c>
      <c r="R177" s="5" t="s">
        <v>2207</v>
      </c>
      <c r="T177" s="275" t="s">
        <v>6104</v>
      </c>
      <c r="V177" s="261" t="s">
        <v>6105</v>
      </c>
      <c r="AG177" s="253" t="s">
        <v>3332</v>
      </c>
      <c r="AH177" s="244" t="s">
        <v>3333</v>
      </c>
      <c r="AI177" s="254" t="s">
        <v>3334</v>
      </c>
    </row>
    <row r="178" ht="15.0" customHeight="1">
      <c r="A178" s="261" t="s">
        <v>2172</v>
      </c>
      <c r="B178" s="261" t="s">
        <v>1133</v>
      </c>
      <c r="C178" s="261" t="s">
        <v>6108</v>
      </c>
      <c r="D178" s="261" t="s">
        <v>493</v>
      </c>
      <c r="E178" s="261" t="str">
        <f t="array" ref="E178">IFERROR(INDEX(REF_CODES!$B$27:$B$33,MATCH($D178,REF_CODES!$C$27:$C$33,0)),IFERROR(INDEX(REF_CODES!$B$51:$B$55,MATCH($D178,REF_CODES!$C$51:$C$55,0)),""))</f>
        <v>AU-ELI</v>
      </c>
      <c r="F178" s="261" t="s">
        <v>6118</v>
      </c>
      <c r="G178" s="261" t="s">
        <v>6119</v>
      </c>
      <c r="H178" s="261" t="s">
        <v>1919</v>
      </c>
      <c r="I178" s="281">
        <v>35.0</v>
      </c>
      <c r="K178" s="251" t="s">
        <v>195</v>
      </c>
      <c r="L178" s="5" t="s">
        <v>110</v>
      </c>
      <c r="M178" s="5" t="s">
        <v>2203</v>
      </c>
      <c r="N178" s="5" t="s">
        <v>469</v>
      </c>
      <c r="O178" s="5" t="s">
        <v>498</v>
      </c>
      <c r="P178" s="5" t="s">
        <v>146</v>
      </c>
      <c r="Q178" s="5" t="s">
        <v>52</v>
      </c>
      <c r="R178" s="5" t="s">
        <v>2207</v>
      </c>
      <c r="T178" s="275" t="s">
        <v>2736</v>
      </c>
      <c r="V178" s="261" t="s">
        <v>6122</v>
      </c>
      <c r="AG178" s="253" t="s">
        <v>3332</v>
      </c>
      <c r="AH178" s="244" t="s">
        <v>3333</v>
      </c>
      <c r="AI178" s="254" t="s">
        <v>3334</v>
      </c>
    </row>
    <row r="179" ht="15.0" customHeight="1">
      <c r="A179" s="261" t="s">
        <v>2172</v>
      </c>
      <c r="B179" s="261" t="s">
        <v>1133</v>
      </c>
      <c r="C179" s="261" t="s">
        <v>6127</v>
      </c>
      <c r="D179" s="261" t="s">
        <v>493</v>
      </c>
      <c r="E179" s="261" t="str">
        <f t="array" ref="E179">IFERROR(INDEX(REF_CODES!$B$27:$B$33,MATCH($D179,REF_CODES!$C$27:$C$33,0)),IFERROR(INDEX(REF_CODES!$B$51:$B$55,MATCH($D179,REF_CODES!$C$51:$C$55,0)),""))</f>
        <v>AU-ELI</v>
      </c>
      <c r="F179" s="261" t="s">
        <v>342</v>
      </c>
      <c r="G179" s="261" t="s">
        <v>6133</v>
      </c>
      <c r="H179" s="261" t="s">
        <v>1919</v>
      </c>
      <c r="I179" s="261">
        <v>600.0</v>
      </c>
      <c r="K179" s="251" t="s">
        <v>195</v>
      </c>
      <c r="L179" s="5" t="s">
        <v>110</v>
      </c>
      <c r="M179" s="5" t="s">
        <v>2203</v>
      </c>
      <c r="N179" s="5" t="s">
        <v>469</v>
      </c>
      <c r="O179" s="5" t="s">
        <v>498</v>
      </c>
      <c r="P179" s="5" t="s">
        <v>146</v>
      </c>
      <c r="Q179" s="5" t="s">
        <v>52</v>
      </c>
      <c r="R179" s="5" t="s">
        <v>2207</v>
      </c>
      <c r="T179" s="275" t="s">
        <v>3965</v>
      </c>
      <c r="V179" s="261" t="s">
        <v>3968</v>
      </c>
      <c r="AG179" s="253" t="s">
        <v>3332</v>
      </c>
      <c r="AH179" s="244" t="s">
        <v>3333</v>
      </c>
      <c r="AI179" s="254" t="s">
        <v>3334</v>
      </c>
    </row>
    <row r="180" ht="15.0" customHeight="1">
      <c r="A180" s="261" t="s">
        <v>2172</v>
      </c>
      <c r="B180" s="261" t="s">
        <v>1133</v>
      </c>
      <c r="C180" s="261" t="s">
        <v>6143</v>
      </c>
      <c r="D180" s="261" t="s">
        <v>493</v>
      </c>
      <c r="E180" s="261" t="str">
        <f t="array" ref="E180">IFERROR(INDEX(REF_CODES!$B$27:$B$33,MATCH($D180,REF_CODES!$C$27:$C$33,0)),IFERROR(INDEX(REF_CODES!$B$51:$B$55,MATCH($D180,REF_CODES!$C$51:$C$55,0)),""))</f>
        <v>AU-ELI</v>
      </c>
      <c r="F180" s="261" t="s">
        <v>6148</v>
      </c>
      <c r="G180" s="261" t="s">
        <v>6150</v>
      </c>
      <c r="H180" s="261" t="s">
        <v>2191</v>
      </c>
      <c r="I180" s="281">
        <v>600.0</v>
      </c>
      <c r="K180" s="251" t="s">
        <v>195</v>
      </c>
      <c r="L180" s="5" t="s">
        <v>110</v>
      </c>
      <c r="M180" s="5" t="s">
        <v>2203</v>
      </c>
      <c r="N180" s="5" t="s">
        <v>463</v>
      </c>
      <c r="O180" s="5" t="s">
        <v>498</v>
      </c>
      <c r="P180" s="5" t="s">
        <v>146</v>
      </c>
      <c r="Q180" s="5" t="s">
        <v>52</v>
      </c>
      <c r="R180" s="5" t="s">
        <v>2207</v>
      </c>
      <c r="T180" s="275" t="s">
        <v>2418</v>
      </c>
      <c r="V180" s="261" t="s">
        <v>2422</v>
      </c>
      <c r="AG180" s="253" t="s">
        <v>3332</v>
      </c>
      <c r="AH180" s="244" t="s">
        <v>3333</v>
      </c>
      <c r="AI180" s="254" t="s">
        <v>3334</v>
      </c>
    </row>
    <row r="181" ht="15.0" customHeight="1">
      <c r="A181" s="261" t="s">
        <v>2172</v>
      </c>
      <c r="B181" s="261" t="s">
        <v>1133</v>
      </c>
      <c r="C181" s="261" t="s">
        <v>6156</v>
      </c>
      <c r="D181" s="261" t="s">
        <v>493</v>
      </c>
      <c r="E181" s="261" t="str">
        <f t="array" ref="E181">IFERROR(INDEX(REF_CODES!$B$27:$B$33,MATCH($D181,REF_CODES!$C$27:$C$33,0)),IFERROR(INDEX(REF_CODES!$B$51:$B$55,MATCH($D181,REF_CODES!$C$51:$C$55,0)),""))</f>
        <v>AU-ELI</v>
      </c>
      <c r="F181" s="261" t="s">
        <v>6164</v>
      </c>
      <c r="G181" s="261" t="s">
        <v>6165</v>
      </c>
      <c r="H181" s="261" t="s">
        <v>2191</v>
      </c>
      <c r="I181" s="281">
        <v>65.0</v>
      </c>
      <c r="K181" s="251" t="s">
        <v>195</v>
      </c>
      <c r="L181" s="5" t="s">
        <v>110</v>
      </c>
      <c r="M181" s="5" t="s">
        <v>2203</v>
      </c>
      <c r="N181" s="5" t="s">
        <v>463</v>
      </c>
      <c r="O181" s="5" t="s">
        <v>498</v>
      </c>
      <c r="P181" s="5" t="s">
        <v>146</v>
      </c>
      <c r="Q181" s="5" t="s">
        <v>52</v>
      </c>
      <c r="R181" s="5" t="s">
        <v>2207</v>
      </c>
      <c r="T181" s="275" t="s">
        <v>4299</v>
      </c>
      <c r="AG181" s="253" t="s">
        <v>3332</v>
      </c>
      <c r="AH181" s="244" t="s">
        <v>3333</v>
      </c>
      <c r="AI181" s="254" t="s">
        <v>3334</v>
      </c>
    </row>
    <row r="182" ht="15.0" customHeight="1">
      <c r="A182" s="261" t="s">
        <v>2172</v>
      </c>
      <c r="B182" s="261" t="s">
        <v>1133</v>
      </c>
      <c r="C182" s="261" t="s">
        <v>6170</v>
      </c>
      <c r="D182" s="261" t="s">
        <v>493</v>
      </c>
      <c r="E182" s="261" t="str">
        <f t="array" ref="E182">IFERROR(INDEX(REF_CODES!$B$27:$B$33,MATCH($D182,REF_CODES!$C$27:$C$33,0)),IFERROR(INDEX(REF_CODES!$B$51:$B$55,MATCH($D182,REF_CODES!$C$51:$C$55,0)),""))</f>
        <v>AU-ELI</v>
      </c>
      <c r="F182" s="261" t="s">
        <v>6182</v>
      </c>
      <c r="G182" s="261" t="s">
        <v>6183</v>
      </c>
      <c r="H182" s="261" t="s">
        <v>1919</v>
      </c>
      <c r="I182" s="281">
        <v>600.0</v>
      </c>
      <c r="K182" s="251" t="s">
        <v>195</v>
      </c>
      <c r="L182" s="5" t="s">
        <v>110</v>
      </c>
      <c r="M182" s="5" t="s">
        <v>2203</v>
      </c>
      <c r="N182" s="5" t="s">
        <v>463</v>
      </c>
      <c r="O182" s="5" t="s">
        <v>498</v>
      </c>
      <c r="P182" s="5" t="s">
        <v>146</v>
      </c>
      <c r="Q182" s="5" t="s">
        <v>52</v>
      </c>
      <c r="R182" s="5" t="s">
        <v>2207</v>
      </c>
      <c r="V182" s="261" t="s">
        <v>6188</v>
      </c>
      <c r="AG182" s="253" t="s">
        <v>3332</v>
      </c>
      <c r="AH182" s="244" t="s">
        <v>3333</v>
      </c>
      <c r="AI182" s="254" t="s">
        <v>3334</v>
      </c>
    </row>
    <row r="183" ht="15.0" customHeight="1">
      <c r="A183" s="261" t="s">
        <v>2172</v>
      </c>
      <c r="B183" s="261" t="s">
        <v>1133</v>
      </c>
      <c r="C183" s="261" t="s">
        <v>6191</v>
      </c>
      <c r="D183" s="261" t="s">
        <v>470</v>
      </c>
      <c r="E183" s="261" t="str">
        <f t="array" ref="E183">IFERROR(INDEX(REF_CODES!$B$27:$B$33,MATCH($D183,REF_CODES!$C$27:$C$33,0)),IFERROR(INDEX(REF_CODES!$B$51:$B$55,MATCH($D183,REF_CODES!$C$51:$C$55,0)),""))</f>
        <v>AU-CUL</v>
      </c>
      <c r="F183" s="261" t="s">
        <v>6197</v>
      </c>
      <c r="G183" s="261" t="s">
        <v>6198</v>
      </c>
      <c r="H183" s="261" t="s">
        <v>2306</v>
      </c>
      <c r="I183" s="261">
        <v>61.0</v>
      </c>
      <c r="K183" s="251" t="s">
        <v>188</v>
      </c>
      <c r="L183" s="5" t="s">
        <v>90</v>
      </c>
      <c r="M183" s="5" t="s">
        <v>2203</v>
      </c>
      <c r="N183" s="5" t="s">
        <v>469</v>
      </c>
      <c r="O183" s="5" t="s">
        <v>498</v>
      </c>
      <c r="P183" s="5" t="s">
        <v>138</v>
      </c>
      <c r="Q183" s="5" t="s">
        <v>2205</v>
      </c>
      <c r="R183" s="5" t="s">
        <v>2207</v>
      </c>
      <c r="V183" s="261" t="s">
        <v>6203</v>
      </c>
      <c r="AF183" s="261" t="s">
        <v>5324</v>
      </c>
      <c r="AG183" s="253">
        <f t="shared" ref="AG183:AG186" si="13">I183</f>
        <v>61</v>
      </c>
      <c r="AH183" s="244" t="s">
        <v>2852</v>
      </c>
      <c r="AI183" s="254" t="s">
        <v>2854</v>
      </c>
    </row>
    <row r="184" ht="15.0" customHeight="1">
      <c r="A184" s="261" t="s">
        <v>2172</v>
      </c>
      <c r="B184" s="261" t="s">
        <v>1133</v>
      </c>
      <c r="C184" s="261" t="s">
        <v>6207</v>
      </c>
      <c r="D184" s="261" t="s">
        <v>470</v>
      </c>
      <c r="E184" s="261" t="str">
        <f t="array" ref="E184">IFERROR(INDEX(REF_CODES!$B$27:$B$33,MATCH($D184,REF_CODES!$C$27:$C$33,0)),IFERROR(INDEX(REF_CODES!$B$51:$B$55,MATCH($D184,REF_CODES!$C$51:$C$55,0)),""))</f>
        <v>AU-CUL</v>
      </c>
      <c r="F184" s="261" t="s">
        <v>5897</v>
      </c>
      <c r="G184" s="261" t="s">
        <v>3739</v>
      </c>
      <c r="H184" s="261" t="s">
        <v>2627</v>
      </c>
      <c r="I184" s="261">
        <v>150.0</v>
      </c>
      <c r="K184" s="251" t="s">
        <v>188</v>
      </c>
      <c r="L184" s="5" t="s">
        <v>90</v>
      </c>
      <c r="M184" s="5" t="s">
        <v>2203</v>
      </c>
      <c r="N184" s="5" t="s">
        <v>469</v>
      </c>
      <c r="O184" s="5" t="s">
        <v>498</v>
      </c>
      <c r="P184" s="5" t="s">
        <v>138</v>
      </c>
      <c r="Q184" s="5" t="s">
        <v>2205</v>
      </c>
      <c r="R184" s="5" t="s">
        <v>2207</v>
      </c>
      <c r="V184" s="261" t="s">
        <v>6220</v>
      </c>
      <c r="AF184" s="261" t="s">
        <v>6221</v>
      </c>
      <c r="AG184" s="253">
        <f t="shared" si="13"/>
        <v>150</v>
      </c>
      <c r="AH184" s="244" t="s">
        <v>2852</v>
      </c>
      <c r="AI184" s="254" t="s">
        <v>2854</v>
      </c>
    </row>
    <row r="185" ht="15.0" customHeight="1">
      <c r="A185" s="261" t="s">
        <v>2172</v>
      </c>
      <c r="B185" s="261" t="s">
        <v>1133</v>
      </c>
      <c r="C185" s="261" t="s">
        <v>6225</v>
      </c>
      <c r="D185" s="261" t="s">
        <v>470</v>
      </c>
      <c r="E185" s="261" t="str">
        <f t="array" ref="E185">IFERROR(INDEX(REF_CODES!$B$27:$B$33,MATCH($D185,REF_CODES!$C$27:$C$33,0)),IFERROR(INDEX(REF_CODES!$B$51:$B$55,MATCH($D185,REF_CODES!$C$51:$C$55,0)),""))</f>
        <v>AU-CUL</v>
      </c>
      <c r="F185" s="261" t="s">
        <v>5897</v>
      </c>
      <c r="G185" s="261" t="s">
        <v>2316</v>
      </c>
      <c r="H185" s="261" t="s">
        <v>2416</v>
      </c>
      <c r="I185" s="261">
        <v>150.0</v>
      </c>
      <c r="K185" s="251" t="s">
        <v>188</v>
      </c>
      <c r="L185" s="5" t="s">
        <v>90</v>
      </c>
      <c r="M185" s="5" t="s">
        <v>2203</v>
      </c>
      <c r="N185" s="5" t="s">
        <v>469</v>
      </c>
      <c r="O185" s="5" t="s">
        <v>498</v>
      </c>
      <c r="P185" s="5" t="s">
        <v>138</v>
      </c>
      <c r="Q185" s="5" t="s">
        <v>2205</v>
      </c>
      <c r="R185" s="5" t="s">
        <v>2207</v>
      </c>
      <c r="AF185" s="261" t="s">
        <v>6234</v>
      </c>
      <c r="AG185" s="253">
        <f t="shared" si="13"/>
        <v>150</v>
      </c>
      <c r="AH185" s="244" t="s">
        <v>2852</v>
      </c>
      <c r="AI185" s="254" t="s">
        <v>2854</v>
      </c>
    </row>
    <row r="186" ht="15.0" customHeight="1">
      <c r="A186" s="261" t="s">
        <v>2172</v>
      </c>
      <c r="B186" s="261" t="s">
        <v>1133</v>
      </c>
      <c r="C186" s="261" t="s">
        <v>6235</v>
      </c>
      <c r="D186" s="261" t="s">
        <v>470</v>
      </c>
      <c r="E186" s="261" t="str">
        <f t="array" ref="E186">IFERROR(INDEX(REF_CODES!$B$27:$B$33,MATCH($D186,REF_CODES!$C$27:$C$33,0)),IFERROR(INDEX(REF_CODES!$B$51:$B$55,MATCH($D186,REF_CODES!$C$51:$C$55,0)),""))</f>
        <v>AU-CUL</v>
      </c>
      <c r="F186" s="261" t="s">
        <v>5897</v>
      </c>
      <c r="G186" s="261" t="s">
        <v>6241</v>
      </c>
      <c r="H186" s="261" t="s">
        <v>3611</v>
      </c>
      <c r="I186" s="261">
        <v>150.0</v>
      </c>
      <c r="K186" s="251" t="s">
        <v>188</v>
      </c>
      <c r="L186" s="5" t="s">
        <v>90</v>
      </c>
      <c r="M186" s="5" t="s">
        <v>2203</v>
      </c>
      <c r="N186" s="5" t="s">
        <v>469</v>
      </c>
      <c r="O186" s="5" t="s">
        <v>498</v>
      </c>
      <c r="P186" s="5" t="s">
        <v>138</v>
      </c>
      <c r="Q186" s="5" t="s">
        <v>2205</v>
      </c>
      <c r="R186" s="5" t="s">
        <v>2207</v>
      </c>
      <c r="AF186" s="261" t="s">
        <v>6243</v>
      </c>
      <c r="AG186" s="253">
        <f t="shared" si="13"/>
        <v>150</v>
      </c>
      <c r="AH186" s="244" t="s">
        <v>2852</v>
      </c>
      <c r="AI186" s="254" t="s">
        <v>2854</v>
      </c>
    </row>
    <row r="187" ht="15.0" customHeight="1">
      <c r="A187" s="261" t="s">
        <v>2172</v>
      </c>
      <c r="B187" s="261" t="s">
        <v>1133</v>
      </c>
      <c r="C187" s="261" t="s">
        <v>6247</v>
      </c>
      <c r="D187" s="261" t="s">
        <v>442</v>
      </c>
      <c r="E187" s="261" t="str">
        <f t="array" ref="E187">IFERROR(INDEX(REF_CODES!$B$27:$B$33,MATCH($D187,REF_CODES!$C$27:$C$33,0)),IFERROR(INDEX(REF_CODES!$B$51:$B$55,MATCH($D187,REF_CODES!$C$51:$C$55,0)),""))</f>
        <v>AU-DES</v>
      </c>
      <c r="F187" s="261" t="s">
        <v>5499</v>
      </c>
      <c r="G187" s="261" t="s">
        <v>6257</v>
      </c>
      <c r="H187" s="261" t="s">
        <v>1919</v>
      </c>
      <c r="I187" s="261">
        <v>33.0</v>
      </c>
      <c r="K187" s="251" t="s">
        <v>188</v>
      </c>
      <c r="L187" s="5" t="s">
        <v>90</v>
      </c>
      <c r="M187" s="5" t="s">
        <v>2203</v>
      </c>
      <c r="N187" s="5" t="s">
        <v>469</v>
      </c>
      <c r="O187" s="5" t="s">
        <v>498</v>
      </c>
      <c r="P187" s="5" t="s">
        <v>138</v>
      </c>
      <c r="Q187" s="5" t="s">
        <v>2205</v>
      </c>
      <c r="R187" s="5" t="s">
        <v>2207</v>
      </c>
      <c r="AF187" s="261" t="s">
        <v>5324</v>
      </c>
      <c r="AG187" s="253">
        <v>35.0</v>
      </c>
      <c r="AH187" s="244" t="s">
        <v>3088</v>
      </c>
      <c r="AI187" s="254" t="s">
        <v>3089</v>
      </c>
    </row>
    <row r="188" ht="15.0" customHeight="1">
      <c r="A188" s="261" t="s">
        <v>2172</v>
      </c>
      <c r="B188" s="261" t="s">
        <v>1133</v>
      </c>
      <c r="C188" s="261" t="s">
        <v>6265</v>
      </c>
      <c r="D188" s="261" t="s">
        <v>505</v>
      </c>
      <c r="E188" s="261" t="str">
        <f t="array" ref="E188">IFERROR(INDEX(REF_CODES!$B$27:$B$33,MATCH($D188,REF_CODES!$C$27:$C$33,0)),IFERROR(INDEX(REF_CODES!$B$51:$B$55,MATCH($D188,REF_CODES!$C$51:$C$55,0)),""))</f>
        <v>AU-FES</v>
      </c>
      <c r="F188" s="261" t="s">
        <v>6285</v>
      </c>
      <c r="G188" s="261" t="s">
        <v>2597</v>
      </c>
      <c r="H188" s="261" t="s">
        <v>2224</v>
      </c>
      <c r="I188" s="261">
        <v>140.0</v>
      </c>
      <c r="K188" s="251" t="s">
        <v>188</v>
      </c>
      <c r="L188" s="5" t="s">
        <v>90</v>
      </c>
      <c r="M188" s="5" t="s">
        <v>2203</v>
      </c>
      <c r="N188" s="5" t="s">
        <v>469</v>
      </c>
      <c r="O188" s="5" t="s">
        <v>498</v>
      </c>
      <c r="P188" s="5" t="s">
        <v>138</v>
      </c>
      <c r="Q188" s="5" t="s">
        <v>2205</v>
      </c>
      <c r="R188" s="5" t="s">
        <v>2207</v>
      </c>
      <c r="AF188" s="261" t="s">
        <v>3717</v>
      </c>
      <c r="AG188" s="253" t="s">
        <v>3717</v>
      </c>
      <c r="AH188" s="244" t="s">
        <v>3718</v>
      </c>
      <c r="AI188" s="254" t="s">
        <v>3719</v>
      </c>
    </row>
    <row r="189" ht="15.0" customHeight="1">
      <c r="A189" s="261" t="s">
        <v>2172</v>
      </c>
      <c r="B189" s="261" t="s">
        <v>1133</v>
      </c>
      <c r="C189" s="261" t="s">
        <v>6289</v>
      </c>
      <c r="D189" s="261" t="s">
        <v>505</v>
      </c>
      <c r="E189" s="261" t="str">
        <f t="array" ref="E189">IFERROR(INDEX(REF_CODES!$B$27:$B$33,MATCH($D189,REF_CODES!$C$27:$C$33,0)),IFERROR(INDEX(REF_CODES!$B$51:$B$55,MATCH($D189,REF_CODES!$C$51:$C$55,0)),""))</f>
        <v>AU-FES</v>
      </c>
      <c r="F189" s="261" t="s">
        <v>6285</v>
      </c>
      <c r="G189" s="261" t="s">
        <v>2625</v>
      </c>
      <c r="H189" s="261" t="s">
        <v>2627</v>
      </c>
      <c r="I189" s="261">
        <v>140.0</v>
      </c>
      <c r="K189" s="251" t="s">
        <v>188</v>
      </c>
      <c r="L189" s="5" t="s">
        <v>97</v>
      </c>
      <c r="M189" s="5" t="s">
        <v>2312</v>
      </c>
      <c r="N189" s="5" t="s">
        <v>463</v>
      </c>
      <c r="O189" s="5" t="s">
        <v>498</v>
      </c>
      <c r="P189" s="5" t="s">
        <v>142</v>
      </c>
      <c r="Q189" s="5" t="s">
        <v>2391</v>
      </c>
      <c r="R189" s="5" t="s">
        <v>2207</v>
      </c>
      <c r="AF189" s="261" t="s">
        <v>6297</v>
      </c>
      <c r="AG189" s="253" t="s">
        <v>3717</v>
      </c>
      <c r="AH189" s="244" t="s">
        <v>3718</v>
      </c>
      <c r="AI189" s="254" t="s">
        <v>3719</v>
      </c>
    </row>
    <row r="190" ht="15.0" customHeight="1">
      <c r="A190" s="261" t="s">
        <v>2172</v>
      </c>
      <c r="B190" s="261" t="s">
        <v>1133</v>
      </c>
      <c r="C190" s="261" t="s">
        <v>6299</v>
      </c>
      <c r="D190" s="261" t="s">
        <v>505</v>
      </c>
      <c r="E190" s="261" t="str">
        <f t="array" ref="E190">IFERROR(INDEX(REF_CODES!$B$27:$B$33,MATCH($D190,REF_CODES!$C$27:$C$33,0)),IFERROR(INDEX(REF_CODES!$B$51:$B$55,MATCH($D190,REF_CODES!$C$51:$C$55,0)),""))</f>
        <v>AU-FES</v>
      </c>
      <c r="F190" s="261" t="s">
        <v>6285</v>
      </c>
      <c r="G190" s="261" t="s">
        <v>6309</v>
      </c>
      <c r="H190" s="261" t="s">
        <v>6310</v>
      </c>
      <c r="I190" s="261">
        <v>90.0</v>
      </c>
      <c r="K190" s="251" t="s">
        <v>188</v>
      </c>
      <c r="L190" s="5" t="s">
        <v>97</v>
      </c>
      <c r="M190" s="5" t="s">
        <v>2312</v>
      </c>
      <c r="N190" s="5" t="s">
        <v>463</v>
      </c>
      <c r="O190" s="5" t="s">
        <v>498</v>
      </c>
      <c r="P190" s="5" t="s">
        <v>142</v>
      </c>
      <c r="Q190" s="5" t="s">
        <v>2391</v>
      </c>
      <c r="R190" s="5" t="s">
        <v>2207</v>
      </c>
      <c r="T190" s="275" t="s">
        <v>2736</v>
      </c>
      <c r="V190" s="261" t="s">
        <v>6122</v>
      </c>
      <c r="AF190" s="261" t="s">
        <v>6008</v>
      </c>
      <c r="AG190" s="253" t="s">
        <v>3717</v>
      </c>
      <c r="AH190" s="244" t="s">
        <v>3718</v>
      </c>
      <c r="AI190" s="254" t="s">
        <v>3719</v>
      </c>
    </row>
    <row r="191" ht="15.0" customHeight="1">
      <c r="A191" s="261" t="s">
        <v>2172</v>
      </c>
      <c r="B191" s="261" t="s">
        <v>1133</v>
      </c>
      <c r="C191" s="261" t="s">
        <v>6317</v>
      </c>
      <c r="D191" s="261" t="s">
        <v>505</v>
      </c>
      <c r="E191" s="261" t="str">
        <f t="array" ref="E191">IFERROR(INDEX(REF_CODES!$B$27:$B$33,MATCH($D191,REF_CODES!$C$27:$C$33,0)),IFERROR(INDEX(REF_CODES!$B$51:$B$55,MATCH($D191,REF_CODES!$C$51:$C$55,0)),""))</f>
        <v>AU-FES</v>
      </c>
      <c r="F191" s="261" t="s">
        <v>6285</v>
      </c>
      <c r="G191" s="261" t="s">
        <v>6334</v>
      </c>
      <c r="H191" s="261" t="s">
        <v>6335</v>
      </c>
      <c r="I191" s="281">
        <v>33.0</v>
      </c>
      <c r="K191" s="251" t="s">
        <v>188</v>
      </c>
      <c r="L191" s="5" t="s">
        <v>97</v>
      </c>
      <c r="M191" s="5" t="s">
        <v>2312</v>
      </c>
      <c r="N191" s="5" t="s">
        <v>463</v>
      </c>
      <c r="O191" s="5" t="s">
        <v>498</v>
      </c>
      <c r="P191" s="5" t="s">
        <v>142</v>
      </c>
      <c r="Q191" s="5" t="s">
        <v>2391</v>
      </c>
      <c r="R191" s="5" t="s">
        <v>2207</v>
      </c>
      <c r="T191" s="275" t="s">
        <v>2418</v>
      </c>
      <c r="V191" s="261" t="s">
        <v>2422</v>
      </c>
      <c r="AF191" s="261" t="s">
        <v>6008</v>
      </c>
      <c r="AG191" s="253" t="s">
        <v>3717</v>
      </c>
      <c r="AH191" s="244" t="s">
        <v>3718</v>
      </c>
      <c r="AI191" s="254" t="s">
        <v>3719</v>
      </c>
    </row>
    <row r="192" ht="15.0" customHeight="1">
      <c r="A192" s="261" t="s">
        <v>2172</v>
      </c>
      <c r="B192" s="261" t="s">
        <v>1133</v>
      </c>
      <c r="C192" s="261" t="s">
        <v>6341</v>
      </c>
      <c r="D192" s="261" t="s">
        <v>458</v>
      </c>
      <c r="E192" s="261" t="str">
        <f t="array" ref="E192">IFERROR(INDEX(REF_CODES!$B$27:$B$33,MATCH($D192,REF_CODES!$C$27:$C$33,0)),IFERROR(INDEX(REF_CODES!$B$51:$B$55,MATCH($D192,REF_CODES!$C$51:$C$55,0)),""))</f>
        <v>AU-SPO</v>
      </c>
      <c r="F192" s="261" t="s">
        <v>6359</v>
      </c>
      <c r="G192" s="261" t="s">
        <v>6361</v>
      </c>
      <c r="I192" s="261">
        <v>79.0</v>
      </c>
      <c r="K192" s="251" t="s">
        <v>188</v>
      </c>
      <c r="L192" s="5" t="s">
        <v>97</v>
      </c>
      <c r="M192" s="5" t="s">
        <v>2312</v>
      </c>
      <c r="N192" s="5" t="s">
        <v>463</v>
      </c>
      <c r="O192" s="5" t="s">
        <v>498</v>
      </c>
      <c r="P192" s="5" t="s">
        <v>142</v>
      </c>
      <c r="Q192" s="5" t="s">
        <v>2391</v>
      </c>
      <c r="R192" s="5" t="s">
        <v>2207</v>
      </c>
      <c r="T192" s="275" t="s">
        <v>4949</v>
      </c>
      <c r="V192" s="261" t="s">
        <v>2305</v>
      </c>
      <c r="AF192" s="261" t="s">
        <v>6008</v>
      </c>
      <c r="AG192" s="253">
        <v>45.0</v>
      </c>
      <c r="AH192" s="244" t="s">
        <v>2975</v>
      </c>
      <c r="AI192" s="254" t="s">
        <v>2976</v>
      </c>
    </row>
    <row r="193" ht="15.0" customHeight="1">
      <c r="A193" s="261" t="s">
        <v>2172</v>
      </c>
      <c r="B193" s="261" t="s">
        <v>1133</v>
      </c>
      <c r="C193" s="261" t="s">
        <v>6372</v>
      </c>
      <c r="D193" s="261" t="s">
        <v>458</v>
      </c>
      <c r="E193" s="261" t="str">
        <f t="array" ref="E193">IFERROR(INDEX(REF_CODES!$B$27:$B$33,MATCH($D193,REF_CODES!$C$27:$C$33,0)),IFERROR(INDEX(REF_CODES!$B$51:$B$55,MATCH($D193,REF_CODES!$C$51:$C$55,0)),""))</f>
        <v>AU-SPO</v>
      </c>
      <c r="F193" s="261" t="s">
        <v>6385</v>
      </c>
      <c r="G193" s="261" t="s">
        <v>6386</v>
      </c>
      <c r="I193" s="261">
        <v>79.0</v>
      </c>
      <c r="K193" s="251" t="s">
        <v>188</v>
      </c>
      <c r="L193" s="5" t="s">
        <v>97</v>
      </c>
      <c r="M193" s="5" t="s">
        <v>2312</v>
      </c>
      <c r="N193" s="5" t="s">
        <v>463</v>
      </c>
      <c r="O193" s="5" t="s">
        <v>498</v>
      </c>
      <c r="P193" s="5" t="s">
        <v>2782</v>
      </c>
      <c r="Q193" s="5" t="s">
        <v>2783</v>
      </c>
      <c r="R193" s="5" t="s">
        <v>2207</v>
      </c>
      <c r="T193" s="275" t="s">
        <v>6391</v>
      </c>
      <c r="AF193" s="261" t="s">
        <v>5726</v>
      </c>
      <c r="AG193" s="253">
        <v>45.0</v>
      </c>
      <c r="AH193" s="244" t="s">
        <v>2975</v>
      </c>
      <c r="AI193" s="254" t="s">
        <v>2976</v>
      </c>
    </row>
    <row r="194" ht="15.0" customHeight="1">
      <c r="A194" s="261" t="s">
        <v>2172</v>
      </c>
      <c r="B194" s="261" t="s">
        <v>1133</v>
      </c>
      <c r="C194" s="261" t="s">
        <v>6395</v>
      </c>
      <c r="D194" s="261" t="s">
        <v>442</v>
      </c>
      <c r="E194" s="261" t="str">
        <f t="array" ref="E194">IFERROR(INDEX(REF_CODES!$B$27:$B$33,MATCH($D194,REF_CODES!$C$27:$C$33,0)),IFERROR(INDEX(REF_CODES!$B$51:$B$55,MATCH($D194,REF_CODES!$C$51:$C$55,0)),""))</f>
        <v>AU-DES</v>
      </c>
      <c r="F194" s="261" t="s">
        <v>6410</v>
      </c>
      <c r="G194" s="261" t="s">
        <v>6411</v>
      </c>
      <c r="I194" s="261">
        <v>187.0</v>
      </c>
      <c r="K194" s="5" t="s">
        <v>188</v>
      </c>
      <c r="L194" s="5" t="s">
        <v>110</v>
      </c>
      <c r="M194" s="5" t="s">
        <v>2203</v>
      </c>
      <c r="N194" s="5" t="s">
        <v>463</v>
      </c>
      <c r="O194" s="5" t="s">
        <v>498</v>
      </c>
      <c r="P194" s="5" t="s">
        <v>146</v>
      </c>
      <c r="Q194" s="5" t="s">
        <v>52</v>
      </c>
      <c r="R194" s="5" t="s">
        <v>2207</v>
      </c>
      <c r="T194" s="275" t="s">
        <v>2605</v>
      </c>
      <c r="V194" s="261" t="s">
        <v>2610</v>
      </c>
      <c r="AG194" s="253" t="s">
        <v>3034</v>
      </c>
      <c r="AH194" s="244" t="s">
        <v>3034</v>
      </c>
      <c r="AI194" s="254" t="s">
        <v>3037</v>
      </c>
    </row>
    <row r="195" ht="15.0" customHeight="1">
      <c r="A195" s="261" t="s">
        <v>2172</v>
      </c>
      <c r="B195" s="261" t="s">
        <v>1133</v>
      </c>
      <c r="C195" s="261" t="s">
        <v>6415</v>
      </c>
      <c r="D195" s="261" t="s">
        <v>442</v>
      </c>
      <c r="E195" s="261" t="str">
        <f t="array" ref="E195">IFERROR(INDEX(REF_CODES!$B$27:$B$33,MATCH($D195,REF_CODES!$C$27:$C$33,0)),IFERROR(INDEX(REF_CODES!$B$51:$B$55,MATCH($D195,REF_CODES!$C$51:$C$55,0)),""))</f>
        <v>AU-DES</v>
      </c>
      <c r="F195" s="261" t="s">
        <v>6410</v>
      </c>
      <c r="G195" s="261" t="s">
        <v>6422</v>
      </c>
      <c r="I195" s="261">
        <v>178.0</v>
      </c>
      <c r="K195" s="251" t="s">
        <v>188</v>
      </c>
      <c r="L195" s="5" t="s">
        <v>110</v>
      </c>
      <c r="M195" s="5" t="s">
        <v>2203</v>
      </c>
      <c r="N195" s="5" t="s">
        <v>463</v>
      </c>
      <c r="O195" s="5" t="s">
        <v>498</v>
      </c>
      <c r="P195" s="5" t="s">
        <v>146</v>
      </c>
      <c r="Q195" s="5" t="s">
        <v>52</v>
      </c>
      <c r="R195" s="5" t="s">
        <v>2207</v>
      </c>
      <c r="T195" s="275" t="s">
        <v>2633</v>
      </c>
      <c r="V195" s="261" t="s">
        <v>2640</v>
      </c>
      <c r="AG195" s="253" t="s">
        <v>3034</v>
      </c>
      <c r="AH195" s="244" t="s">
        <v>3034</v>
      </c>
      <c r="AI195" s="254" t="s">
        <v>3037</v>
      </c>
    </row>
    <row r="196" ht="15.0" customHeight="1">
      <c r="A196" s="261" t="s">
        <v>2172</v>
      </c>
      <c r="B196" s="261" t="s">
        <v>1133</v>
      </c>
      <c r="C196" s="261" t="s">
        <v>6429</v>
      </c>
      <c r="D196" s="261" t="s">
        <v>442</v>
      </c>
      <c r="E196" s="261" t="str">
        <f t="array" ref="E196">IFERROR(INDEX(REF_CODES!$B$27:$B$33,MATCH($D196,REF_CODES!$C$27:$C$33,0)),IFERROR(INDEX(REF_CODES!$B$51:$B$55,MATCH($D196,REF_CODES!$C$51:$C$55,0)),""))</f>
        <v>AU-DES</v>
      </c>
      <c r="F196" s="261" t="s">
        <v>6410</v>
      </c>
      <c r="G196" s="261" t="s">
        <v>6438</v>
      </c>
      <c r="I196" s="261">
        <v>187.0</v>
      </c>
      <c r="K196" s="251" t="s">
        <v>188</v>
      </c>
      <c r="L196" s="5" t="s">
        <v>110</v>
      </c>
      <c r="M196" s="5" t="s">
        <v>2203</v>
      </c>
      <c r="N196" s="5" t="s">
        <v>463</v>
      </c>
      <c r="O196" s="5" t="s">
        <v>498</v>
      </c>
      <c r="P196" s="5" t="s">
        <v>146</v>
      </c>
      <c r="Q196" s="5" t="s">
        <v>52</v>
      </c>
      <c r="R196" s="5" t="s">
        <v>2207</v>
      </c>
      <c r="T196" s="275" t="s">
        <v>3695</v>
      </c>
      <c r="V196" s="261" t="s">
        <v>6441</v>
      </c>
      <c r="AG196" s="253" t="s">
        <v>3034</v>
      </c>
      <c r="AH196" s="244" t="s">
        <v>3034</v>
      </c>
      <c r="AI196" s="254" t="s">
        <v>3037</v>
      </c>
    </row>
    <row r="197" ht="15.0" customHeight="1">
      <c r="A197" s="261" t="s">
        <v>2172</v>
      </c>
      <c r="B197" s="261" t="s">
        <v>1133</v>
      </c>
      <c r="C197" s="261" t="s">
        <v>6442</v>
      </c>
      <c r="D197" s="261" t="s">
        <v>442</v>
      </c>
      <c r="E197" s="261" t="str">
        <f t="array" ref="E197">IFERROR(INDEX(REF_CODES!$B$27:$B$33,MATCH($D197,REF_CODES!$C$27:$C$33,0)),IFERROR(INDEX(REF_CODES!$B$51:$B$55,MATCH($D197,REF_CODES!$C$51:$C$55,0)),""))</f>
        <v>AU-DES</v>
      </c>
      <c r="F197" s="261" t="s">
        <v>6448</v>
      </c>
      <c r="G197" s="261" t="s">
        <v>6450</v>
      </c>
      <c r="H197" s="261" t="s">
        <v>2511</v>
      </c>
      <c r="I197" s="261">
        <v>42.0</v>
      </c>
      <c r="K197" s="251" t="s">
        <v>188</v>
      </c>
      <c r="L197" s="5" t="s">
        <v>110</v>
      </c>
      <c r="M197" s="5" t="s">
        <v>2203</v>
      </c>
      <c r="N197" s="5" t="s">
        <v>463</v>
      </c>
      <c r="O197" s="5" t="s">
        <v>498</v>
      </c>
      <c r="P197" s="5" t="s">
        <v>146</v>
      </c>
      <c r="Q197" s="5" t="s">
        <v>52</v>
      </c>
      <c r="R197" s="5" t="s">
        <v>2207</v>
      </c>
      <c r="T197" s="275" t="s">
        <v>6454</v>
      </c>
      <c r="V197" s="261" t="s">
        <v>6455</v>
      </c>
      <c r="AG197" s="253">
        <v>20.0</v>
      </c>
      <c r="AH197" s="244" t="s">
        <v>2789</v>
      </c>
      <c r="AI197" s="254" t="s">
        <v>2790</v>
      </c>
    </row>
    <row r="198" ht="15.0" customHeight="1">
      <c r="A198" s="261" t="s">
        <v>2172</v>
      </c>
      <c r="B198" s="261" t="s">
        <v>1133</v>
      </c>
      <c r="C198" s="261" t="s">
        <v>6456</v>
      </c>
      <c r="D198" s="261" t="s">
        <v>442</v>
      </c>
      <c r="E198" s="261" t="str">
        <f t="array" ref="E198">IFERROR(INDEX(REF_CODES!$B$27:$B$33,MATCH($D198,REF_CODES!$C$27:$C$33,0)),IFERROR(INDEX(REF_CODES!$B$51:$B$55,MATCH($D198,REF_CODES!$C$51:$C$55,0)),""))</f>
        <v>AU-DES</v>
      </c>
      <c r="F198" s="261" t="s">
        <v>6448</v>
      </c>
      <c r="G198" s="261" t="s">
        <v>6464</v>
      </c>
      <c r="H198" s="261" t="s">
        <v>2511</v>
      </c>
      <c r="I198" s="261">
        <v>37.0</v>
      </c>
      <c r="K198" s="251" t="s">
        <v>188</v>
      </c>
      <c r="L198" s="5" t="s">
        <v>110</v>
      </c>
      <c r="M198" s="5" t="s">
        <v>2203</v>
      </c>
      <c r="N198" s="5" t="s">
        <v>469</v>
      </c>
      <c r="O198" s="5" t="s">
        <v>498</v>
      </c>
      <c r="P198" s="5" t="s">
        <v>146</v>
      </c>
      <c r="Q198" s="5" t="s">
        <v>52</v>
      </c>
      <c r="R198" s="5" t="s">
        <v>2207</v>
      </c>
      <c r="T198" s="275" t="s">
        <v>6467</v>
      </c>
      <c r="AG198" s="253">
        <v>20.0</v>
      </c>
      <c r="AH198" s="244" t="s">
        <v>2789</v>
      </c>
      <c r="AI198" s="254" t="s">
        <v>2790</v>
      </c>
    </row>
    <row r="199" ht="15.0" customHeight="1">
      <c r="A199" s="261" t="s">
        <v>2172</v>
      </c>
      <c r="B199" s="261" t="s">
        <v>1133</v>
      </c>
      <c r="C199" s="261" t="s">
        <v>6468</v>
      </c>
      <c r="D199" s="261" t="s">
        <v>442</v>
      </c>
      <c r="E199" s="261" t="str">
        <f t="array" ref="E199">IFERROR(INDEX(REF_CODES!$B$27:$B$33,MATCH($D199,REF_CODES!$C$27:$C$33,0)),IFERROR(INDEX(REF_CODES!$B$51:$B$55,MATCH($D199,REF_CODES!$C$51:$C$55,0)),""))</f>
        <v>AU-DES</v>
      </c>
      <c r="F199" s="261" t="s">
        <v>6448</v>
      </c>
      <c r="G199" s="261" t="s">
        <v>6474</v>
      </c>
      <c r="H199" s="261" t="s">
        <v>2511</v>
      </c>
      <c r="I199" s="261">
        <v>42.0</v>
      </c>
      <c r="K199" s="251" t="s">
        <v>188</v>
      </c>
      <c r="L199" s="5" t="s">
        <v>110</v>
      </c>
      <c r="M199" s="5" t="s">
        <v>2203</v>
      </c>
      <c r="N199" s="5" t="s">
        <v>469</v>
      </c>
      <c r="O199" s="5" t="s">
        <v>498</v>
      </c>
      <c r="P199" s="5" t="s">
        <v>146</v>
      </c>
      <c r="Q199" s="5" t="s">
        <v>52</v>
      </c>
      <c r="R199" s="5" t="s">
        <v>2207</v>
      </c>
      <c r="T199" s="275" t="s">
        <v>6477</v>
      </c>
      <c r="AG199" s="253">
        <v>20.0</v>
      </c>
      <c r="AH199" s="244" t="s">
        <v>2789</v>
      </c>
      <c r="AI199" s="254" t="s">
        <v>2790</v>
      </c>
    </row>
    <row r="200" ht="15.0" customHeight="1">
      <c r="A200" s="261" t="s">
        <v>2172</v>
      </c>
      <c r="B200" s="261" t="s">
        <v>1133</v>
      </c>
      <c r="C200" s="261" t="s">
        <v>6478</v>
      </c>
      <c r="D200" s="261" t="s">
        <v>442</v>
      </c>
      <c r="E200" s="261" t="str">
        <f t="array" ref="E200">IFERROR(INDEX(REF_CODES!$B$27:$B$33,MATCH($D200,REF_CODES!$C$27:$C$33,0)),IFERROR(INDEX(REF_CODES!$B$51:$B$55,MATCH($D200,REF_CODES!$C$51:$C$55,0)),""))</f>
        <v>AU-DES</v>
      </c>
      <c r="F200" s="261" t="s">
        <v>6486</v>
      </c>
      <c r="G200" s="261" t="s">
        <v>6450</v>
      </c>
      <c r="H200" s="261" t="s">
        <v>2543</v>
      </c>
      <c r="I200" s="261">
        <v>84.0</v>
      </c>
      <c r="K200" s="251" t="s">
        <v>188</v>
      </c>
      <c r="L200" s="5" t="s">
        <v>97</v>
      </c>
      <c r="M200" s="5" t="s">
        <v>2312</v>
      </c>
      <c r="N200" s="5" t="s">
        <v>469</v>
      </c>
      <c r="O200" s="5" t="s">
        <v>498</v>
      </c>
      <c r="P200" s="5" t="s">
        <v>2782</v>
      </c>
      <c r="Q200" s="5" t="s">
        <v>2783</v>
      </c>
      <c r="R200" s="5" t="s">
        <v>2207</v>
      </c>
      <c r="T200" s="275" t="s">
        <v>6491</v>
      </c>
      <c r="AG200" s="253">
        <v>20.0</v>
      </c>
      <c r="AH200" s="244" t="s">
        <v>2808</v>
      </c>
      <c r="AI200" s="254" t="s">
        <v>2810</v>
      </c>
    </row>
    <row r="201" ht="15.0" customHeight="1">
      <c r="A201" s="261" t="s">
        <v>2172</v>
      </c>
      <c r="B201" s="261" t="s">
        <v>1133</v>
      </c>
      <c r="C201" s="261" t="s">
        <v>6494</v>
      </c>
      <c r="D201" s="261" t="s">
        <v>442</v>
      </c>
      <c r="E201" s="261" t="str">
        <f t="array" ref="E201">IFERROR(INDEX(REF_CODES!$B$27:$B$33,MATCH($D201,REF_CODES!$C$27:$C$33,0)),IFERROR(INDEX(REF_CODES!$B$51:$B$55,MATCH($D201,REF_CODES!$C$51:$C$55,0)),""))</f>
        <v>AU-DES</v>
      </c>
      <c r="F201" s="261" t="s">
        <v>6486</v>
      </c>
      <c r="G201" s="261" t="s">
        <v>6474</v>
      </c>
      <c r="H201" s="261" t="s">
        <v>2543</v>
      </c>
      <c r="I201" s="261">
        <v>89.0</v>
      </c>
      <c r="K201" s="251" t="s">
        <v>188</v>
      </c>
      <c r="L201" s="5" t="s">
        <v>97</v>
      </c>
      <c r="M201" s="5" t="s">
        <v>2312</v>
      </c>
      <c r="N201" s="5" t="s">
        <v>463</v>
      </c>
      <c r="O201" s="5" t="s">
        <v>498</v>
      </c>
      <c r="P201" s="5" t="s">
        <v>2782</v>
      </c>
      <c r="Q201" s="5" t="s">
        <v>2783</v>
      </c>
      <c r="R201" s="5" t="s">
        <v>2207</v>
      </c>
      <c r="T201" s="275" t="s">
        <v>6501</v>
      </c>
      <c r="AG201" s="253">
        <v>20.0</v>
      </c>
      <c r="AH201" s="244" t="s">
        <v>2808</v>
      </c>
      <c r="AI201" s="254" t="s">
        <v>2810</v>
      </c>
    </row>
    <row r="202" ht="15.0" customHeight="1">
      <c r="A202" s="261" t="s">
        <v>2172</v>
      </c>
      <c r="B202" s="249" t="s">
        <v>1133</v>
      </c>
      <c r="C202" s="249" t="s">
        <v>6504</v>
      </c>
      <c r="D202" s="249" t="s">
        <v>425</v>
      </c>
      <c r="E202" s="249" t="str">
        <f t="array" ref="E202">IFERROR(INDEX(REF_CODES!$B$27:$B$33,MATCH($D202,REF_CODES!$C$27:$C$33,0)),IFERROR(INDEX(REF_CODES!$B$51:$B$55,MATCH($D202,REF_CODES!$C$51:$C$55,0)),""))</f>
        <v>AU-EXC</v>
      </c>
      <c r="F202" s="249" t="s">
        <v>3202</v>
      </c>
      <c r="G202" s="5" t="s">
        <v>6511</v>
      </c>
      <c r="H202" s="249" t="s">
        <v>3203</v>
      </c>
      <c r="I202" s="249"/>
      <c r="J202" s="251" t="s">
        <v>2777</v>
      </c>
      <c r="K202" s="251" t="s">
        <v>188</v>
      </c>
      <c r="L202" s="5" t="s">
        <v>97</v>
      </c>
      <c r="M202" s="5" t="s">
        <v>2312</v>
      </c>
      <c r="N202" s="5" t="s">
        <v>463</v>
      </c>
      <c r="O202" s="5" t="s">
        <v>498</v>
      </c>
      <c r="P202" s="5" t="s">
        <v>2782</v>
      </c>
      <c r="Q202" s="5" t="s">
        <v>2783</v>
      </c>
      <c r="R202" s="5" t="s">
        <v>2207</v>
      </c>
      <c r="T202" s="275" t="s">
        <v>2761</v>
      </c>
      <c r="AG202" s="253"/>
      <c r="AH202" s="244" t="s">
        <v>3162</v>
      </c>
      <c r="AI202" s="254" t="s">
        <v>3164</v>
      </c>
    </row>
    <row r="203" ht="15.0" customHeight="1">
      <c r="A203" s="261" t="s">
        <v>2172</v>
      </c>
      <c r="B203" s="249" t="s">
        <v>1133</v>
      </c>
      <c r="C203" s="249" t="s">
        <v>6516</v>
      </c>
      <c r="D203" s="249" t="s">
        <v>425</v>
      </c>
      <c r="E203" s="249" t="str">
        <f t="array" ref="E203">IFERROR(INDEX(REF_CODES!$B$27:$B$33,MATCH($D203,REF_CODES!$C$27:$C$33,0)),IFERROR(INDEX(REF_CODES!$B$51:$B$55,MATCH($D203,REF_CODES!$C$51:$C$55,0)),""))</f>
        <v>AU-EXC</v>
      </c>
      <c r="F203" s="249" t="s">
        <v>3202</v>
      </c>
      <c r="G203" s="5" t="s">
        <v>6520</v>
      </c>
      <c r="H203" s="249" t="s">
        <v>3203</v>
      </c>
      <c r="I203" s="249"/>
      <c r="J203" s="251" t="s">
        <v>2777</v>
      </c>
      <c r="K203" s="251" t="s">
        <v>188</v>
      </c>
      <c r="L203" s="5" t="s">
        <v>97</v>
      </c>
      <c r="M203" s="5" t="s">
        <v>2312</v>
      </c>
      <c r="N203" s="5" t="s">
        <v>463</v>
      </c>
      <c r="O203" s="5" t="s">
        <v>498</v>
      </c>
      <c r="P203" s="5" t="s">
        <v>2782</v>
      </c>
      <c r="Q203" s="5" t="s">
        <v>2783</v>
      </c>
      <c r="R203" s="5" t="s">
        <v>2207</v>
      </c>
      <c r="T203" s="275" t="s">
        <v>6525</v>
      </c>
      <c r="AG203" s="253"/>
      <c r="AH203" s="244" t="s">
        <v>3162</v>
      </c>
      <c r="AI203" s="254" t="s">
        <v>3164</v>
      </c>
    </row>
    <row r="204" ht="15.0" customHeight="1">
      <c r="A204" s="261" t="s">
        <v>2172</v>
      </c>
      <c r="B204" s="249" t="s">
        <v>1133</v>
      </c>
      <c r="C204" s="249" t="s">
        <v>6528</v>
      </c>
      <c r="D204" s="249" t="s">
        <v>425</v>
      </c>
      <c r="E204" s="249" t="str">
        <f t="array" ref="E204">IFERROR(INDEX(REF_CODES!$B$27:$B$33,MATCH($D204,REF_CODES!$C$27:$C$33,0)),IFERROR(INDEX(REF_CODES!$B$51:$B$55,MATCH($D204,REF_CODES!$C$51:$C$55,0)),""))</f>
        <v>AU-EXC</v>
      </c>
      <c r="F204" s="249" t="s">
        <v>3202</v>
      </c>
      <c r="G204" s="5" t="s">
        <v>6534</v>
      </c>
      <c r="H204" s="249" t="s">
        <v>3203</v>
      </c>
      <c r="I204" s="249"/>
      <c r="J204" s="251" t="s">
        <v>2777</v>
      </c>
      <c r="K204" s="251" t="s">
        <v>188</v>
      </c>
      <c r="L204" s="5" t="s">
        <v>97</v>
      </c>
      <c r="M204" s="5" t="s">
        <v>2312</v>
      </c>
      <c r="N204" s="5" t="s">
        <v>463</v>
      </c>
      <c r="O204" s="5" t="s">
        <v>498</v>
      </c>
      <c r="P204" s="5" t="s">
        <v>2782</v>
      </c>
      <c r="Q204" s="5" t="s">
        <v>2783</v>
      </c>
      <c r="R204" s="5" t="s">
        <v>2207</v>
      </c>
      <c r="AG204" s="253"/>
      <c r="AH204" s="244" t="s">
        <v>3162</v>
      </c>
      <c r="AI204" s="254" t="s">
        <v>3164</v>
      </c>
    </row>
    <row r="205" ht="15.0" customHeight="1">
      <c r="A205" s="261" t="s">
        <v>2172</v>
      </c>
      <c r="B205" s="249" t="s">
        <v>1133</v>
      </c>
      <c r="C205" s="249" t="s">
        <v>6539</v>
      </c>
      <c r="D205" s="249" t="s">
        <v>425</v>
      </c>
      <c r="E205" s="249" t="str">
        <f t="array" ref="E205">IFERROR(INDEX(REF_CODES!$B$27:$B$33,MATCH($D205,REF_CODES!$C$27:$C$33,0)),IFERROR(INDEX(REF_CODES!$B$51:$B$55,MATCH($D205,REF_CODES!$C$51:$C$55,0)),""))</f>
        <v>AU-EXC</v>
      </c>
      <c r="F205" s="249" t="s">
        <v>3202</v>
      </c>
      <c r="G205" s="5" t="s">
        <v>6542</v>
      </c>
      <c r="H205" s="249" t="s">
        <v>3203</v>
      </c>
      <c r="I205" s="249"/>
      <c r="J205" s="251" t="s">
        <v>2777</v>
      </c>
      <c r="K205" s="251" t="s">
        <v>188</v>
      </c>
      <c r="L205" s="5" t="s">
        <v>97</v>
      </c>
      <c r="M205" s="5" t="s">
        <v>2312</v>
      </c>
      <c r="N205" s="5" t="s">
        <v>463</v>
      </c>
      <c r="O205" s="5" t="s">
        <v>498</v>
      </c>
      <c r="P205" s="5" t="s">
        <v>2782</v>
      </c>
      <c r="Q205" s="5" t="s">
        <v>2783</v>
      </c>
      <c r="R205" s="5" t="s">
        <v>2207</v>
      </c>
      <c r="T205" s="275" t="s">
        <v>6546</v>
      </c>
      <c r="AG205" s="253"/>
      <c r="AH205" s="244" t="s">
        <v>3162</v>
      </c>
      <c r="AI205" s="254" t="s">
        <v>3164</v>
      </c>
    </row>
    <row r="206" ht="15.0" customHeight="1">
      <c r="A206" s="261" t="s">
        <v>2172</v>
      </c>
      <c r="B206" s="249" t="s">
        <v>1133</v>
      </c>
      <c r="C206" s="249" t="s">
        <v>6549</v>
      </c>
      <c r="D206" s="249" t="s">
        <v>879</v>
      </c>
      <c r="E206" s="249" t="str">
        <f t="array" ref="E206">IFERROR(INDEX(REF_CODES!$B$27:$B$33,MATCH($D206,REF_CODES!$C$27:$C$33,0)),IFERROR(INDEX(REF_CODES!$B$51:$B$55,MATCH($D206,REF_CODES!$C$51:$C$55,0)),""))</f>
        <v>AK-NAT</v>
      </c>
      <c r="F206" s="249" t="s">
        <v>6553</v>
      </c>
      <c r="G206" s="5" t="s">
        <v>6554</v>
      </c>
      <c r="H206" s="249" t="s">
        <v>6555</v>
      </c>
      <c r="I206" s="249"/>
      <c r="J206" s="251"/>
      <c r="K206" s="251"/>
      <c r="L206" s="5" t="s">
        <v>97</v>
      </c>
      <c r="M206" s="5" t="s">
        <v>2312</v>
      </c>
      <c r="N206" s="5" t="s">
        <v>463</v>
      </c>
      <c r="O206" s="5" t="s">
        <v>498</v>
      </c>
      <c r="P206" s="5" t="s">
        <v>2782</v>
      </c>
      <c r="Q206" s="5" t="s">
        <v>2783</v>
      </c>
      <c r="R206" s="5" t="s">
        <v>2207</v>
      </c>
      <c r="T206" s="275" t="s">
        <v>6525</v>
      </c>
      <c r="AG206" s="253"/>
      <c r="AH206" s="244" t="s">
        <v>3072</v>
      </c>
      <c r="AI206" s="254" t="s">
        <v>6564</v>
      </c>
    </row>
    <row r="207" ht="15.0" customHeight="1">
      <c r="A207" s="261" t="s">
        <v>2172</v>
      </c>
      <c r="B207" s="249" t="s">
        <v>1133</v>
      </c>
      <c r="C207" s="249" t="s">
        <v>6565</v>
      </c>
      <c r="D207" s="249" t="s">
        <v>879</v>
      </c>
      <c r="E207" s="249" t="str">
        <f t="array" ref="E207">IFERROR(INDEX(REF_CODES!$B$27:$B$33,MATCH($D207,REF_CODES!$C$27:$C$33,0)),IFERROR(INDEX(REF_CODES!$B$51:$B$55,MATCH($D207,REF_CODES!$C$51:$C$55,0)),""))</f>
        <v>AK-NAT</v>
      </c>
      <c r="F207" s="249" t="s">
        <v>6568</v>
      </c>
      <c r="G207" s="5" t="s">
        <v>6570</v>
      </c>
      <c r="H207" s="249" t="s">
        <v>6571</v>
      </c>
      <c r="I207" s="249"/>
      <c r="J207" s="251"/>
      <c r="K207" s="251"/>
      <c r="L207" s="5" t="s">
        <v>97</v>
      </c>
      <c r="M207" s="5" t="s">
        <v>2312</v>
      </c>
      <c r="N207" s="5" t="s">
        <v>463</v>
      </c>
      <c r="O207" s="5" t="s">
        <v>498</v>
      </c>
      <c r="P207" s="5" t="s">
        <v>2782</v>
      </c>
      <c r="Q207" s="5" t="s">
        <v>2783</v>
      </c>
      <c r="R207" s="5" t="s">
        <v>2207</v>
      </c>
      <c r="T207" s="275" t="s">
        <v>6546</v>
      </c>
      <c r="AG207" s="253"/>
      <c r="AH207" s="244" t="s">
        <v>3072</v>
      </c>
      <c r="AI207" s="254" t="s">
        <v>6564</v>
      </c>
    </row>
    <row r="208" ht="15.0" customHeight="1">
      <c r="A208" s="249" t="s">
        <v>2172</v>
      </c>
      <c r="B208" s="249" t="s">
        <v>1133</v>
      </c>
      <c r="C208" s="249" t="s">
        <v>6575</v>
      </c>
      <c r="D208" s="249" t="s">
        <v>483</v>
      </c>
      <c r="E208" s="249" t="str">
        <f t="array" ref="E208">IFERROR(INDEX(REF_CODES!$B$27:$B$33,MATCH($D208,REF_CODES!$C$27:$C$33,0)),IFERROR(INDEX(REF_CODES!$B$51:$B$55,MATCH($D208,REF_CODES!$C$51:$C$55,0)),""))</f>
        <v>AU-BIE</v>
      </c>
      <c r="F208" s="249" t="s">
        <v>6579</v>
      </c>
      <c r="G208" s="5" t="s">
        <v>6580</v>
      </c>
      <c r="H208" s="249" t="s">
        <v>6581</v>
      </c>
      <c r="I208" s="249"/>
      <c r="J208" s="251"/>
      <c r="K208" s="251"/>
      <c r="L208" s="5" t="s">
        <v>97</v>
      </c>
      <c r="M208" s="5" t="s">
        <v>2312</v>
      </c>
      <c r="N208" s="5" t="s">
        <v>463</v>
      </c>
      <c r="O208" s="5" t="s">
        <v>498</v>
      </c>
      <c r="P208" s="5" t="s">
        <v>142</v>
      </c>
      <c r="Q208" s="5" t="s">
        <v>3156</v>
      </c>
      <c r="R208" s="5" t="s">
        <v>226</v>
      </c>
      <c r="S208" s="252" t="s">
        <v>6585</v>
      </c>
      <c r="T208" s="5" t="s">
        <v>6587</v>
      </c>
      <c r="U208" s="252" t="s">
        <v>6588</v>
      </c>
      <c r="V208" s="252" t="s">
        <v>2208</v>
      </c>
      <c r="W208" s="252" t="s">
        <v>2338</v>
      </c>
      <c r="X208" s="252" t="s">
        <v>2338</v>
      </c>
      <c r="Y208" s="252" t="s">
        <v>2340</v>
      </c>
      <c r="Z208" s="5" t="s">
        <v>2342</v>
      </c>
      <c r="AA208" s="5" t="s">
        <v>6591</v>
      </c>
      <c r="AB208" s="252" t="s">
        <v>2344</v>
      </c>
      <c r="AC208" s="13"/>
      <c r="AF208" s="261" t="s">
        <v>6593</v>
      </c>
      <c r="AG208" s="253" t="s">
        <v>2345</v>
      </c>
      <c r="AH208" s="244" t="s">
        <v>2347</v>
      </c>
      <c r="AI208" s="254" t="s">
        <v>2348</v>
      </c>
    </row>
    <row r="209" ht="15.0" customHeight="1">
      <c r="A209" s="249" t="s">
        <v>2172</v>
      </c>
      <c r="B209" s="249" t="s">
        <v>1133</v>
      </c>
      <c r="C209" s="249" t="s">
        <v>6596</v>
      </c>
      <c r="D209" s="249" t="s">
        <v>483</v>
      </c>
      <c r="E209" s="249" t="str">
        <f t="array" ref="E209">IFERROR(INDEX(REF_CODES!$B$27:$B$33,MATCH($D209,REF_CODES!$C$27:$C$33,0)),IFERROR(INDEX(REF_CODES!$B$51:$B$55,MATCH($D209,REF_CODES!$C$51:$C$55,0)),""))</f>
        <v>AU-BIE</v>
      </c>
      <c r="F209" s="249" t="s">
        <v>6579</v>
      </c>
      <c r="G209" s="5" t="s">
        <v>6599</v>
      </c>
      <c r="H209" s="249" t="s">
        <v>6601</v>
      </c>
      <c r="I209" s="249"/>
      <c r="J209" s="251"/>
      <c r="K209" s="251"/>
      <c r="L209" s="5" t="s">
        <v>97</v>
      </c>
      <c r="M209" s="5" t="s">
        <v>2312</v>
      </c>
      <c r="N209" s="5" t="s">
        <v>463</v>
      </c>
      <c r="O209" s="5" t="s">
        <v>498</v>
      </c>
      <c r="P209" s="5" t="s">
        <v>142</v>
      </c>
      <c r="Q209" s="5" t="s">
        <v>3156</v>
      </c>
      <c r="R209" s="5" t="s">
        <v>2207</v>
      </c>
      <c r="S209" s="252" t="s">
        <v>2208</v>
      </c>
      <c r="T209" s="5" t="s">
        <v>6609</v>
      </c>
      <c r="U209" s="252" t="s">
        <v>2334</v>
      </c>
      <c r="V209" s="252" t="s">
        <v>2208</v>
      </c>
      <c r="W209" s="252" t="s">
        <v>2338</v>
      </c>
      <c r="X209" s="252" t="s">
        <v>2338</v>
      </c>
      <c r="Y209" s="252" t="s">
        <v>2340</v>
      </c>
      <c r="Z209" s="5" t="s">
        <v>2342</v>
      </c>
      <c r="AA209" s="5" t="s">
        <v>1229</v>
      </c>
      <c r="AB209" s="252" t="s">
        <v>2344</v>
      </c>
      <c r="AC209" s="13"/>
      <c r="AD209" s="271">
        <v>4.9</v>
      </c>
      <c r="AE209" s="272">
        <v>930.0</v>
      </c>
      <c r="AF209" s="261" t="s">
        <v>6613</v>
      </c>
      <c r="AG209" s="253" t="s">
        <v>2345</v>
      </c>
      <c r="AH209" s="244" t="s">
        <v>2347</v>
      </c>
      <c r="AI209" s="254" t="s">
        <v>2348</v>
      </c>
    </row>
    <row r="210" ht="15.0" customHeight="1">
      <c r="A210" s="249" t="s">
        <v>2172</v>
      </c>
      <c r="B210" s="249" t="s">
        <v>1133</v>
      </c>
      <c r="C210" s="249" t="s">
        <v>6616</v>
      </c>
      <c r="D210" s="249" t="s">
        <v>483</v>
      </c>
      <c r="E210" s="249" t="str">
        <f t="array" ref="E210">IFERROR(INDEX(REF_CODES!$B$27:$B$33,MATCH($D210,REF_CODES!$C$27:$C$33,0)),IFERROR(INDEX(REF_CODES!$B$51:$B$55,MATCH($D210,REF_CODES!$C$51:$C$55,0)),""))</f>
        <v>AU-BIE</v>
      </c>
      <c r="F210" s="249" t="s">
        <v>6579</v>
      </c>
      <c r="G210" s="5" t="s">
        <v>6621</v>
      </c>
      <c r="H210" s="249" t="s">
        <v>6622</v>
      </c>
      <c r="I210" s="249"/>
      <c r="J210" s="251"/>
      <c r="K210" s="251"/>
      <c r="L210" s="5" t="s">
        <v>97</v>
      </c>
      <c r="M210" s="5" t="s">
        <v>2312</v>
      </c>
      <c r="N210" s="5" t="s">
        <v>463</v>
      </c>
      <c r="O210" s="5" t="s">
        <v>498</v>
      </c>
      <c r="P210" s="5" t="s">
        <v>142</v>
      </c>
      <c r="Q210" s="5" t="s">
        <v>3156</v>
      </c>
      <c r="R210" s="5" t="s">
        <v>2207</v>
      </c>
      <c r="S210" s="252" t="s">
        <v>6626</v>
      </c>
      <c r="T210" s="5" t="s">
        <v>6627</v>
      </c>
      <c r="U210" s="252" t="s">
        <v>6628</v>
      </c>
      <c r="V210" s="252" t="s">
        <v>2208</v>
      </c>
      <c r="W210" s="252" t="s">
        <v>2338</v>
      </c>
      <c r="X210" s="252" t="s">
        <v>2338</v>
      </c>
      <c r="Y210" s="252" t="s">
        <v>2340</v>
      </c>
      <c r="Z210" s="5" t="s">
        <v>2342</v>
      </c>
      <c r="AA210" s="5" t="s">
        <v>1229</v>
      </c>
      <c r="AB210" s="252" t="s">
        <v>2344</v>
      </c>
      <c r="AC210" s="13"/>
      <c r="AF210" s="261" t="s">
        <v>6613</v>
      </c>
      <c r="AG210" s="253" t="s">
        <v>2345</v>
      </c>
      <c r="AH210" s="244" t="s">
        <v>2347</v>
      </c>
      <c r="AI210" s="254" t="s">
        <v>2348</v>
      </c>
    </row>
    <row r="211" ht="15.0" customHeight="1">
      <c r="A211" s="249" t="s">
        <v>2172</v>
      </c>
      <c r="B211" s="249" t="s">
        <v>1133</v>
      </c>
      <c r="C211" s="249" t="s">
        <v>6633</v>
      </c>
      <c r="D211" s="249" t="s">
        <v>483</v>
      </c>
      <c r="E211" s="249" t="str">
        <f t="array" ref="E211">IFERROR(INDEX(REF_CODES!$B$27:$B$33,MATCH($D211,REF_CODES!$C$27:$C$33,0)),IFERROR(INDEX(REF_CODES!$B$51:$B$55,MATCH($D211,REF_CODES!$C$51:$C$55,0)),""))</f>
        <v>AU-BIE</v>
      </c>
      <c r="F211" s="249" t="s">
        <v>6579</v>
      </c>
      <c r="G211" s="5" t="s">
        <v>6637</v>
      </c>
      <c r="H211" s="249" t="s">
        <v>2445</v>
      </c>
      <c r="I211" s="249"/>
      <c r="J211" s="251"/>
      <c r="K211" s="251"/>
      <c r="L211" s="5" t="s">
        <v>97</v>
      </c>
      <c r="M211" s="5" t="s">
        <v>2312</v>
      </c>
      <c r="N211" s="5" t="s">
        <v>463</v>
      </c>
      <c r="O211" s="5" t="s">
        <v>498</v>
      </c>
      <c r="P211" s="5" t="s">
        <v>142</v>
      </c>
      <c r="Q211" s="5" t="s">
        <v>3156</v>
      </c>
      <c r="R211" s="5" t="s">
        <v>2207</v>
      </c>
      <c r="S211" s="252" t="s">
        <v>2208</v>
      </c>
      <c r="T211" s="5" t="s">
        <v>6643</v>
      </c>
      <c r="U211" s="252" t="s">
        <v>2334</v>
      </c>
      <c r="V211" s="252" t="s">
        <v>2208</v>
      </c>
      <c r="W211" s="252" t="s">
        <v>2338</v>
      </c>
      <c r="X211" s="252" t="s">
        <v>2338</v>
      </c>
      <c r="Y211" s="252" t="s">
        <v>2340</v>
      </c>
      <c r="Z211" s="5" t="s">
        <v>2342</v>
      </c>
      <c r="AA211" s="5" t="s">
        <v>1229</v>
      </c>
      <c r="AB211" s="252" t="s">
        <v>2344</v>
      </c>
      <c r="AC211" s="13"/>
      <c r="AD211" s="271">
        <v>4.9</v>
      </c>
      <c r="AE211" s="272">
        <v>86.0</v>
      </c>
      <c r="AF211" s="261" t="s">
        <v>6613</v>
      </c>
      <c r="AG211" s="253" t="s">
        <v>2345</v>
      </c>
      <c r="AH211" s="244" t="s">
        <v>2347</v>
      </c>
      <c r="AI211" s="254" t="s">
        <v>2348</v>
      </c>
    </row>
    <row r="212" ht="15.0" customHeight="1">
      <c r="A212" s="249" t="s">
        <v>2172</v>
      </c>
      <c r="B212" s="249" t="s">
        <v>1133</v>
      </c>
      <c r="C212" s="249" t="s">
        <v>6649</v>
      </c>
      <c r="D212" s="249" t="s">
        <v>483</v>
      </c>
      <c r="E212" s="249" t="str">
        <f t="array" ref="E212">IFERROR(INDEX(REF_CODES!$B$27:$B$33,MATCH($D212,REF_CODES!$C$27:$C$33,0)),IFERROR(INDEX(REF_CODES!$B$51:$B$55,MATCH($D212,REF_CODES!$C$51:$C$55,0)),""))</f>
        <v>AU-BIE</v>
      </c>
      <c r="F212" s="249" t="s">
        <v>6579</v>
      </c>
      <c r="G212" s="5" t="s">
        <v>6655</v>
      </c>
      <c r="H212" s="249" t="s">
        <v>6656</v>
      </c>
      <c r="I212" s="249"/>
      <c r="J212" s="251"/>
      <c r="K212" s="251"/>
      <c r="L212" s="5"/>
      <c r="M212" s="5"/>
      <c r="N212" s="5"/>
      <c r="O212" s="5"/>
      <c r="P212" s="5"/>
      <c r="Q212" s="5"/>
      <c r="R212" s="5"/>
      <c r="S212" s="252" t="s">
        <v>2208</v>
      </c>
      <c r="T212" s="5" t="s">
        <v>2208</v>
      </c>
      <c r="U212" s="252" t="s">
        <v>2334</v>
      </c>
      <c r="V212" s="252" t="s">
        <v>2208</v>
      </c>
      <c r="W212" s="252" t="s">
        <v>2338</v>
      </c>
      <c r="X212" s="252" t="s">
        <v>2338</v>
      </c>
      <c r="Y212" s="252" t="s">
        <v>2340</v>
      </c>
      <c r="Z212" s="5" t="s">
        <v>2342</v>
      </c>
      <c r="AA212" s="5" t="s">
        <v>1229</v>
      </c>
      <c r="AB212" s="252" t="s">
        <v>2344</v>
      </c>
      <c r="AC212" s="13"/>
      <c r="AD212" s="271"/>
      <c r="AE212" s="272"/>
      <c r="AF212" s="261" t="s">
        <v>5726</v>
      </c>
      <c r="AG212" s="253" t="s">
        <v>2345</v>
      </c>
      <c r="AH212" s="244" t="s">
        <v>2347</v>
      </c>
      <c r="AI212" s="254" t="s">
        <v>2348</v>
      </c>
    </row>
    <row r="213" ht="15.0" customHeight="1">
      <c r="A213" s="249" t="s">
        <v>2172</v>
      </c>
      <c r="B213" s="249" t="s">
        <v>1133</v>
      </c>
      <c r="C213" s="249" t="s">
        <v>6663</v>
      </c>
      <c r="D213" s="249" t="s">
        <v>483</v>
      </c>
      <c r="E213" s="249" t="str">
        <f t="array" ref="E213">IFERROR(INDEX(REF_CODES!$B$27:$B$33,MATCH($D213,REF_CODES!$C$27:$C$33,0)),IFERROR(INDEX(REF_CODES!$B$51:$B$55,MATCH($D213,REF_CODES!$C$51:$C$55,0)),""))</f>
        <v>AU-BIE</v>
      </c>
      <c r="F213" s="249" t="s">
        <v>6579</v>
      </c>
      <c r="G213" s="5" t="s">
        <v>6667</v>
      </c>
      <c r="H213" s="249" t="s">
        <v>6668</v>
      </c>
      <c r="I213" s="249"/>
      <c r="J213" s="251"/>
      <c r="K213" s="251"/>
      <c r="L213" s="5"/>
      <c r="M213" s="5"/>
      <c r="N213" s="5"/>
      <c r="O213" s="5"/>
      <c r="P213" s="5"/>
      <c r="Q213" s="5"/>
      <c r="R213" s="5"/>
      <c r="S213" s="252" t="s">
        <v>2208</v>
      </c>
      <c r="T213" s="5" t="s">
        <v>2208</v>
      </c>
      <c r="U213" s="252" t="s">
        <v>2334</v>
      </c>
      <c r="V213" s="252" t="s">
        <v>2208</v>
      </c>
      <c r="W213" s="252" t="s">
        <v>2338</v>
      </c>
      <c r="X213" s="252" t="s">
        <v>2338</v>
      </c>
      <c r="Y213" s="252" t="s">
        <v>2340</v>
      </c>
      <c r="Z213" s="5" t="s">
        <v>2342</v>
      </c>
      <c r="AA213" s="5" t="s">
        <v>1229</v>
      </c>
      <c r="AB213" s="252" t="s">
        <v>2344</v>
      </c>
      <c r="AC213" s="13"/>
      <c r="AD213" s="271"/>
      <c r="AE213" s="272"/>
      <c r="AF213" s="261" t="s">
        <v>5726</v>
      </c>
      <c r="AG213" s="253" t="s">
        <v>2345</v>
      </c>
      <c r="AH213" s="244" t="s">
        <v>2347</v>
      </c>
      <c r="AI213" s="254" t="s">
        <v>2348</v>
      </c>
    </row>
    <row r="214" ht="15.0" customHeight="1">
      <c r="A214" s="249" t="s">
        <v>2172</v>
      </c>
      <c r="B214" s="249" t="s">
        <v>1133</v>
      </c>
      <c r="C214" s="249" t="s">
        <v>6681</v>
      </c>
      <c r="D214" s="249" t="s">
        <v>483</v>
      </c>
      <c r="E214" s="249" t="str">
        <f t="array" ref="E214">IFERROR(INDEX(REF_CODES!$B$27:$B$33,MATCH($D214,REF_CODES!$C$27:$C$33,0)),IFERROR(INDEX(REF_CODES!$B$51:$B$55,MATCH($D214,REF_CODES!$C$51:$C$55,0)),""))</f>
        <v>AU-BIE</v>
      </c>
      <c r="F214" s="249" t="s">
        <v>6579</v>
      </c>
      <c r="G214" s="5" t="s">
        <v>6684</v>
      </c>
      <c r="H214" s="249" t="s">
        <v>6685</v>
      </c>
      <c r="I214" s="249"/>
      <c r="J214" s="251"/>
      <c r="K214" s="251"/>
      <c r="L214" s="5"/>
      <c r="M214" s="5"/>
      <c r="N214" s="5"/>
      <c r="O214" s="5"/>
      <c r="P214" s="5"/>
      <c r="Q214" s="5"/>
      <c r="R214" s="5"/>
      <c r="S214" s="252" t="s">
        <v>2208</v>
      </c>
      <c r="T214" s="5" t="s">
        <v>6690</v>
      </c>
      <c r="U214" s="252" t="s">
        <v>2334</v>
      </c>
      <c r="V214" s="252"/>
      <c r="W214" s="252"/>
      <c r="X214" s="252"/>
      <c r="Y214" s="252"/>
      <c r="Z214" s="5"/>
      <c r="AA214" s="5"/>
      <c r="AB214" s="252" t="s">
        <v>2344</v>
      </c>
      <c r="AC214" s="13"/>
      <c r="AD214" s="271"/>
      <c r="AE214" s="272"/>
      <c r="AG214" s="253" t="s">
        <v>2345</v>
      </c>
      <c r="AH214" s="244" t="s">
        <v>2347</v>
      </c>
      <c r="AI214" s="254" t="s">
        <v>2348</v>
      </c>
    </row>
    <row r="215" ht="15.0" customHeight="1">
      <c r="A215" s="249" t="s">
        <v>2172</v>
      </c>
      <c r="B215" s="249" t="s">
        <v>1133</v>
      </c>
      <c r="C215" s="249" t="s">
        <v>6692</v>
      </c>
      <c r="D215" s="249" t="s">
        <v>505</v>
      </c>
      <c r="E215" s="249" t="str">
        <f t="array" ref="E215">IFERROR(INDEX(REF_CODES!$B$27:$B$33,MATCH($D215,REF_CODES!$C$27:$C$33,0)),IFERROR(INDEX(REF_CODES!$B$51:$B$55,MATCH($D215,REF_CODES!$C$51:$C$55,0)),""))</f>
        <v>AU-FES</v>
      </c>
      <c r="F215" s="249" t="s">
        <v>6694</v>
      </c>
      <c r="G215" s="5" t="s">
        <v>6696</v>
      </c>
      <c r="H215" s="249" t="s">
        <v>2519</v>
      </c>
      <c r="I215" s="249"/>
      <c r="J215" s="251"/>
      <c r="K215" s="251"/>
      <c r="L215" s="5"/>
      <c r="M215" s="5"/>
      <c r="N215" s="5"/>
      <c r="O215" s="5"/>
      <c r="P215" s="5"/>
      <c r="Q215" s="5"/>
      <c r="R215" s="5"/>
      <c r="S215" s="252" t="s">
        <v>2208</v>
      </c>
      <c r="T215" s="5" t="s">
        <v>6697</v>
      </c>
      <c r="U215" s="252" t="s">
        <v>2334</v>
      </c>
      <c r="V215" s="252"/>
      <c r="W215" s="252"/>
      <c r="X215" s="252"/>
      <c r="Y215" s="252"/>
      <c r="Z215" s="5"/>
      <c r="AA215" s="5"/>
      <c r="AB215" s="252" t="s">
        <v>2344</v>
      </c>
      <c r="AC215" s="13"/>
      <c r="AD215" s="271"/>
      <c r="AE215" s="272"/>
      <c r="AG215" s="253" t="s">
        <v>3717</v>
      </c>
      <c r="AH215" s="244" t="s">
        <v>3718</v>
      </c>
      <c r="AI215" s="254" t="s">
        <v>3719</v>
      </c>
    </row>
    <row r="216" ht="15.0" customHeight="1">
      <c r="A216" s="249" t="s">
        <v>2172</v>
      </c>
      <c r="B216" s="249" t="s">
        <v>1133</v>
      </c>
      <c r="C216" s="249" t="s">
        <v>6699</v>
      </c>
      <c r="D216" s="249" t="s">
        <v>505</v>
      </c>
      <c r="E216" s="249" t="str">
        <f t="array" ref="E216">IFERROR(INDEX(REF_CODES!$B$27:$B$33,MATCH($D216,REF_CODES!$C$27:$C$33,0)),IFERROR(INDEX(REF_CODES!$B$51:$B$55,MATCH($D216,REF_CODES!$C$51:$C$55,0)),""))</f>
        <v>AU-FES</v>
      </c>
      <c r="F216" s="249" t="s">
        <v>6694</v>
      </c>
      <c r="G216" s="5" t="s">
        <v>6701</v>
      </c>
      <c r="H216" s="249" t="s">
        <v>6702</v>
      </c>
      <c r="I216" s="249"/>
      <c r="J216" s="251"/>
      <c r="K216" s="251"/>
      <c r="L216" s="5"/>
      <c r="M216" s="5"/>
      <c r="N216" s="5"/>
      <c r="O216" s="5"/>
      <c r="P216" s="5"/>
      <c r="Q216" s="5"/>
      <c r="R216" s="5"/>
      <c r="S216" s="252" t="s">
        <v>2208</v>
      </c>
      <c r="T216" s="5" t="s">
        <v>6704</v>
      </c>
      <c r="U216" s="252" t="s">
        <v>2334</v>
      </c>
      <c r="V216" s="252"/>
      <c r="W216" s="252"/>
      <c r="X216" s="252"/>
      <c r="Y216" s="252"/>
      <c r="Z216" s="5"/>
      <c r="AA216" s="5"/>
      <c r="AB216" s="252" t="s">
        <v>2344</v>
      </c>
      <c r="AC216" s="13"/>
      <c r="AD216" s="271"/>
      <c r="AE216" s="272"/>
      <c r="AG216" s="253" t="s">
        <v>3717</v>
      </c>
      <c r="AH216" s="244" t="s">
        <v>3718</v>
      </c>
      <c r="AI216" s="254" t="s">
        <v>3719</v>
      </c>
    </row>
    <row r="217" ht="15.0" customHeight="1">
      <c r="A217" s="249" t="s">
        <v>2172</v>
      </c>
      <c r="B217" s="249" t="s">
        <v>1133</v>
      </c>
      <c r="C217" s="249" t="s">
        <v>6706</v>
      </c>
      <c r="D217" s="249" t="s">
        <v>505</v>
      </c>
      <c r="E217" s="249" t="str">
        <f t="array" ref="E217">IFERROR(INDEX(REF_CODES!$B$27:$B$33,MATCH($D217,REF_CODES!$C$27:$C$33,0)),IFERROR(INDEX(REF_CODES!$B$51:$B$55,MATCH($D217,REF_CODES!$C$51:$C$55,0)),""))</f>
        <v>AU-FES</v>
      </c>
      <c r="F217" s="249" t="s">
        <v>6694</v>
      </c>
      <c r="G217" s="5" t="s">
        <v>6707</v>
      </c>
      <c r="H217" s="249" t="s">
        <v>2519</v>
      </c>
      <c r="I217" s="249"/>
      <c r="J217" s="251"/>
      <c r="K217" s="251"/>
      <c r="L217" s="5"/>
      <c r="M217" s="5"/>
      <c r="N217" s="5"/>
      <c r="O217" s="5"/>
      <c r="P217" s="5"/>
      <c r="Q217" s="5"/>
      <c r="R217" s="5"/>
      <c r="S217" s="252" t="s">
        <v>2208</v>
      </c>
      <c r="T217" s="5" t="s">
        <v>6709</v>
      </c>
      <c r="U217" s="252" t="s">
        <v>2334</v>
      </c>
      <c r="V217" s="252"/>
      <c r="W217" s="252"/>
      <c r="X217" s="252"/>
      <c r="Y217" s="252"/>
      <c r="Z217" s="5"/>
      <c r="AA217" s="5"/>
      <c r="AB217" s="252" t="s">
        <v>2344</v>
      </c>
      <c r="AC217" s="13"/>
      <c r="AD217" s="271"/>
      <c r="AE217" s="272"/>
      <c r="AG217" s="253" t="s">
        <v>3717</v>
      </c>
      <c r="AH217" s="244" t="s">
        <v>3718</v>
      </c>
      <c r="AI217" s="254" t="s">
        <v>3719</v>
      </c>
    </row>
    <row r="218" ht="15.0" customHeight="1">
      <c r="A218" s="249" t="s">
        <v>2172</v>
      </c>
      <c r="B218" s="249" t="s">
        <v>1133</v>
      </c>
      <c r="C218" s="249" t="s">
        <v>6711</v>
      </c>
      <c r="D218" s="249" t="s">
        <v>505</v>
      </c>
      <c r="E218" s="249" t="str">
        <f t="array" ref="E218">IFERROR(INDEX(REF_CODES!$B$27:$B$33,MATCH($D218,REF_CODES!$C$27:$C$33,0)),IFERROR(INDEX(REF_CODES!$B$51:$B$55,MATCH($D218,REF_CODES!$C$51:$C$55,0)),""))</f>
        <v>AU-FES</v>
      </c>
      <c r="F218" s="249" t="s">
        <v>6694</v>
      </c>
      <c r="G218" s="5" t="s">
        <v>6713</v>
      </c>
      <c r="H218" s="249" t="s">
        <v>6452</v>
      </c>
      <c r="I218" s="249"/>
      <c r="J218" s="251"/>
      <c r="K218" s="251"/>
      <c r="L218" s="5"/>
      <c r="M218" s="5"/>
      <c r="N218" s="5"/>
      <c r="O218" s="5"/>
      <c r="P218" s="5"/>
      <c r="Q218" s="5"/>
      <c r="R218" s="5"/>
      <c r="S218" s="252" t="s">
        <v>2208</v>
      </c>
      <c r="T218" s="5" t="s">
        <v>6714</v>
      </c>
      <c r="U218" s="252" t="s">
        <v>2334</v>
      </c>
      <c r="V218" s="252"/>
      <c r="W218" s="252"/>
      <c r="X218" s="252"/>
      <c r="Y218" s="252"/>
      <c r="Z218" s="5"/>
      <c r="AA218" s="5"/>
      <c r="AB218" s="252" t="s">
        <v>2344</v>
      </c>
      <c r="AC218" s="13"/>
      <c r="AD218" s="271"/>
      <c r="AE218" s="272"/>
      <c r="AG218" s="253" t="s">
        <v>3717</v>
      </c>
      <c r="AH218" s="244" t="s">
        <v>3718</v>
      </c>
      <c r="AI218" s="254" t="s">
        <v>3719</v>
      </c>
    </row>
    <row r="219" ht="15.0" customHeight="1">
      <c r="A219" s="249" t="s">
        <v>2172</v>
      </c>
      <c r="B219" s="249" t="s">
        <v>1133</v>
      </c>
      <c r="C219" s="249" t="s">
        <v>6715</v>
      </c>
      <c r="D219" s="249" t="s">
        <v>505</v>
      </c>
      <c r="E219" s="249" t="str">
        <f t="array" ref="E219">IFERROR(INDEX(REF_CODES!$B$27:$B$33,MATCH($D219,REF_CODES!$C$27:$C$33,0)),IFERROR(INDEX(REF_CODES!$B$51:$B$55,MATCH($D219,REF_CODES!$C$51:$C$55,0)),""))</f>
        <v>AU-FES</v>
      </c>
      <c r="F219" s="249" t="s">
        <v>6694</v>
      </c>
      <c r="G219" s="5" t="s">
        <v>6717</v>
      </c>
      <c r="H219" s="249" t="s">
        <v>3611</v>
      </c>
      <c r="I219" s="249"/>
      <c r="J219" s="251"/>
      <c r="K219" s="251"/>
      <c r="L219" s="5"/>
      <c r="M219" s="5"/>
      <c r="N219" s="5"/>
      <c r="O219" s="5"/>
      <c r="P219" s="5"/>
      <c r="Q219" s="5"/>
      <c r="R219" s="5"/>
      <c r="S219" s="252" t="s">
        <v>2208</v>
      </c>
      <c r="T219" s="5" t="s">
        <v>6718</v>
      </c>
      <c r="U219" s="252" t="s">
        <v>2334</v>
      </c>
      <c r="V219" s="252"/>
      <c r="W219" s="252"/>
      <c r="X219" s="252"/>
      <c r="Y219" s="252"/>
      <c r="Z219" s="5"/>
      <c r="AA219" s="5"/>
      <c r="AB219" s="252" t="s">
        <v>2344</v>
      </c>
      <c r="AC219" s="13"/>
      <c r="AD219" s="271"/>
      <c r="AE219" s="272"/>
      <c r="AG219" s="253" t="s">
        <v>3717</v>
      </c>
      <c r="AH219" s="244" t="s">
        <v>3718</v>
      </c>
      <c r="AI219" s="254" t="s">
        <v>3719</v>
      </c>
    </row>
    <row r="220" ht="15.0" customHeight="1">
      <c r="A220" s="249" t="s">
        <v>2172</v>
      </c>
      <c r="B220" s="249" t="s">
        <v>1133</v>
      </c>
      <c r="C220" s="249" t="s">
        <v>6721</v>
      </c>
      <c r="D220" s="249" t="s">
        <v>505</v>
      </c>
      <c r="E220" s="249" t="str">
        <f t="array" ref="E220">IFERROR(INDEX(REF_CODES!$B$27:$B$33,MATCH($D220,REF_CODES!$C$27:$C$33,0)),IFERROR(INDEX(REF_CODES!$B$51:$B$55,MATCH($D220,REF_CODES!$C$51:$C$55,0)),""))</f>
        <v>AU-FES</v>
      </c>
      <c r="F220" s="249" t="s">
        <v>6694</v>
      </c>
      <c r="G220" s="5" t="s">
        <v>6722</v>
      </c>
      <c r="H220" s="249" t="s">
        <v>6335</v>
      </c>
      <c r="I220" s="249"/>
      <c r="J220" s="251"/>
      <c r="K220" s="251"/>
      <c r="L220" s="5"/>
      <c r="M220" s="5"/>
      <c r="N220" s="5"/>
      <c r="O220" s="5"/>
      <c r="P220" s="5"/>
      <c r="Q220" s="5"/>
      <c r="R220" s="5"/>
      <c r="S220" s="252" t="s">
        <v>2208</v>
      </c>
      <c r="T220" s="5" t="s">
        <v>6725</v>
      </c>
      <c r="U220" s="252" t="s">
        <v>6684</v>
      </c>
      <c r="V220" s="252"/>
      <c r="W220" s="252"/>
      <c r="X220" s="252"/>
      <c r="Y220" s="252"/>
      <c r="Z220" s="5"/>
      <c r="AA220" s="5"/>
      <c r="AB220" s="252" t="s">
        <v>2344</v>
      </c>
      <c r="AC220" s="13"/>
      <c r="AD220" s="271"/>
      <c r="AE220" s="272"/>
      <c r="AG220" s="253" t="s">
        <v>3717</v>
      </c>
      <c r="AH220" s="244" t="s">
        <v>3718</v>
      </c>
      <c r="AI220" s="254" t="s">
        <v>3719</v>
      </c>
    </row>
    <row r="221" ht="15.0" customHeight="1">
      <c r="A221" s="249" t="s">
        <v>2172</v>
      </c>
      <c r="B221" s="249" t="s">
        <v>1133</v>
      </c>
      <c r="C221" s="249" t="s">
        <v>6727</v>
      </c>
      <c r="D221" s="249" t="s">
        <v>907</v>
      </c>
      <c r="E221" s="249" t="str">
        <f t="array" ref="E221">IFERROR(INDEX(REF_CODES!$B$27:$B$33,MATCH($D221,REF_CODES!$C$27:$C$33,0)),IFERROR(INDEX(REF_CODES!$B$51:$B$55,MATCH($D221,REF_CODES!$C$51:$C$55,0)),""))</f>
        <v>AK-SER</v>
      </c>
      <c r="F221" s="249" t="s">
        <v>6729</v>
      </c>
      <c r="G221" s="5" t="s">
        <v>6730</v>
      </c>
      <c r="H221" s="249" t="s">
        <v>2191</v>
      </c>
      <c r="I221" s="249"/>
      <c r="J221" s="251"/>
      <c r="K221" s="251"/>
      <c r="L221" s="5"/>
      <c r="M221" s="5"/>
      <c r="N221" s="5"/>
      <c r="O221" s="5"/>
      <c r="P221" s="5"/>
      <c r="Q221" s="5"/>
      <c r="R221" s="5"/>
      <c r="S221" s="252" t="s">
        <v>2208</v>
      </c>
      <c r="T221" s="5" t="s">
        <v>6732</v>
      </c>
      <c r="U221" s="252" t="s">
        <v>2334</v>
      </c>
      <c r="V221" s="252"/>
      <c r="W221" s="252"/>
      <c r="X221" s="252"/>
      <c r="Y221" s="252"/>
      <c r="Z221" s="5"/>
      <c r="AA221" s="5"/>
      <c r="AB221" s="252" t="s">
        <v>2344</v>
      </c>
      <c r="AC221" s="13"/>
      <c r="AD221" s="271"/>
      <c r="AE221" s="272"/>
      <c r="AG221" s="253" t="s">
        <v>4691</v>
      </c>
      <c r="AH221" s="244" t="s">
        <v>4692</v>
      </c>
      <c r="AI221" s="254" t="s">
        <v>4694</v>
      </c>
    </row>
    <row r="222" ht="15.0" customHeight="1">
      <c r="A222" s="249" t="s">
        <v>2172</v>
      </c>
      <c r="B222" s="249" t="s">
        <v>1133</v>
      </c>
      <c r="C222" s="249" t="s">
        <v>6733</v>
      </c>
      <c r="D222" s="249" t="s">
        <v>907</v>
      </c>
      <c r="E222" s="249" t="str">
        <f t="array" ref="E222">IFERROR(INDEX(REF_CODES!$B$27:$B$33,MATCH($D222,REF_CODES!$C$27:$C$33,0)),IFERROR(INDEX(REF_CODES!$B$51:$B$55,MATCH($D222,REF_CODES!$C$51:$C$55,0)),""))</f>
        <v>AK-SER</v>
      </c>
      <c r="F222" s="249" t="s">
        <v>6729</v>
      </c>
      <c r="G222" s="5" t="s">
        <v>6736</v>
      </c>
      <c r="H222" s="249" t="s">
        <v>2224</v>
      </c>
      <c r="I222" s="249"/>
      <c r="J222" s="251"/>
      <c r="K222" s="251"/>
      <c r="L222" s="5"/>
      <c r="M222" s="5"/>
      <c r="N222" s="5"/>
      <c r="O222" s="5"/>
      <c r="P222" s="5"/>
      <c r="Q222" s="5"/>
      <c r="R222" s="5"/>
      <c r="S222" s="252" t="s">
        <v>2208</v>
      </c>
      <c r="T222" s="5" t="s">
        <v>6737</v>
      </c>
      <c r="U222" s="252" t="s">
        <v>2334</v>
      </c>
      <c r="V222" s="252"/>
      <c r="W222" s="252"/>
      <c r="X222" s="252"/>
      <c r="Y222" s="252"/>
      <c r="Z222" s="5"/>
      <c r="AA222" s="5"/>
      <c r="AB222" s="252" t="s">
        <v>2344</v>
      </c>
      <c r="AC222" s="13"/>
      <c r="AD222" s="271"/>
      <c r="AE222" s="272"/>
      <c r="AG222" s="253" t="s">
        <v>4691</v>
      </c>
      <c r="AH222" s="244" t="s">
        <v>4692</v>
      </c>
      <c r="AI222" s="254" t="s">
        <v>4694</v>
      </c>
    </row>
    <row r="223" ht="15.0" customHeight="1">
      <c r="A223" s="249" t="s">
        <v>2172</v>
      </c>
      <c r="B223" s="249" t="s">
        <v>1133</v>
      </c>
      <c r="C223" s="249" t="s">
        <v>6739</v>
      </c>
      <c r="D223" s="249" t="s">
        <v>907</v>
      </c>
      <c r="E223" s="249" t="str">
        <f t="array" ref="E223">IFERROR(INDEX(REF_CODES!$B$27:$B$33,MATCH($D223,REF_CODES!$C$27:$C$33,0)),IFERROR(INDEX(REF_CODES!$B$51:$B$55,MATCH($D223,REF_CODES!$C$51:$C$55,0)),""))</f>
        <v>AK-SER</v>
      </c>
      <c r="F223" s="249" t="s">
        <v>6729</v>
      </c>
      <c r="G223" s="5" t="s">
        <v>6741</v>
      </c>
      <c r="H223" s="249" t="s">
        <v>2191</v>
      </c>
      <c r="I223" s="249"/>
      <c r="J223" s="251"/>
      <c r="K223" s="251"/>
      <c r="L223" s="5"/>
      <c r="M223" s="5"/>
      <c r="N223" s="5"/>
      <c r="O223" s="5"/>
      <c r="P223" s="5"/>
      <c r="Q223" s="5"/>
      <c r="R223" s="5"/>
      <c r="S223" s="252" t="s">
        <v>2208</v>
      </c>
      <c r="T223" s="5" t="s">
        <v>6743</v>
      </c>
      <c r="U223" s="252" t="s">
        <v>6707</v>
      </c>
      <c r="V223" s="252"/>
      <c r="W223" s="252"/>
      <c r="X223" s="252"/>
      <c r="Y223" s="252"/>
      <c r="Z223" s="5"/>
      <c r="AA223" s="5"/>
      <c r="AB223" s="252" t="s">
        <v>2344</v>
      </c>
      <c r="AC223" s="13"/>
      <c r="AD223" s="271"/>
      <c r="AE223" s="272"/>
      <c r="AG223" s="253" t="s">
        <v>4691</v>
      </c>
      <c r="AH223" s="244" t="s">
        <v>4692</v>
      </c>
      <c r="AI223" s="254" t="s">
        <v>4694</v>
      </c>
    </row>
    <row r="224" ht="15.0" customHeight="1">
      <c r="A224" s="249" t="s">
        <v>2172</v>
      </c>
      <c r="B224" s="249" t="s">
        <v>1133</v>
      </c>
      <c r="C224" s="249" t="s">
        <v>6745</v>
      </c>
      <c r="D224" s="249" t="s">
        <v>907</v>
      </c>
      <c r="E224" s="249" t="str">
        <f t="array" ref="E224">IFERROR(INDEX(REF_CODES!$B$27:$B$33,MATCH($D224,REF_CODES!$C$27:$C$33,0)),IFERROR(INDEX(REF_CODES!$B$51:$B$55,MATCH($D224,REF_CODES!$C$51:$C$55,0)),""))</f>
        <v>AK-SER</v>
      </c>
      <c r="F224" s="249" t="s">
        <v>6729</v>
      </c>
      <c r="G224" s="5" t="s">
        <v>6747</v>
      </c>
      <c r="H224" s="249" t="s">
        <v>2511</v>
      </c>
      <c r="I224" s="249"/>
      <c r="J224" s="251"/>
      <c r="K224" s="251"/>
      <c r="L224" s="5"/>
      <c r="M224" s="5"/>
      <c r="N224" s="5"/>
      <c r="O224" s="5"/>
      <c r="P224" s="5"/>
      <c r="Q224" s="5"/>
      <c r="R224" s="5"/>
      <c r="S224" s="252" t="s">
        <v>2208</v>
      </c>
      <c r="T224" s="5" t="s">
        <v>3531</v>
      </c>
      <c r="U224" s="252" t="s">
        <v>2620</v>
      </c>
      <c r="V224" s="252"/>
      <c r="W224" s="252"/>
      <c r="X224" s="252"/>
      <c r="Y224" s="252"/>
      <c r="Z224" s="5"/>
      <c r="AA224" s="5"/>
      <c r="AB224" s="252" t="s">
        <v>2344</v>
      </c>
      <c r="AC224" s="13"/>
      <c r="AD224" s="271"/>
      <c r="AE224" s="272"/>
      <c r="AG224" s="253" t="s">
        <v>4691</v>
      </c>
      <c r="AH224" s="244" t="s">
        <v>4692</v>
      </c>
      <c r="AI224" s="254" t="s">
        <v>4694</v>
      </c>
    </row>
    <row r="225" ht="15.0" customHeight="1">
      <c r="A225" s="249" t="s">
        <v>2172</v>
      </c>
      <c r="B225" s="249" t="s">
        <v>1133</v>
      </c>
      <c r="C225" s="249" t="s">
        <v>6750</v>
      </c>
      <c r="D225" s="249" t="s">
        <v>907</v>
      </c>
      <c r="E225" s="249" t="str">
        <f t="array" ref="E225">IFERROR(INDEX(REF_CODES!$B$27:$B$33,MATCH($D225,REF_CODES!$C$27:$C$33,0)),IFERROR(INDEX(REF_CODES!$B$51:$B$55,MATCH($D225,REF_CODES!$C$51:$C$55,0)),""))</f>
        <v>AK-SER</v>
      </c>
      <c r="F225" s="249" t="s">
        <v>6729</v>
      </c>
      <c r="G225" s="5" t="s">
        <v>6751</v>
      </c>
      <c r="H225" s="249" t="s">
        <v>1919</v>
      </c>
      <c r="I225" s="249"/>
      <c r="J225" s="251"/>
      <c r="K225" s="251"/>
      <c r="L225" s="5"/>
      <c r="M225" s="5"/>
      <c r="N225" s="5"/>
      <c r="O225" s="5"/>
      <c r="P225" s="5"/>
      <c r="Q225" s="5"/>
      <c r="R225" s="5"/>
      <c r="S225" s="252" t="s">
        <v>2208</v>
      </c>
      <c r="T225" s="5" t="s">
        <v>6754</v>
      </c>
      <c r="U225" s="252" t="s">
        <v>2296</v>
      </c>
      <c r="V225" s="252"/>
      <c r="W225" s="252"/>
      <c r="X225" s="252"/>
      <c r="Y225" s="252"/>
      <c r="Z225" s="5"/>
      <c r="AA225" s="5"/>
      <c r="AB225" s="252" t="s">
        <v>2344</v>
      </c>
      <c r="AC225" s="13"/>
      <c r="AD225" s="271"/>
      <c r="AE225" s="272"/>
      <c r="AG225" s="253" t="s">
        <v>4691</v>
      </c>
      <c r="AH225" s="244" t="s">
        <v>4692</v>
      </c>
      <c r="AI225" s="254" t="s">
        <v>4694</v>
      </c>
    </row>
    <row r="226" ht="15.0" customHeight="1">
      <c r="A226" s="249" t="s">
        <v>2172</v>
      </c>
      <c r="B226" s="249" t="s">
        <v>1133</v>
      </c>
      <c r="C226" s="249" t="s">
        <v>6756</v>
      </c>
      <c r="D226" s="249" t="s">
        <v>894</v>
      </c>
      <c r="E226" s="249" t="str">
        <f t="array" ref="E226">IFERROR(INDEX(REF_CODES!$B$27:$B$33,MATCH($D226,REF_CODES!$C$27:$C$33,0)),IFERROR(INDEX(REF_CODES!$B$51:$B$55,MATCH($D226,REF_CODES!$C$51:$C$55,0)),""))</f>
        <v>AK-LOI</v>
      </c>
      <c r="F226" s="249" t="s">
        <v>6758</v>
      </c>
      <c r="G226" s="5" t="s">
        <v>4607</v>
      </c>
      <c r="H226" s="249" t="s">
        <v>6759</v>
      </c>
      <c r="I226" s="249"/>
      <c r="J226" s="251"/>
      <c r="K226" s="251"/>
      <c r="L226" s="5"/>
      <c r="M226" s="5"/>
      <c r="N226" s="5"/>
      <c r="O226" s="5"/>
      <c r="P226" s="5"/>
      <c r="Q226" s="5"/>
      <c r="R226" s="5"/>
      <c r="S226" s="252" t="s">
        <v>2208</v>
      </c>
      <c r="T226" s="5" t="s">
        <v>6762</v>
      </c>
      <c r="U226" s="252" t="s">
        <v>6722</v>
      </c>
      <c r="V226" s="252"/>
      <c r="W226" s="252"/>
      <c r="X226" s="252"/>
      <c r="Y226" s="252"/>
      <c r="Z226" s="5"/>
      <c r="AA226" s="5"/>
      <c r="AB226" s="252" t="s">
        <v>2344</v>
      </c>
      <c r="AC226" s="13"/>
      <c r="AD226" s="271"/>
      <c r="AE226" s="272"/>
      <c r="AG226" s="253"/>
      <c r="AH226" s="244" t="s">
        <v>6763</v>
      </c>
      <c r="AI226" s="254" t="s">
        <v>6764</v>
      </c>
    </row>
    <row r="227" ht="15.0" customHeight="1">
      <c r="A227" s="249" t="s">
        <v>2172</v>
      </c>
      <c r="B227" s="249" t="s">
        <v>1133</v>
      </c>
      <c r="C227" s="249" t="s">
        <v>6766</v>
      </c>
      <c r="D227" s="249" t="s">
        <v>894</v>
      </c>
      <c r="E227" s="249" t="str">
        <f t="array" ref="E227">IFERROR(INDEX(REF_CODES!$B$27:$B$33,MATCH($D227,REF_CODES!$C$27:$C$33,0)),IFERROR(INDEX(REF_CODES!$B$51:$B$55,MATCH($D227,REF_CODES!$C$51:$C$55,0)),""))</f>
        <v>AK-LOI</v>
      </c>
      <c r="F227" s="249" t="s">
        <v>6758</v>
      </c>
      <c r="G227" s="5" t="s">
        <v>6769</v>
      </c>
      <c r="H227" s="249" t="s">
        <v>2519</v>
      </c>
      <c r="I227" s="249"/>
      <c r="J227" s="251"/>
      <c r="K227" s="251"/>
      <c r="L227" s="5"/>
      <c r="M227" s="5"/>
      <c r="N227" s="5"/>
      <c r="O227" s="5"/>
      <c r="P227" s="5"/>
      <c r="Q227" s="5"/>
      <c r="R227" s="5"/>
      <c r="S227" s="252" t="s">
        <v>2208</v>
      </c>
      <c r="T227" s="5" t="s">
        <v>6770</v>
      </c>
      <c r="U227" s="252" t="s">
        <v>6771</v>
      </c>
      <c r="V227" s="252"/>
      <c r="W227" s="252"/>
      <c r="X227" s="252"/>
      <c r="Y227" s="252"/>
      <c r="Z227" s="5"/>
      <c r="AA227" s="5"/>
      <c r="AB227" s="252" t="s">
        <v>2344</v>
      </c>
      <c r="AC227" s="13"/>
      <c r="AD227" s="271"/>
      <c r="AE227" s="272"/>
      <c r="AG227" s="253"/>
      <c r="AH227" s="244" t="s">
        <v>6763</v>
      </c>
      <c r="AI227" s="254" t="s">
        <v>6764</v>
      </c>
    </row>
    <row r="228" ht="15.0" customHeight="1">
      <c r="A228" s="249" t="s">
        <v>2172</v>
      </c>
      <c r="B228" s="249" t="s">
        <v>1133</v>
      </c>
      <c r="C228" s="249" t="s">
        <v>6774</v>
      </c>
      <c r="D228" s="249" t="s">
        <v>894</v>
      </c>
      <c r="E228" s="249" t="str">
        <f t="array" ref="E228">IFERROR(INDEX(REF_CODES!$B$27:$B$33,MATCH($D228,REF_CODES!$C$27:$C$33,0)),IFERROR(INDEX(REF_CODES!$B$51:$B$55,MATCH($D228,REF_CODES!$C$51:$C$55,0)),""))</f>
        <v>AK-LOI</v>
      </c>
      <c r="F228" s="249" t="s">
        <v>6758</v>
      </c>
      <c r="G228" s="5" t="s">
        <v>6777</v>
      </c>
      <c r="H228" s="249" t="s">
        <v>6778</v>
      </c>
      <c r="I228" s="249"/>
      <c r="J228" s="251"/>
      <c r="K228" s="251"/>
      <c r="L228" s="5"/>
      <c r="M228" s="5"/>
      <c r="N228" s="5"/>
      <c r="O228" s="5"/>
      <c r="P228" s="5"/>
      <c r="Q228" s="5"/>
      <c r="R228" s="5"/>
      <c r="S228" s="252" t="s">
        <v>2208</v>
      </c>
      <c r="T228" s="5" t="s">
        <v>6781</v>
      </c>
      <c r="U228" s="252" t="s">
        <v>6782</v>
      </c>
      <c r="V228" s="252"/>
      <c r="W228" s="252"/>
      <c r="X228" s="252"/>
      <c r="Y228" s="252"/>
      <c r="Z228" s="5"/>
      <c r="AA228" s="5"/>
      <c r="AB228" s="252" t="s">
        <v>2344</v>
      </c>
      <c r="AC228" s="13"/>
      <c r="AD228" s="271"/>
      <c r="AE228" s="272"/>
      <c r="AG228" s="253"/>
      <c r="AH228" s="244" t="s">
        <v>6763</v>
      </c>
      <c r="AI228" s="254" t="s">
        <v>6764</v>
      </c>
    </row>
    <row r="229" ht="15.0" customHeight="1">
      <c r="A229" s="249" t="s">
        <v>2172</v>
      </c>
      <c r="B229" s="249" t="s">
        <v>1133</v>
      </c>
      <c r="C229" s="249" t="s">
        <v>6783</v>
      </c>
      <c r="D229" s="249" t="s">
        <v>879</v>
      </c>
      <c r="E229" s="249" t="str">
        <f t="array" ref="E229">IFERROR(INDEX(REF_CODES!$B$27:$B$33,MATCH($D229,REF_CODES!$C$27:$C$33,0)),IFERROR(INDEX(REF_CODES!$B$51:$B$55,MATCH($D229,REF_CODES!$C$51:$C$55,0)),""))</f>
        <v>AK-NAT</v>
      </c>
      <c r="F229" s="249" t="s">
        <v>6786</v>
      </c>
      <c r="G229" s="5" t="s">
        <v>6787</v>
      </c>
      <c r="H229" s="249" t="s">
        <v>4639</v>
      </c>
      <c r="I229" s="249"/>
      <c r="J229" s="251"/>
      <c r="K229" s="251"/>
      <c r="L229" s="5"/>
      <c r="M229" s="5"/>
      <c r="N229" s="5"/>
      <c r="O229" s="5"/>
      <c r="P229" s="5"/>
      <c r="Q229" s="5"/>
      <c r="R229" s="5"/>
      <c r="S229" s="252" t="s">
        <v>2208</v>
      </c>
      <c r="T229" s="5" t="s">
        <v>6791</v>
      </c>
      <c r="U229" s="252" t="s">
        <v>2334</v>
      </c>
      <c r="V229" s="252"/>
      <c r="W229" s="252"/>
      <c r="X229" s="252"/>
      <c r="Y229" s="252"/>
      <c r="Z229" s="5"/>
      <c r="AA229" s="5"/>
      <c r="AB229" s="252" t="s">
        <v>2344</v>
      </c>
      <c r="AC229" s="13"/>
      <c r="AD229" s="271"/>
      <c r="AE229" s="272"/>
      <c r="AG229" s="253"/>
      <c r="AH229" s="244" t="s">
        <v>3072</v>
      </c>
      <c r="AI229" s="254" t="s">
        <v>6564</v>
      </c>
    </row>
    <row r="230" ht="15.0" customHeight="1">
      <c r="A230" s="249" t="s">
        <v>2172</v>
      </c>
      <c r="B230" s="249" t="s">
        <v>1133</v>
      </c>
      <c r="C230" s="249" t="s">
        <v>6792</v>
      </c>
      <c r="D230" s="249" t="s">
        <v>879</v>
      </c>
      <c r="E230" s="249" t="str">
        <f t="array" ref="E230">IFERROR(INDEX(REF_CODES!$B$27:$B$33,MATCH($D230,REF_CODES!$C$27:$C$33,0)),IFERROR(INDEX(REF_CODES!$B$51:$B$55,MATCH($D230,REF_CODES!$C$51:$C$55,0)),""))</f>
        <v>AK-NAT</v>
      </c>
      <c r="F230" s="249" t="s">
        <v>6786</v>
      </c>
      <c r="G230" s="5" t="s">
        <v>6793</v>
      </c>
      <c r="H230" s="249" t="s">
        <v>2511</v>
      </c>
      <c r="I230" s="249"/>
      <c r="J230" s="251"/>
      <c r="K230" s="251"/>
      <c r="L230" s="5"/>
      <c r="M230" s="5"/>
      <c r="N230" s="5"/>
      <c r="O230" s="5"/>
      <c r="P230" s="5"/>
      <c r="Q230" s="5"/>
      <c r="R230" s="5"/>
      <c r="S230" s="252" t="s">
        <v>2208</v>
      </c>
      <c r="T230" s="5" t="s">
        <v>6794</v>
      </c>
      <c r="U230" s="252" t="s">
        <v>2334</v>
      </c>
      <c r="V230" s="252"/>
      <c r="W230" s="252"/>
      <c r="X230" s="252"/>
      <c r="Y230" s="252"/>
      <c r="Z230" s="5"/>
      <c r="AA230" s="5"/>
      <c r="AB230" s="252" t="s">
        <v>2344</v>
      </c>
      <c r="AC230" s="13"/>
      <c r="AD230" s="271"/>
      <c r="AE230" s="272"/>
      <c r="AG230" s="253"/>
      <c r="AH230" s="244" t="s">
        <v>3072</v>
      </c>
      <c r="AI230" s="254" t="s">
        <v>6564</v>
      </c>
    </row>
    <row r="231" ht="15.0" customHeight="1">
      <c r="A231" s="249" t="s">
        <v>2172</v>
      </c>
      <c r="B231" s="249" t="s">
        <v>1133</v>
      </c>
      <c r="C231" s="249" t="s">
        <v>6795</v>
      </c>
      <c r="D231" s="249" t="s">
        <v>879</v>
      </c>
      <c r="E231" s="249" t="str">
        <f t="array" ref="E231">IFERROR(INDEX(REF_CODES!$B$27:$B$33,MATCH($D231,REF_CODES!$C$27:$C$33,0)),IFERROR(INDEX(REF_CODES!$B$51:$B$55,MATCH($D231,REF_CODES!$C$51:$C$55,0)),""))</f>
        <v>AK-NAT</v>
      </c>
      <c r="F231" s="249" t="s">
        <v>6786</v>
      </c>
      <c r="G231" s="5" t="s">
        <v>6796</v>
      </c>
      <c r="H231" s="249" t="s">
        <v>6797</v>
      </c>
      <c r="I231" s="249"/>
      <c r="J231" s="251"/>
      <c r="K231" s="251"/>
      <c r="L231" s="5"/>
      <c r="M231" s="5"/>
      <c r="N231" s="5"/>
      <c r="O231" s="5"/>
      <c r="P231" s="5"/>
      <c r="Q231" s="5"/>
      <c r="R231" s="5"/>
      <c r="S231" s="252" t="s">
        <v>2208</v>
      </c>
      <c r="T231" s="5" t="s">
        <v>6798</v>
      </c>
      <c r="U231" s="252" t="s">
        <v>2334</v>
      </c>
      <c r="V231" s="252"/>
      <c r="W231" s="252"/>
      <c r="X231" s="252"/>
      <c r="Y231" s="252"/>
      <c r="Z231" s="5"/>
      <c r="AA231" s="5"/>
      <c r="AB231" s="252" t="s">
        <v>2344</v>
      </c>
      <c r="AC231" s="13"/>
      <c r="AD231" s="271"/>
      <c r="AE231" s="272"/>
      <c r="AG231" s="253"/>
      <c r="AH231" s="244" t="s">
        <v>3072</v>
      </c>
      <c r="AI231" s="254" t="s">
        <v>6564</v>
      </c>
    </row>
    <row r="232" ht="15.0" customHeight="1">
      <c r="A232" s="249" t="s">
        <v>2172</v>
      </c>
      <c r="B232" s="249" t="s">
        <v>1133</v>
      </c>
      <c r="C232" s="249" t="s">
        <v>6799</v>
      </c>
      <c r="D232" s="249" t="s">
        <v>425</v>
      </c>
      <c r="E232" s="249" t="str">
        <f t="array" ref="E232">IFERROR(INDEX(REF_CODES!$B$27:$B$33,MATCH($D232,REF_CODES!$C$27:$C$33,0)),IFERROR(INDEX(REF_CODES!$B$51:$B$55,MATCH($D232,REF_CODES!$C$51:$C$55,0)),""))</f>
        <v>AU-EXC</v>
      </c>
      <c r="F232" s="249" t="s">
        <v>6800</v>
      </c>
      <c r="G232" s="5" t="s">
        <v>6257</v>
      </c>
      <c r="H232" s="249" t="s">
        <v>3203</v>
      </c>
      <c r="I232" s="249">
        <v>75.0</v>
      </c>
      <c r="J232" s="251"/>
      <c r="K232" s="251" t="s">
        <v>195</v>
      </c>
      <c r="L232" s="5"/>
      <c r="M232" s="5"/>
      <c r="N232" s="5"/>
      <c r="O232" s="5"/>
      <c r="P232" s="5"/>
      <c r="Q232" s="5"/>
      <c r="R232" s="5"/>
      <c r="S232" s="252" t="s">
        <v>2208</v>
      </c>
      <c r="T232" s="5" t="s">
        <v>6801</v>
      </c>
      <c r="U232" s="252" t="s">
        <v>2334</v>
      </c>
      <c r="V232" s="252"/>
      <c r="W232" s="252"/>
      <c r="X232" s="252"/>
      <c r="Y232" s="252"/>
      <c r="Z232" s="5"/>
      <c r="AA232" s="5"/>
      <c r="AB232" s="252" t="s">
        <v>2344</v>
      </c>
      <c r="AC232" s="13"/>
      <c r="AD232" s="271"/>
      <c r="AE232" s="272"/>
      <c r="AG232" s="253">
        <f t="shared" ref="AG232:AG236" si="14">ROUND(I232*0.5,0)</f>
        <v>38</v>
      </c>
      <c r="AH232" s="244" t="s">
        <v>3162</v>
      </c>
      <c r="AI232" s="254" t="s">
        <v>3164</v>
      </c>
    </row>
    <row r="233" ht="15.0" customHeight="1">
      <c r="A233" s="249" t="s">
        <v>2172</v>
      </c>
      <c r="B233" s="249" t="s">
        <v>1133</v>
      </c>
      <c r="C233" s="249" t="s">
        <v>6802</v>
      </c>
      <c r="D233" s="249" t="s">
        <v>425</v>
      </c>
      <c r="E233" s="249" t="str">
        <f t="array" ref="E233">IFERROR(INDEX(REF_CODES!$B$27:$B$33,MATCH($D233,REF_CODES!$C$27:$C$33,0)),IFERROR(INDEX(REF_CODES!$B$51:$B$55,MATCH($D233,REF_CODES!$C$51:$C$55,0)),""))</f>
        <v>AU-EXC</v>
      </c>
      <c r="F233" s="249" t="s">
        <v>6803</v>
      </c>
      <c r="G233" s="5" t="s">
        <v>6804</v>
      </c>
      <c r="H233" s="249" t="s">
        <v>3203</v>
      </c>
      <c r="I233" s="249">
        <v>85.0</v>
      </c>
      <c r="J233" s="251"/>
      <c r="K233" s="251" t="s">
        <v>195</v>
      </c>
      <c r="L233" s="5"/>
      <c r="M233" s="5"/>
      <c r="N233" s="5"/>
      <c r="O233" s="5"/>
      <c r="P233" s="5"/>
      <c r="Q233" s="5"/>
      <c r="R233" s="5"/>
      <c r="S233" s="252" t="s">
        <v>2208</v>
      </c>
      <c r="T233" s="5" t="s">
        <v>6805</v>
      </c>
      <c r="U233" s="252" t="s">
        <v>2334</v>
      </c>
      <c r="V233" s="252"/>
      <c r="W233" s="252"/>
      <c r="X233" s="252"/>
      <c r="Y233" s="252"/>
      <c r="Z233" s="5"/>
      <c r="AA233" s="5"/>
      <c r="AB233" s="252" t="s">
        <v>2344</v>
      </c>
      <c r="AC233" s="13"/>
      <c r="AD233" s="271"/>
      <c r="AE233" s="272"/>
      <c r="AG233" s="253">
        <f t="shared" si="14"/>
        <v>43</v>
      </c>
      <c r="AH233" s="244" t="s">
        <v>3162</v>
      </c>
      <c r="AI233" s="254" t="s">
        <v>3164</v>
      </c>
    </row>
    <row r="234" ht="15.0" customHeight="1">
      <c r="A234" s="249" t="s">
        <v>2172</v>
      </c>
      <c r="B234" s="249" t="s">
        <v>1133</v>
      </c>
      <c r="C234" s="249" t="s">
        <v>6806</v>
      </c>
      <c r="D234" s="249" t="s">
        <v>425</v>
      </c>
      <c r="E234" s="249" t="str">
        <f t="array" ref="E234">IFERROR(INDEX(REF_CODES!$B$27:$B$33,MATCH($D234,REF_CODES!$C$27:$C$33,0)),IFERROR(INDEX(REF_CODES!$B$51:$B$55,MATCH($D234,REF_CODES!$C$51:$C$55,0)),""))</f>
        <v>AU-EXC</v>
      </c>
      <c r="F234" s="249" t="s">
        <v>6807</v>
      </c>
      <c r="G234" s="5" t="s">
        <v>6808</v>
      </c>
      <c r="H234" s="249" t="s">
        <v>3203</v>
      </c>
      <c r="I234" s="249">
        <v>90.0</v>
      </c>
      <c r="J234" s="251"/>
      <c r="K234" s="251" t="s">
        <v>195</v>
      </c>
      <c r="L234" s="5"/>
      <c r="M234" s="5"/>
      <c r="N234" s="5"/>
      <c r="O234" s="5"/>
      <c r="P234" s="5"/>
      <c r="Q234" s="5"/>
      <c r="R234" s="5"/>
      <c r="S234" s="252" t="s">
        <v>2208</v>
      </c>
      <c r="T234" s="5" t="s">
        <v>6809</v>
      </c>
      <c r="U234" s="252" t="s">
        <v>2334</v>
      </c>
      <c r="V234" s="252"/>
      <c r="W234" s="252"/>
      <c r="X234" s="252"/>
      <c r="Y234" s="252"/>
      <c r="Z234" s="5"/>
      <c r="AA234" s="5"/>
      <c r="AB234" s="252" t="s">
        <v>2344</v>
      </c>
      <c r="AC234" s="13"/>
      <c r="AD234" s="271"/>
      <c r="AE234" s="272"/>
      <c r="AG234" s="253">
        <f t="shared" si="14"/>
        <v>45</v>
      </c>
      <c r="AH234" s="244" t="s">
        <v>3162</v>
      </c>
      <c r="AI234" s="254" t="s">
        <v>3164</v>
      </c>
    </row>
    <row r="235" ht="15.0" customHeight="1">
      <c r="A235" s="249" t="s">
        <v>2172</v>
      </c>
      <c r="B235" s="249" t="s">
        <v>1133</v>
      </c>
      <c r="C235" s="249" t="s">
        <v>6810</v>
      </c>
      <c r="D235" s="249" t="s">
        <v>425</v>
      </c>
      <c r="E235" s="249" t="str">
        <f t="array" ref="E235">IFERROR(INDEX(REF_CODES!$B$27:$B$33,MATCH($D235,REF_CODES!$C$27:$C$33,0)),IFERROR(INDEX(REF_CODES!$B$51:$B$55,MATCH($D235,REF_CODES!$C$51:$C$55,0)),""))</f>
        <v>AU-EXC</v>
      </c>
      <c r="F235" s="249" t="s">
        <v>6811</v>
      </c>
      <c r="G235" s="5" t="s">
        <v>6812</v>
      </c>
      <c r="H235" s="249" t="s">
        <v>3203</v>
      </c>
      <c r="I235" s="249">
        <v>70.0</v>
      </c>
      <c r="J235" s="251"/>
      <c r="K235" s="251" t="s">
        <v>6813</v>
      </c>
      <c r="L235" s="5"/>
      <c r="M235" s="5"/>
      <c r="N235" s="5"/>
      <c r="O235" s="5"/>
      <c r="P235" s="5"/>
      <c r="Q235" s="5"/>
      <c r="R235" s="5"/>
      <c r="S235" s="252" t="s">
        <v>2208</v>
      </c>
      <c r="T235" s="5" t="s">
        <v>6814</v>
      </c>
      <c r="U235" s="252" t="s">
        <v>2334</v>
      </c>
      <c r="V235" s="252"/>
      <c r="W235" s="252"/>
      <c r="X235" s="252"/>
      <c r="Y235" s="252"/>
      <c r="Z235" s="5"/>
      <c r="AA235" s="5"/>
      <c r="AB235" s="252" t="s">
        <v>2344</v>
      </c>
      <c r="AC235" s="13"/>
      <c r="AD235" s="271"/>
      <c r="AE235" s="272"/>
      <c r="AG235" s="253">
        <f t="shared" si="14"/>
        <v>35</v>
      </c>
      <c r="AH235" s="244" t="s">
        <v>3162</v>
      </c>
      <c r="AI235" s="254" t="s">
        <v>3164</v>
      </c>
    </row>
    <row r="236" ht="15.0" customHeight="1">
      <c r="A236" s="249" t="s">
        <v>2172</v>
      </c>
      <c r="B236" s="249" t="s">
        <v>1133</v>
      </c>
      <c r="C236" s="249" t="s">
        <v>6815</v>
      </c>
      <c r="D236" s="249" t="s">
        <v>425</v>
      </c>
      <c r="E236" s="249" t="str">
        <f t="array" ref="E236">IFERROR(INDEX(REF_CODES!$B$27:$B$33,MATCH($D236,REF_CODES!$C$27:$C$33,0)),IFERROR(INDEX(REF_CODES!$B$51:$B$55,MATCH($D236,REF_CODES!$C$51:$C$55,0)),""))</f>
        <v>AU-EXC</v>
      </c>
      <c r="F236" s="249" t="s">
        <v>6816</v>
      </c>
      <c r="G236" s="5" t="s">
        <v>6817</v>
      </c>
      <c r="H236" s="249" t="s">
        <v>3203</v>
      </c>
      <c r="I236" s="249">
        <v>80.0</v>
      </c>
      <c r="J236" s="251"/>
      <c r="K236" s="251" t="s">
        <v>195</v>
      </c>
      <c r="L236" s="5"/>
      <c r="M236" s="5"/>
      <c r="N236" s="5"/>
      <c r="O236" s="5"/>
      <c r="P236" s="5"/>
      <c r="Q236" s="5"/>
      <c r="R236" s="5"/>
      <c r="S236" s="252" t="s">
        <v>2208</v>
      </c>
      <c r="T236" s="5" t="s">
        <v>6818</v>
      </c>
      <c r="U236" s="252" t="s">
        <v>2334</v>
      </c>
      <c r="V236" s="252"/>
      <c r="W236" s="252"/>
      <c r="X236" s="252"/>
      <c r="Y236" s="252"/>
      <c r="Z236" s="5"/>
      <c r="AA236" s="5"/>
      <c r="AB236" s="252" t="s">
        <v>2344</v>
      </c>
      <c r="AC236" s="13"/>
      <c r="AD236" s="271"/>
      <c r="AE236" s="272"/>
      <c r="AG236" s="253">
        <f t="shared" si="14"/>
        <v>40</v>
      </c>
      <c r="AH236" s="244" t="s">
        <v>3162</v>
      </c>
      <c r="AI236" s="254" t="s">
        <v>3164</v>
      </c>
    </row>
    <row r="237" ht="15.0" customHeight="1">
      <c r="A237" s="249" t="s">
        <v>2172</v>
      </c>
      <c r="B237" s="249" t="s">
        <v>1133</v>
      </c>
      <c r="C237" s="249" t="s">
        <v>6819</v>
      </c>
      <c r="D237" s="249" t="s">
        <v>442</v>
      </c>
      <c r="E237" s="249" t="str">
        <f t="array" ref="E237">IFERROR(INDEX(REF_CODES!$B$27:$B$33,MATCH($D237,REF_CODES!$C$27:$C$33,0)),IFERROR(INDEX(REF_CODES!$B$51:$B$55,MATCH($D237,REF_CODES!$C$51:$C$55,0)),""))</f>
        <v>AU-DES</v>
      </c>
      <c r="F237" s="249" t="s">
        <v>6820</v>
      </c>
      <c r="G237" s="5" t="s">
        <v>2774</v>
      </c>
      <c r="H237" s="249" t="s">
        <v>2543</v>
      </c>
      <c r="I237" s="249">
        <v>80.0</v>
      </c>
      <c r="J237" s="251" t="s">
        <v>2777</v>
      </c>
      <c r="K237" s="251" t="s">
        <v>195</v>
      </c>
      <c r="L237" s="5"/>
      <c r="M237" s="5"/>
      <c r="N237" s="5"/>
      <c r="O237" s="5"/>
      <c r="P237" s="5"/>
      <c r="Q237" s="5"/>
      <c r="R237" s="5"/>
      <c r="S237" s="252" t="s">
        <v>2208</v>
      </c>
      <c r="T237" s="5" t="s">
        <v>6821</v>
      </c>
      <c r="U237" s="252" t="s">
        <v>2334</v>
      </c>
      <c r="V237" s="252"/>
      <c r="W237" s="252"/>
      <c r="X237" s="252"/>
      <c r="Y237" s="252"/>
      <c r="Z237" s="5"/>
      <c r="AA237" s="5"/>
      <c r="AB237" s="252" t="s">
        <v>2344</v>
      </c>
      <c r="AC237" s="13"/>
      <c r="AD237" s="271"/>
      <c r="AE237" s="272"/>
      <c r="AG237" s="253">
        <v>20.0</v>
      </c>
      <c r="AH237" s="244" t="s">
        <v>2808</v>
      </c>
      <c r="AI237" s="254" t="s">
        <v>2810</v>
      </c>
    </row>
    <row r="238" ht="15.0" customHeight="1">
      <c r="A238" s="249" t="s">
        <v>2172</v>
      </c>
      <c r="B238" s="249" t="s">
        <v>1133</v>
      </c>
      <c r="C238" s="249" t="s">
        <v>6822</v>
      </c>
      <c r="D238" s="249" t="s">
        <v>442</v>
      </c>
      <c r="E238" s="249" t="str">
        <f t="array" ref="E238">IFERROR(INDEX(REF_CODES!$B$27:$B$33,MATCH($D238,REF_CODES!$C$27:$C$33,0)),IFERROR(INDEX(REF_CODES!$B$51:$B$55,MATCH($D238,REF_CODES!$C$51:$C$55,0)),""))</f>
        <v>AU-DES</v>
      </c>
      <c r="F238" s="249" t="s">
        <v>6823</v>
      </c>
      <c r="G238" s="5" t="s">
        <v>6824</v>
      </c>
      <c r="H238" s="249" t="s">
        <v>6825</v>
      </c>
      <c r="I238" s="249">
        <v>75.0</v>
      </c>
      <c r="J238" s="251" t="s">
        <v>2777</v>
      </c>
      <c r="K238" s="251" t="s">
        <v>6813</v>
      </c>
      <c r="L238" s="5"/>
      <c r="M238" s="5"/>
      <c r="N238" s="5"/>
      <c r="O238" s="5" t="s">
        <v>4022</v>
      </c>
      <c r="P238" s="5"/>
      <c r="Q238" s="5"/>
      <c r="R238" s="5"/>
      <c r="S238" s="252" t="s">
        <v>4024</v>
      </c>
      <c r="T238" s="5" t="s">
        <v>4024</v>
      </c>
      <c r="U238" s="252"/>
      <c r="V238" s="252"/>
      <c r="W238" s="252"/>
      <c r="X238" s="252"/>
      <c r="Y238" s="252"/>
      <c r="Z238" s="5"/>
      <c r="AA238" s="5"/>
      <c r="AB238" s="252"/>
      <c r="AC238" s="13"/>
      <c r="AG238" s="253">
        <v>20.0</v>
      </c>
      <c r="AH238" s="244" t="s">
        <v>2789</v>
      </c>
      <c r="AI238" s="254" t="s">
        <v>2790</v>
      </c>
    </row>
    <row r="239" ht="15.0" customHeight="1">
      <c r="A239" s="249" t="s">
        <v>2172</v>
      </c>
      <c r="B239" s="249" t="s">
        <v>1133</v>
      </c>
      <c r="C239" s="249" t="s">
        <v>6826</v>
      </c>
      <c r="D239" s="249" t="s">
        <v>442</v>
      </c>
      <c r="E239" s="249" t="str">
        <f t="array" ref="E239">IFERROR(INDEX(REF_CODES!$B$27:$B$33,MATCH($D239,REF_CODES!$C$27:$C$33,0)),IFERROR(INDEX(REF_CODES!$B$51:$B$55,MATCH($D239,REF_CODES!$C$51:$C$55,0)),""))</f>
        <v>AU-DES</v>
      </c>
      <c r="F239" s="249" t="s">
        <v>6827</v>
      </c>
      <c r="G239" s="5" t="s">
        <v>6828</v>
      </c>
      <c r="H239" s="249" t="s">
        <v>6825</v>
      </c>
      <c r="I239" s="249">
        <v>70.0</v>
      </c>
      <c r="J239" s="251" t="s">
        <v>2777</v>
      </c>
      <c r="K239" s="251" t="s">
        <v>6813</v>
      </c>
      <c r="L239" s="5"/>
      <c r="M239" s="5"/>
      <c r="N239" s="5"/>
      <c r="O239" s="5" t="s">
        <v>4022</v>
      </c>
      <c r="P239" s="5"/>
      <c r="Q239" s="5"/>
      <c r="R239" s="5"/>
      <c r="S239" s="252" t="s">
        <v>4024</v>
      </c>
      <c r="T239" s="5" t="s">
        <v>4024</v>
      </c>
      <c r="U239" s="252"/>
      <c r="V239" s="252"/>
      <c r="W239" s="252"/>
      <c r="X239" s="252"/>
      <c r="Y239" s="252"/>
      <c r="Z239" s="5"/>
      <c r="AA239" s="5"/>
      <c r="AB239" s="252"/>
      <c r="AC239" s="13"/>
      <c r="AG239" s="253">
        <v>20.0</v>
      </c>
      <c r="AH239" s="244" t="s">
        <v>2789</v>
      </c>
      <c r="AI239" s="254" t="s">
        <v>2790</v>
      </c>
    </row>
    <row r="240" ht="15.0" customHeight="1">
      <c r="A240" s="249" t="s">
        <v>2172</v>
      </c>
      <c r="B240" s="249" t="s">
        <v>1133</v>
      </c>
      <c r="C240" s="249" t="s">
        <v>6829</v>
      </c>
      <c r="D240" s="249" t="s">
        <v>442</v>
      </c>
      <c r="E240" s="249" t="str">
        <f t="array" ref="E240">IFERROR(INDEX(REF_CODES!$B$27:$B$33,MATCH($D240,REF_CODES!$C$27:$C$33,0)),IFERROR(INDEX(REF_CODES!$B$51:$B$55,MATCH($D240,REF_CODES!$C$51:$C$55,0)),""))</f>
        <v>AU-DES</v>
      </c>
      <c r="F240" s="249" t="s">
        <v>6830</v>
      </c>
      <c r="G240" s="5" t="s">
        <v>6831</v>
      </c>
      <c r="H240" s="249" t="s">
        <v>2543</v>
      </c>
      <c r="I240" s="249">
        <v>65.0</v>
      </c>
      <c r="J240" s="251" t="s">
        <v>2777</v>
      </c>
      <c r="K240" s="251" t="s">
        <v>6813</v>
      </c>
      <c r="L240" s="5"/>
      <c r="M240" s="5"/>
      <c r="N240" s="5"/>
      <c r="O240" s="5" t="s">
        <v>4022</v>
      </c>
      <c r="P240" s="5"/>
      <c r="Q240" s="5"/>
      <c r="R240" s="5"/>
      <c r="S240" s="252" t="s">
        <v>4024</v>
      </c>
      <c r="T240" s="5" t="s">
        <v>4024</v>
      </c>
      <c r="U240" s="252"/>
      <c r="V240" s="252"/>
      <c r="W240" s="252"/>
      <c r="X240" s="252"/>
      <c r="Y240" s="252"/>
      <c r="Z240" s="5"/>
      <c r="AA240" s="5"/>
      <c r="AB240" s="252"/>
      <c r="AC240" s="13"/>
      <c r="AG240" s="253">
        <v>20.0</v>
      </c>
      <c r="AH240" s="244" t="s">
        <v>2808</v>
      </c>
      <c r="AI240" s="254" t="s">
        <v>2810</v>
      </c>
    </row>
    <row r="241" ht="15.0" customHeight="1">
      <c r="A241" s="249" t="s">
        <v>2172</v>
      </c>
      <c r="B241" s="249" t="s">
        <v>1133</v>
      </c>
      <c r="C241" s="249" t="s">
        <v>6832</v>
      </c>
      <c r="D241" s="249" t="s">
        <v>470</v>
      </c>
      <c r="E241" s="249" t="str">
        <f t="array" ref="E241">IFERROR(INDEX(REF_CODES!$B$27:$B$33,MATCH($D241,REF_CODES!$C$27:$C$33,0)),IFERROR(INDEX(REF_CODES!$B$51:$B$55,MATCH($D241,REF_CODES!$C$51:$C$55,0)),""))</f>
        <v>AU-CUL</v>
      </c>
      <c r="F241" s="249" t="s">
        <v>6833</v>
      </c>
      <c r="G241" s="5" t="s">
        <v>2844</v>
      </c>
      <c r="H241" s="249" t="s">
        <v>2200</v>
      </c>
      <c r="I241" s="249">
        <v>50.0</v>
      </c>
      <c r="J241" s="251"/>
      <c r="K241" s="251" t="s">
        <v>195</v>
      </c>
      <c r="L241" s="5"/>
      <c r="M241" s="5"/>
      <c r="N241" s="5"/>
      <c r="O241" s="5" t="s">
        <v>4022</v>
      </c>
      <c r="P241" s="5"/>
      <c r="Q241" s="5"/>
      <c r="R241" s="5"/>
      <c r="S241" s="252" t="s">
        <v>4024</v>
      </c>
      <c r="T241" s="5" t="s">
        <v>4024</v>
      </c>
      <c r="U241" s="252"/>
      <c r="V241" s="252"/>
      <c r="W241" s="252"/>
      <c r="X241" s="252"/>
      <c r="Y241" s="252"/>
      <c r="Z241" s="5"/>
      <c r="AA241" s="5"/>
      <c r="AB241" s="252"/>
      <c r="AC241" s="13"/>
      <c r="AG241" s="253" t="s">
        <v>3271</v>
      </c>
      <c r="AH241" s="244" t="s">
        <v>3272</v>
      </c>
      <c r="AI241" s="254" t="s">
        <v>4037</v>
      </c>
    </row>
    <row r="242" ht="15.0" customHeight="1">
      <c r="A242" s="249" t="s">
        <v>2172</v>
      </c>
      <c r="B242" s="249" t="s">
        <v>1133</v>
      </c>
      <c r="C242" s="249" t="s">
        <v>6834</v>
      </c>
      <c r="D242" s="249" t="s">
        <v>470</v>
      </c>
      <c r="E242" s="249" t="str">
        <f t="array" ref="E242">IFERROR(INDEX(REF_CODES!$B$27:$B$33,MATCH($D242,REF_CODES!$C$27:$C$33,0)),IFERROR(INDEX(REF_CODES!$B$51:$B$55,MATCH($D242,REF_CODES!$C$51:$C$55,0)),""))</f>
        <v>AU-CUL</v>
      </c>
      <c r="F242" s="249" t="s">
        <v>6835</v>
      </c>
      <c r="G242" s="5" t="s">
        <v>5849</v>
      </c>
      <c r="H242" s="249" t="s">
        <v>2200</v>
      </c>
      <c r="I242" s="249">
        <v>60.0</v>
      </c>
      <c r="J242" s="251"/>
      <c r="K242" s="251" t="s">
        <v>195</v>
      </c>
      <c r="L242" s="5"/>
      <c r="M242" s="5"/>
      <c r="N242" s="5"/>
      <c r="O242" s="5" t="s">
        <v>4022</v>
      </c>
      <c r="P242" s="5"/>
      <c r="Q242" s="5"/>
      <c r="R242" s="5"/>
      <c r="S242" s="252" t="s">
        <v>4024</v>
      </c>
      <c r="T242" s="5" t="s">
        <v>4024</v>
      </c>
      <c r="U242" s="252"/>
      <c r="V242" s="252"/>
      <c r="W242" s="252"/>
      <c r="X242" s="252"/>
      <c r="Y242" s="252"/>
      <c r="Z242" s="5"/>
      <c r="AA242" s="5"/>
      <c r="AB242" s="252"/>
      <c r="AC242" s="13"/>
      <c r="AG242" s="253" t="s">
        <v>3271</v>
      </c>
      <c r="AH242" s="244" t="s">
        <v>3272</v>
      </c>
      <c r="AI242" s="254" t="s">
        <v>4037</v>
      </c>
    </row>
    <row r="243" ht="15.0" customHeight="1">
      <c r="A243" s="249" t="s">
        <v>2172</v>
      </c>
      <c r="B243" s="249" t="s">
        <v>1133</v>
      </c>
      <c r="C243" s="249" t="s">
        <v>6836</v>
      </c>
      <c r="D243" s="249" t="s">
        <v>470</v>
      </c>
      <c r="E243" s="249" t="str">
        <f t="array" ref="E243">IFERROR(INDEX(REF_CODES!$B$27:$B$33,MATCH($D243,REF_CODES!$C$27:$C$33,0)),IFERROR(INDEX(REF_CODES!$B$51:$B$55,MATCH($D243,REF_CODES!$C$51:$C$55,0)),""))</f>
        <v>AU-CUL</v>
      </c>
      <c r="F243" s="249" t="s">
        <v>6837</v>
      </c>
      <c r="G243" s="5" t="s">
        <v>6838</v>
      </c>
      <c r="H243" s="249" t="s">
        <v>6839</v>
      </c>
      <c r="I243" s="249">
        <v>35.0</v>
      </c>
      <c r="J243" s="251"/>
      <c r="K243" s="251" t="s">
        <v>6813</v>
      </c>
      <c r="L243" s="5"/>
      <c r="M243" s="5"/>
      <c r="N243" s="5"/>
      <c r="O243" s="5" t="s">
        <v>4022</v>
      </c>
      <c r="P243" s="5"/>
      <c r="Q243" s="5"/>
      <c r="R243" s="5"/>
      <c r="S243" s="252" t="s">
        <v>4024</v>
      </c>
      <c r="T243" s="5" t="s">
        <v>4024</v>
      </c>
      <c r="U243" s="252"/>
      <c r="V243" s="252"/>
      <c r="W243" s="252"/>
      <c r="X243" s="252"/>
      <c r="Y243" s="252"/>
      <c r="Z243" s="5"/>
      <c r="AA243" s="5"/>
      <c r="AB243" s="252"/>
      <c r="AC243" s="13"/>
      <c r="AG243" s="253" t="s">
        <v>3271</v>
      </c>
      <c r="AH243" s="244" t="s">
        <v>3272</v>
      </c>
      <c r="AI243" s="254" t="s">
        <v>4037</v>
      </c>
    </row>
    <row r="244" ht="15.0" customHeight="1">
      <c r="A244" s="249" t="s">
        <v>2172</v>
      </c>
      <c r="B244" s="249" t="s">
        <v>1133</v>
      </c>
      <c r="C244" s="249" t="s">
        <v>6840</v>
      </c>
      <c r="D244" s="249" t="s">
        <v>907</v>
      </c>
      <c r="E244" s="249" t="str">
        <f t="array" ref="E244">IFERROR(INDEX(REF_CODES!$B$27:$B$33,MATCH($D244,REF_CODES!$C$27:$C$33,0)),IFERROR(INDEX(REF_CODES!$B$51:$B$55,MATCH($D244,REF_CODES!$C$51:$C$55,0)),""))</f>
        <v>AK-SER</v>
      </c>
      <c r="F244" s="249" t="s">
        <v>6841</v>
      </c>
      <c r="G244" s="5" t="s">
        <v>6842</v>
      </c>
      <c r="H244" s="249" t="s">
        <v>6843</v>
      </c>
      <c r="I244" s="249">
        <v>20.0</v>
      </c>
      <c r="J244" s="251" t="s">
        <v>4685</v>
      </c>
      <c r="K244" s="251" t="s">
        <v>6813</v>
      </c>
      <c r="L244" s="5"/>
      <c r="M244" s="5"/>
      <c r="N244" s="5"/>
      <c r="O244" s="5" t="s">
        <v>4022</v>
      </c>
      <c r="P244" s="5"/>
      <c r="Q244" s="5"/>
      <c r="R244" s="5"/>
      <c r="S244" s="252" t="s">
        <v>4024</v>
      </c>
      <c r="T244" s="5" t="s">
        <v>4024</v>
      </c>
      <c r="U244" s="252"/>
      <c r="V244" s="252"/>
      <c r="W244" s="252"/>
      <c r="X244" s="252"/>
      <c r="Y244" s="252"/>
      <c r="Z244" s="5"/>
      <c r="AA244" s="5"/>
      <c r="AB244" s="252"/>
      <c r="AC244" s="13"/>
      <c r="AG244" s="253" t="s">
        <v>4691</v>
      </c>
      <c r="AH244" s="244" t="s">
        <v>4692</v>
      </c>
      <c r="AI244" s="254" t="s">
        <v>4694</v>
      </c>
    </row>
    <row r="245" ht="15.0" customHeight="1">
      <c r="A245" s="249" t="s">
        <v>2172</v>
      </c>
      <c r="B245" s="249" t="s">
        <v>1133</v>
      </c>
      <c r="C245" s="249" t="s">
        <v>6844</v>
      </c>
      <c r="D245" s="249" t="s">
        <v>907</v>
      </c>
      <c r="E245" s="249" t="str">
        <f t="array" ref="E245">IFERROR(INDEX(REF_CODES!$B$27:$B$33,MATCH($D245,REF_CODES!$C$27:$C$33,0)),IFERROR(INDEX(REF_CODES!$B$51:$B$55,MATCH($D245,REF_CODES!$C$51:$C$55,0)),""))</f>
        <v>AK-SER</v>
      </c>
      <c r="F245" s="249" t="s">
        <v>6845</v>
      </c>
      <c r="G245" s="5" t="s">
        <v>6846</v>
      </c>
      <c r="H245" s="249" t="s">
        <v>6843</v>
      </c>
      <c r="I245" s="249">
        <v>18.0</v>
      </c>
      <c r="J245" s="251" t="s">
        <v>4685</v>
      </c>
      <c r="K245" s="251" t="s">
        <v>6813</v>
      </c>
      <c r="L245" s="5"/>
      <c r="M245" s="5"/>
      <c r="N245" s="5"/>
      <c r="O245" s="5" t="s">
        <v>4022</v>
      </c>
      <c r="P245" s="5"/>
      <c r="Q245" s="5"/>
      <c r="R245" s="5"/>
      <c r="S245" s="252" t="s">
        <v>4024</v>
      </c>
      <c r="T245" s="5" t="s">
        <v>4024</v>
      </c>
      <c r="U245" s="252"/>
      <c r="V245" s="252"/>
      <c r="W245" s="252"/>
      <c r="X245" s="252"/>
      <c r="Y245" s="252"/>
      <c r="Z245" s="5"/>
      <c r="AA245" s="5"/>
      <c r="AB245" s="252"/>
      <c r="AC245" s="13"/>
      <c r="AG245" s="253" t="s">
        <v>4691</v>
      </c>
      <c r="AH245" s="244" t="s">
        <v>4692</v>
      </c>
      <c r="AI245" s="254" t="s">
        <v>4694</v>
      </c>
    </row>
    <row r="246" ht="15.0" customHeight="1">
      <c r="A246" s="249" t="s">
        <v>2172</v>
      </c>
      <c r="B246" s="249" t="s">
        <v>1133</v>
      </c>
      <c r="C246" s="249" t="s">
        <v>6847</v>
      </c>
      <c r="D246" s="249" t="s">
        <v>907</v>
      </c>
      <c r="E246" s="249" t="str">
        <f t="array" ref="E246">IFERROR(INDEX(REF_CODES!$B$27:$B$33,MATCH($D246,REF_CODES!$C$27:$C$33,0)),IFERROR(INDEX(REF_CODES!$B$51:$B$55,MATCH($D246,REF_CODES!$C$51:$C$55,0)),""))</f>
        <v>AK-SER</v>
      </c>
      <c r="F246" s="249" t="s">
        <v>6848</v>
      </c>
      <c r="G246" s="5" t="s">
        <v>6849</v>
      </c>
      <c r="H246" s="249" t="s">
        <v>6843</v>
      </c>
      <c r="I246" s="249">
        <v>22.0</v>
      </c>
      <c r="J246" s="251" t="s">
        <v>4685</v>
      </c>
      <c r="K246" s="251" t="s">
        <v>6813</v>
      </c>
      <c r="L246" s="5"/>
      <c r="M246" s="5"/>
      <c r="N246" s="5"/>
      <c r="O246" s="5" t="s">
        <v>4022</v>
      </c>
      <c r="P246" s="5"/>
      <c r="Q246" s="5"/>
      <c r="R246" s="5"/>
      <c r="S246" s="252" t="s">
        <v>4024</v>
      </c>
      <c r="T246" s="5" t="s">
        <v>4024</v>
      </c>
      <c r="U246" s="252"/>
      <c r="V246" s="252"/>
      <c r="W246" s="252"/>
      <c r="X246" s="252"/>
      <c r="Y246" s="252"/>
      <c r="Z246" s="5"/>
      <c r="AA246" s="5"/>
      <c r="AB246" s="252"/>
      <c r="AC246" s="13"/>
      <c r="AG246" s="253" t="s">
        <v>4691</v>
      </c>
      <c r="AH246" s="244" t="s">
        <v>4692</v>
      </c>
      <c r="AI246" s="254" t="s">
        <v>4694</v>
      </c>
    </row>
    <row r="247" ht="15.0" customHeight="1">
      <c r="A247" s="249" t="s">
        <v>2172</v>
      </c>
      <c r="B247" s="249" t="s">
        <v>1133</v>
      </c>
      <c r="C247" s="249" t="s">
        <v>6850</v>
      </c>
      <c r="D247" s="249" t="s">
        <v>907</v>
      </c>
      <c r="E247" s="249" t="str">
        <f t="array" ref="E247">IFERROR(INDEX(REF_CODES!$B$27:$B$33,MATCH($D247,REF_CODES!$C$27:$C$33,0)),IFERROR(INDEX(REF_CODES!$B$51:$B$55,MATCH($D247,REF_CODES!$C$51:$C$55,0)),""))</f>
        <v>AK-SER</v>
      </c>
      <c r="F247" s="249" t="s">
        <v>6851</v>
      </c>
      <c r="G247" s="5" t="s">
        <v>6852</v>
      </c>
      <c r="H247" s="249" t="s">
        <v>6853</v>
      </c>
      <c r="I247" s="249">
        <v>0.0</v>
      </c>
      <c r="J247" s="251" t="s">
        <v>4685</v>
      </c>
      <c r="K247" s="251" t="s">
        <v>195</v>
      </c>
      <c r="L247" s="5"/>
      <c r="M247" s="5"/>
      <c r="N247" s="5"/>
      <c r="O247" s="5" t="s">
        <v>4022</v>
      </c>
      <c r="P247" s="5"/>
      <c r="Q247" s="5"/>
      <c r="R247" s="5"/>
      <c r="S247" s="252" t="s">
        <v>4024</v>
      </c>
      <c r="T247" s="5" t="s">
        <v>4024</v>
      </c>
      <c r="U247" s="252"/>
      <c r="V247" s="252"/>
      <c r="W247" s="252"/>
      <c r="X247" s="252"/>
      <c r="Y247" s="252"/>
      <c r="Z247" s="5"/>
      <c r="AA247" s="5"/>
      <c r="AB247" s="252"/>
      <c r="AC247" s="13"/>
      <c r="AG247" s="253" t="s">
        <v>4691</v>
      </c>
      <c r="AH247" s="244" t="s">
        <v>4692</v>
      </c>
      <c r="AI247" s="254" t="s">
        <v>4694</v>
      </c>
    </row>
    <row r="248" ht="15.0" customHeight="1">
      <c r="A248" s="249" t="s">
        <v>2172</v>
      </c>
      <c r="B248" s="261" t="s">
        <v>1133</v>
      </c>
      <c r="C248" s="261" t="s">
        <v>6854</v>
      </c>
      <c r="D248" s="261" t="s">
        <v>458</v>
      </c>
      <c r="E248" s="13" t="s">
        <v>284</v>
      </c>
      <c r="F248" s="261" t="s">
        <v>6855</v>
      </c>
      <c r="G248" s="13" t="s">
        <v>3739</v>
      </c>
      <c r="H248" s="261" t="s">
        <v>2959</v>
      </c>
      <c r="I248" s="261">
        <v>50.0</v>
      </c>
      <c r="J248" s="13"/>
      <c r="K248" s="13" t="s">
        <v>202</v>
      </c>
      <c r="L248" s="5"/>
      <c r="M248" s="5"/>
      <c r="N248" s="5"/>
      <c r="O248" s="5" t="s">
        <v>4022</v>
      </c>
      <c r="P248" s="5"/>
      <c r="Q248" s="5"/>
      <c r="R248" s="5"/>
      <c r="S248" s="252" t="s">
        <v>4024</v>
      </c>
      <c r="T248" s="5" t="s">
        <v>4024</v>
      </c>
      <c r="U248" s="252"/>
      <c r="V248" s="252"/>
      <c r="W248" s="252"/>
      <c r="X248" s="252"/>
      <c r="Y248" s="252"/>
      <c r="Z248" s="5"/>
      <c r="AA248" s="5"/>
      <c r="AB248" s="252"/>
      <c r="AC248" s="13"/>
      <c r="AG248" s="253">
        <v>11.0</v>
      </c>
      <c r="AH248" s="244" t="s">
        <v>6856</v>
      </c>
      <c r="AI248" s="254" t="s">
        <v>6857</v>
      </c>
    </row>
    <row r="249" ht="15.0" customHeight="1">
      <c r="A249" s="249" t="s">
        <v>2172</v>
      </c>
      <c r="B249" s="261" t="s">
        <v>1133</v>
      </c>
      <c r="C249" s="261" t="s">
        <v>6858</v>
      </c>
      <c r="D249" s="261" t="s">
        <v>458</v>
      </c>
      <c r="E249" s="13" t="s">
        <v>284</v>
      </c>
      <c r="F249" s="261" t="s">
        <v>6859</v>
      </c>
      <c r="G249" s="13" t="s">
        <v>2296</v>
      </c>
      <c r="H249" s="261" t="s">
        <v>6860</v>
      </c>
      <c r="I249" s="261">
        <v>40.0</v>
      </c>
      <c r="J249" s="13"/>
      <c r="K249" s="13" t="s">
        <v>202</v>
      </c>
      <c r="L249" s="5"/>
      <c r="M249" s="5"/>
      <c r="N249" s="5"/>
      <c r="O249" s="5" t="s">
        <v>4022</v>
      </c>
      <c r="P249" s="5"/>
      <c r="Q249" s="5"/>
      <c r="R249" s="5"/>
      <c r="S249" s="252" t="s">
        <v>4024</v>
      </c>
      <c r="T249" s="5" t="s">
        <v>4024</v>
      </c>
      <c r="U249" s="252"/>
      <c r="V249" s="252"/>
      <c r="W249" s="252"/>
      <c r="X249" s="252"/>
      <c r="Y249" s="252"/>
      <c r="Z249" s="5"/>
      <c r="AA249" s="5"/>
      <c r="AB249" s="252"/>
      <c r="AC249" s="13"/>
      <c r="AG249" s="253">
        <v>11.0</v>
      </c>
      <c r="AH249" s="244" t="s">
        <v>6856</v>
      </c>
      <c r="AI249" s="254" t="s">
        <v>6857</v>
      </c>
    </row>
    <row r="250" ht="15.0" customHeight="1">
      <c r="A250" s="249" t="s">
        <v>2172</v>
      </c>
      <c r="B250" s="261" t="s">
        <v>1133</v>
      </c>
      <c r="C250" s="261" t="s">
        <v>6861</v>
      </c>
      <c r="D250" s="261" t="s">
        <v>458</v>
      </c>
      <c r="E250" s="13" t="s">
        <v>284</v>
      </c>
      <c r="F250" s="261" t="s">
        <v>6862</v>
      </c>
      <c r="G250" s="13" t="s">
        <v>6863</v>
      </c>
      <c r="H250" s="261" t="s">
        <v>6864</v>
      </c>
      <c r="I250" s="261">
        <v>25.0</v>
      </c>
      <c r="J250" s="13"/>
      <c r="K250" s="13" t="s">
        <v>188</v>
      </c>
      <c r="L250" s="5"/>
      <c r="M250" s="5"/>
      <c r="N250" s="5"/>
      <c r="O250" s="5" t="s">
        <v>4022</v>
      </c>
      <c r="P250" s="5"/>
      <c r="Q250" s="5"/>
      <c r="R250" s="5"/>
      <c r="S250" s="252" t="s">
        <v>4024</v>
      </c>
      <c r="T250" s="5" t="s">
        <v>4024</v>
      </c>
      <c r="U250" s="252"/>
      <c r="V250" s="252"/>
      <c r="W250" s="252"/>
      <c r="X250" s="252"/>
      <c r="Y250" s="252"/>
      <c r="Z250" s="5"/>
      <c r="AA250" s="5"/>
      <c r="AB250" s="252"/>
      <c r="AC250" s="13"/>
      <c r="AG250" s="253">
        <v>11.0</v>
      </c>
      <c r="AH250" s="244" t="s">
        <v>6856</v>
      </c>
      <c r="AI250" s="254" t="s">
        <v>6857</v>
      </c>
    </row>
    <row r="251" ht="15.0" customHeight="1">
      <c r="A251" s="249" t="s">
        <v>2172</v>
      </c>
      <c r="B251" s="261" t="s">
        <v>1133</v>
      </c>
      <c r="C251" s="261" t="s">
        <v>6865</v>
      </c>
      <c r="D251" s="261" t="s">
        <v>458</v>
      </c>
      <c r="E251" s="13" t="s">
        <v>284</v>
      </c>
      <c r="F251" s="261" t="s">
        <v>6866</v>
      </c>
      <c r="G251" s="13" t="s">
        <v>6867</v>
      </c>
      <c r="H251" s="261" t="s">
        <v>1919</v>
      </c>
      <c r="I251" s="261">
        <v>25.0</v>
      </c>
      <c r="J251" s="13"/>
      <c r="K251" s="13" t="s">
        <v>188</v>
      </c>
      <c r="L251" s="5"/>
      <c r="M251" s="5"/>
      <c r="N251" s="5"/>
      <c r="O251" s="5" t="s">
        <v>4022</v>
      </c>
      <c r="P251" s="5"/>
      <c r="Q251" s="5"/>
      <c r="R251" s="5"/>
      <c r="S251" s="252" t="s">
        <v>4024</v>
      </c>
      <c r="T251" s="5" t="s">
        <v>4024</v>
      </c>
      <c r="U251" s="252"/>
      <c r="V251" s="252"/>
      <c r="W251" s="252"/>
      <c r="X251" s="252"/>
      <c r="Y251" s="252"/>
      <c r="Z251" s="5"/>
      <c r="AA251" s="5"/>
      <c r="AB251" s="252"/>
      <c r="AC251" s="13"/>
      <c r="AG251" s="253">
        <v>11.0</v>
      </c>
      <c r="AH251" s="244" t="s">
        <v>6856</v>
      </c>
      <c r="AI251" s="254" t="s">
        <v>6857</v>
      </c>
    </row>
    <row r="252" ht="15.0" customHeight="1">
      <c r="A252" s="249" t="s">
        <v>2172</v>
      </c>
      <c r="B252" s="261" t="s">
        <v>1133</v>
      </c>
      <c r="C252" s="261" t="s">
        <v>6868</v>
      </c>
      <c r="D252" s="261" t="s">
        <v>458</v>
      </c>
      <c r="E252" s="13" t="s">
        <v>284</v>
      </c>
      <c r="F252" s="261" t="s">
        <v>6869</v>
      </c>
      <c r="G252" s="13" t="s">
        <v>6870</v>
      </c>
      <c r="H252" s="261" t="s">
        <v>2511</v>
      </c>
      <c r="I252" s="261">
        <v>20.0</v>
      </c>
      <c r="J252" s="13"/>
      <c r="K252" s="13" t="s">
        <v>188</v>
      </c>
      <c r="L252" s="5"/>
      <c r="M252" s="5"/>
      <c r="N252" s="5"/>
      <c r="O252" s="5" t="s">
        <v>4022</v>
      </c>
      <c r="P252" s="5"/>
      <c r="Q252" s="5"/>
      <c r="R252" s="5"/>
      <c r="S252" s="252" t="s">
        <v>4024</v>
      </c>
      <c r="T252" s="5" t="s">
        <v>4024</v>
      </c>
      <c r="U252" s="252"/>
      <c r="V252" s="252"/>
      <c r="W252" s="252"/>
      <c r="X252" s="252"/>
      <c r="Y252" s="252"/>
      <c r="Z252" s="5"/>
      <c r="AA252" s="5"/>
      <c r="AB252" s="252"/>
      <c r="AC252" s="13"/>
      <c r="AG252" s="253">
        <v>11.0</v>
      </c>
      <c r="AH252" s="244" t="s">
        <v>6856</v>
      </c>
      <c r="AI252" s="254" t="s">
        <v>6857</v>
      </c>
    </row>
    <row r="253" ht="15.0" customHeight="1">
      <c r="A253" s="249" t="s">
        <v>2172</v>
      </c>
      <c r="B253" s="261" t="s">
        <v>1133</v>
      </c>
      <c r="C253" s="261" t="s">
        <v>6871</v>
      </c>
      <c r="D253" s="261" t="s">
        <v>458</v>
      </c>
      <c r="E253" s="13" t="s">
        <v>284</v>
      </c>
      <c r="F253" s="261" t="s">
        <v>6872</v>
      </c>
      <c r="G253" s="13" t="s">
        <v>6872</v>
      </c>
      <c r="H253" s="261" t="s">
        <v>6873</v>
      </c>
      <c r="I253" s="261">
        <v>25.0</v>
      </c>
      <c r="J253" s="13"/>
      <c r="K253" s="13" t="s">
        <v>188</v>
      </c>
      <c r="L253" s="5"/>
      <c r="M253" s="5"/>
      <c r="N253" s="5"/>
      <c r="O253" s="5" t="s">
        <v>4022</v>
      </c>
      <c r="P253" s="5"/>
      <c r="Q253" s="5"/>
      <c r="R253" s="5"/>
      <c r="S253" s="252" t="s">
        <v>4024</v>
      </c>
      <c r="T253" s="5" t="s">
        <v>4024</v>
      </c>
      <c r="U253" s="252"/>
      <c r="V253" s="252"/>
      <c r="W253" s="252"/>
      <c r="X253" s="252"/>
      <c r="Y253" s="252"/>
      <c r="Z253" s="5"/>
      <c r="AA253" s="5"/>
      <c r="AB253" s="252"/>
      <c r="AC253" s="13"/>
      <c r="AG253" s="253">
        <f>I253</f>
        <v>25</v>
      </c>
      <c r="AH253" s="244" t="s">
        <v>6763</v>
      </c>
      <c r="AI253" s="254" t="s">
        <v>6874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K$172">
    <sortState ref="B2:K172">
      <sortCondition ref="C2:C172"/>
    </sortState>
  </autoFilter>
  <mergeCells count="1">
    <mergeCell ref="A1:AB1"/>
  </mergeCells>
  <dataValidations>
    <dataValidation type="list" allowBlank="1" showErrorMessage="1" sqref="D3:D172">
      <formula1>REF_CODES!$G$218:$G$229</formula1>
    </dataValidation>
    <dataValidation type="list" allowBlank="1" showErrorMessage="1" sqref="AC3:AC172">
      <formula1>POI_TAGS</formula1>
    </dataValidation>
    <dataValidation type="list" allowBlank="1" sqref="AA3:AA149">
      <formula1>"Sur devis,Oui,Non,Sur demande"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3" width="17.75"/>
    <col customWidth="1" min="4" max="4" width="21.0"/>
    <col customWidth="1" min="5" max="7" width="17.75"/>
    <col customWidth="1" min="8" max="8" width="18.0"/>
    <col customWidth="1" min="9" max="9" width="21.0"/>
    <col customWidth="1" min="10" max="10" width="27.0"/>
    <col customWidth="1" min="11" max="11" width="21.63"/>
    <col customWidth="1" min="12" max="12" width="17.75"/>
    <col customWidth="1" min="13" max="13" width="26.0"/>
    <col customWidth="1" min="14" max="18" width="20.0"/>
    <col customWidth="1" min="19" max="35" width="18.0"/>
    <col customWidth="1" min="36" max="37" width="26.63"/>
  </cols>
  <sheetData>
    <row r="1" ht="15.0" customHeight="1">
      <c r="A1" s="6"/>
      <c r="B1" s="230" t="s">
        <v>2871</v>
      </c>
      <c r="C1" s="2"/>
      <c r="D1" s="2"/>
      <c r="E1" s="2"/>
      <c r="F1" s="2"/>
      <c r="G1" s="2"/>
      <c r="H1" s="2"/>
      <c r="I1" s="2"/>
      <c r="J1" s="2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ht="42.0" customHeight="1">
      <c r="A2" s="231" t="s">
        <v>2134</v>
      </c>
      <c r="B2" s="231" t="s">
        <v>2136</v>
      </c>
      <c r="C2" s="231" t="s">
        <v>2137</v>
      </c>
      <c r="D2" s="231" t="s">
        <v>2152</v>
      </c>
      <c r="E2" s="231" t="s">
        <v>8</v>
      </c>
      <c r="F2" s="231" t="s">
        <v>2143</v>
      </c>
      <c r="G2" s="231" t="s">
        <v>2886</v>
      </c>
      <c r="H2" s="231" t="s">
        <v>2888</v>
      </c>
      <c r="I2" s="231" t="s">
        <v>2889</v>
      </c>
      <c r="J2" s="231" t="s">
        <v>2891</v>
      </c>
      <c r="K2" s="231" t="s">
        <v>2185</v>
      </c>
      <c r="L2" s="231" t="s">
        <v>2150</v>
      </c>
      <c r="M2" s="231" t="s">
        <v>2246</v>
      </c>
      <c r="N2" s="231" t="s">
        <v>2158</v>
      </c>
      <c r="O2" s="231" t="s">
        <v>2159</v>
      </c>
      <c r="P2" s="231" t="s">
        <v>2161</v>
      </c>
      <c r="Q2" s="231" t="s">
        <v>27</v>
      </c>
      <c r="R2" s="231" t="s">
        <v>2162</v>
      </c>
      <c r="S2" s="231" t="s">
        <v>2250</v>
      </c>
      <c r="T2" s="231" t="s">
        <v>2251</v>
      </c>
      <c r="U2" s="231" t="s">
        <v>2253</v>
      </c>
      <c r="V2" s="231" t="s">
        <v>2182</v>
      </c>
      <c r="W2" s="231" t="s">
        <v>2183</v>
      </c>
      <c r="X2" s="231" t="s">
        <v>2255</v>
      </c>
      <c r="Y2" s="231" t="s">
        <v>2257</v>
      </c>
      <c r="Z2" s="231" t="s">
        <v>2259</v>
      </c>
      <c r="AA2" s="231" t="s">
        <v>2897</v>
      </c>
      <c r="AB2" s="231" t="s">
        <v>2898</v>
      </c>
      <c r="AC2" s="231" t="s">
        <v>2899</v>
      </c>
      <c r="AD2" s="231" t="s">
        <v>2900</v>
      </c>
      <c r="AE2" s="231" t="s">
        <v>2901</v>
      </c>
      <c r="AF2" s="231" t="s">
        <v>2261</v>
      </c>
      <c r="AG2" s="231" t="s">
        <v>2263</v>
      </c>
      <c r="AH2" s="231" t="s">
        <v>2906</v>
      </c>
      <c r="AI2" s="231" t="s">
        <v>2908</v>
      </c>
      <c r="AJ2" s="234" t="s">
        <v>2165</v>
      </c>
      <c r="AK2" s="234" t="s">
        <v>2168</v>
      </c>
    </row>
    <row r="3" ht="15.0" customHeight="1">
      <c r="A3" s="269" t="s">
        <v>2172</v>
      </c>
      <c r="B3" s="269" t="s">
        <v>2046</v>
      </c>
      <c r="C3" s="269" t="s">
        <v>2912</v>
      </c>
      <c r="D3" s="269" t="s">
        <v>792</v>
      </c>
      <c r="E3" s="269" t="str">
        <f t="array" ref="E3">IFERROR(INDEX(REF_CODES!$B$46:$B$50,MATCH($D3,REF_CODES!$C$46:$C$50,0)),"")</f>
        <v>NL-CLU</v>
      </c>
      <c r="F3" s="269" t="s">
        <v>2932</v>
      </c>
      <c r="G3" s="269" t="s">
        <v>2224</v>
      </c>
      <c r="H3" s="269" t="s">
        <v>2934</v>
      </c>
      <c r="I3" s="269" t="s">
        <v>2935</v>
      </c>
      <c r="J3" s="269" t="s">
        <v>2937</v>
      </c>
      <c r="K3" s="269" t="s">
        <v>202</v>
      </c>
      <c r="L3" s="269" t="s">
        <v>105</v>
      </c>
      <c r="M3" s="269" t="s">
        <v>2312</v>
      </c>
      <c r="N3" s="269" t="s">
        <v>487</v>
      </c>
      <c r="O3" s="269" t="s">
        <v>512</v>
      </c>
      <c r="P3" s="269" t="s">
        <v>91</v>
      </c>
      <c r="Q3" s="269" t="s">
        <v>31</v>
      </c>
      <c r="R3" s="269" t="s">
        <v>2207</v>
      </c>
      <c r="S3" s="252" t="s">
        <v>2938</v>
      </c>
      <c r="T3" s="5" t="s">
        <v>2939</v>
      </c>
      <c r="U3" s="252" t="s">
        <v>2940</v>
      </c>
      <c r="V3" s="252" t="s">
        <v>2208</v>
      </c>
      <c r="W3" s="252" t="s">
        <v>2338</v>
      </c>
      <c r="X3" s="252" t="s">
        <v>2338</v>
      </c>
      <c r="Y3" s="252" t="s">
        <v>2340</v>
      </c>
      <c r="Z3" s="5" t="s">
        <v>2942</v>
      </c>
      <c r="AA3" s="5" t="s">
        <v>2944</v>
      </c>
      <c r="AB3" s="5" t="s">
        <v>1229</v>
      </c>
      <c r="AC3" s="5" t="s">
        <v>1229</v>
      </c>
      <c r="AD3" s="5" t="s">
        <v>1229</v>
      </c>
      <c r="AE3" s="5" t="s">
        <v>1229</v>
      </c>
      <c r="AF3" s="5" t="s">
        <v>2947</v>
      </c>
      <c r="AG3" s="252" t="s">
        <v>2344</v>
      </c>
      <c r="AH3" s="5" t="s">
        <v>2948</v>
      </c>
      <c r="AI3" s="270" t="s">
        <v>2949</v>
      </c>
      <c r="AJ3" s="13"/>
      <c r="AK3" s="13"/>
    </row>
    <row r="4" ht="15.0" customHeight="1">
      <c r="A4" s="269" t="s">
        <v>2172</v>
      </c>
      <c r="B4" s="269" t="s">
        <v>2046</v>
      </c>
      <c r="C4" s="269" t="s">
        <v>2956</v>
      </c>
      <c r="D4" s="269" t="s">
        <v>792</v>
      </c>
      <c r="E4" s="269" t="str">
        <f t="array" ref="E4">IFERROR(INDEX(REF_CODES!$B$46:$B$50,MATCH($D4,REF_CODES!$C$46:$C$50,0)),"")</f>
        <v>NL-CLU</v>
      </c>
      <c r="F4" s="269" t="s">
        <v>2965</v>
      </c>
      <c r="G4" s="269" t="s">
        <v>2224</v>
      </c>
      <c r="H4" s="269" t="s">
        <v>2967</v>
      </c>
      <c r="I4" s="269" t="s">
        <v>2968</v>
      </c>
      <c r="J4" s="269" t="s">
        <v>2970</v>
      </c>
      <c r="K4" s="269" t="s">
        <v>202</v>
      </c>
      <c r="L4" s="269" t="s">
        <v>115</v>
      </c>
      <c r="M4" s="269" t="s">
        <v>2312</v>
      </c>
      <c r="N4" s="269" t="s">
        <v>487</v>
      </c>
      <c r="O4" s="269" t="s">
        <v>512</v>
      </c>
      <c r="P4" s="269" t="s">
        <v>91</v>
      </c>
      <c r="Q4" s="269" t="s">
        <v>31</v>
      </c>
      <c r="R4" s="269" t="s">
        <v>2207</v>
      </c>
      <c r="S4" s="252" t="s">
        <v>2938</v>
      </c>
      <c r="T4" s="5" t="s">
        <v>2972</v>
      </c>
      <c r="U4" s="252" t="s">
        <v>2940</v>
      </c>
      <c r="V4" s="252" t="s">
        <v>2208</v>
      </c>
      <c r="W4" s="252" t="s">
        <v>2338</v>
      </c>
      <c r="X4" s="252" t="s">
        <v>2338</v>
      </c>
      <c r="Y4" s="252" t="s">
        <v>2340</v>
      </c>
      <c r="Z4" s="5" t="s">
        <v>2942</v>
      </c>
      <c r="AA4" s="5" t="s">
        <v>2944</v>
      </c>
      <c r="AB4" s="5" t="s">
        <v>1229</v>
      </c>
      <c r="AC4" s="5" t="s">
        <v>1229</v>
      </c>
      <c r="AD4" s="5" t="s">
        <v>1229</v>
      </c>
      <c r="AE4" s="5" t="s">
        <v>1229</v>
      </c>
      <c r="AF4" s="5" t="s">
        <v>2947</v>
      </c>
      <c r="AG4" s="252" t="s">
        <v>2344</v>
      </c>
      <c r="AH4" s="5" t="s">
        <v>2948</v>
      </c>
      <c r="AI4" s="270" t="s">
        <v>2949</v>
      </c>
      <c r="AJ4" s="13"/>
      <c r="AK4" s="13"/>
    </row>
    <row r="5" ht="15.0" customHeight="1">
      <c r="A5" s="269" t="s">
        <v>2172</v>
      </c>
      <c r="B5" s="269" t="s">
        <v>2046</v>
      </c>
      <c r="C5" s="269" t="s">
        <v>2985</v>
      </c>
      <c r="D5" s="269" t="s">
        <v>830</v>
      </c>
      <c r="E5" s="269" t="str">
        <f t="array" ref="E5">IFERROR(INDEX(REF_CODES!$B$46:$B$50,MATCH($D5,REF_CODES!$C$46:$C$50,0)),"")</f>
        <v>NL-LIV</v>
      </c>
      <c r="F5" s="269" t="s">
        <v>2989</v>
      </c>
      <c r="G5" s="269" t="s">
        <v>2224</v>
      </c>
      <c r="H5" s="269" t="s">
        <v>2992</v>
      </c>
      <c r="I5" s="269" t="s">
        <v>2993</v>
      </c>
      <c r="J5" s="269" t="s">
        <v>2994</v>
      </c>
      <c r="K5" s="269" t="s">
        <v>195</v>
      </c>
      <c r="L5" s="269" t="s">
        <v>105</v>
      </c>
      <c r="M5" s="269" t="s">
        <v>2312</v>
      </c>
      <c r="N5" s="269" t="s">
        <v>479</v>
      </c>
      <c r="O5" s="269" t="s">
        <v>512</v>
      </c>
      <c r="P5" s="269" t="s">
        <v>75</v>
      </c>
      <c r="Q5" s="269" t="s">
        <v>31</v>
      </c>
      <c r="R5" s="269" t="s">
        <v>2207</v>
      </c>
      <c r="S5" s="252" t="s">
        <v>2938</v>
      </c>
      <c r="T5" s="5" t="s">
        <v>2997</v>
      </c>
      <c r="U5" s="252" t="s">
        <v>2940</v>
      </c>
      <c r="V5" s="252" t="s">
        <v>2208</v>
      </c>
      <c r="W5" s="252" t="s">
        <v>2338</v>
      </c>
      <c r="X5" s="252" t="s">
        <v>2338</v>
      </c>
      <c r="Y5" s="252" t="s">
        <v>2340</v>
      </c>
      <c r="Z5" s="5" t="s">
        <v>2942</v>
      </c>
      <c r="AA5" s="5" t="s">
        <v>2944</v>
      </c>
      <c r="AB5" s="5" t="s">
        <v>1229</v>
      </c>
      <c r="AC5" s="5" t="s">
        <v>1229</v>
      </c>
      <c r="AD5" s="5" t="s">
        <v>1229</v>
      </c>
      <c r="AE5" s="5" t="s">
        <v>1229</v>
      </c>
      <c r="AF5" s="5" t="s">
        <v>2947</v>
      </c>
      <c r="AG5" s="252" t="s">
        <v>2344</v>
      </c>
      <c r="AH5" s="5" t="s">
        <v>2948</v>
      </c>
      <c r="AI5" s="270" t="s">
        <v>2949</v>
      </c>
      <c r="AJ5" s="13"/>
      <c r="AK5" s="13"/>
    </row>
    <row r="6" ht="15.0" customHeight="1">
      <c r="A6" s="269" t="s">
        <v>2172</v>
      </c>
      <c r="B6" s="269" t="s">
        <v>2046</v>
      </c>
      <c r="C6" s="269" t="s">
        <v>3007</v>
      </c>
      <c r="D6" s="269" t="s">
        <v>802</v>
      </c>
      <c r="E6" s="269" t="str">
        <f t="array" ref="E6">IFERROR(INDEX(REF_CODES!$B$46:$B$50,MATCH($D6,REF_CODES!$C$46:$C$50,0)),"")</f>
        <v>NL-LOU</v>
      </c>
      <c r="F6" s="269" t="s">
        <v>3012</v>
      </c>
      <c r="G6" s="269" t="s">
        <v>2306</v>
      </c>
      <c r="H6" s="269" t="s">
        <v>3013</v>
      </c>
      <c r="I6" s="269" t="s">
        <v>3014</v>
      </c>
      <c r="J6" s="269" t="s">
        <v>3015</v>
      </c>
      <c r="K6" s="269" t="s">
        <v>195</v>
      </c>
      <c r="L6" s="269" t="s">
        <v>115</v>
      </c>
      <c r="M6" s="269" t="s">
        <v>2203</v>
      </c>
      <c r="N6" s="269" t="s">
        <v>479</v>
      </c>
      <c r="O6" s="269" t="s">
        <v>512</v>
      </c>
      <c r="P6" s="269" t="s">
        <v>29</v>
      </c>
      <c r="Q6" s="269" t="s">
        <v>37</v>
      </c>
      <c r="R6" s="269" t="s">
        <v>2207</v>
      </c>
      <c r="S6" s="252" t="s">
        <v>2938</v>
      </c>
      <c r="T6" s="5" t="s">
        <v>3017</v>
      </c>
      <c r="U6" s="252" t="s">
        <v>2940</v>
      </c>
      <c r="V6" s="252" t="s">
        <v>2208</v>
      </c>
      <c r="W6" s="252" t="s">
        <v>2338</v>
      </c>
      <c r="X6" s="252" t="s">
        <v>2338</v>
      </c>
      <c r="Y6" s="252" t="s">
        <v>2340</v>
      </c>
      <c r="Z6" s="5" t="s">
        <v>2942</v>
      </c>
      <c r="AA6" s="5" t="s">
        <v>2944</v>
      </c>
      <c r="AB6" s="5" t="s">
        <v>1229</v>
      </c>
      <c r="AC6" s="5" t="s">
        <v>1229</v>
      </c>
      <c r="AD6" s="5" t="s">
        <v>1229</v>
      </c>
      <c r="AE6" s="5" t="s">
        <v>1229</v>
      </c>
      <c r="AF6" s="5" t="s">
        <v>2947</v>
      </c>
      <c r="AG6" s="252" t="s">
        <v>2344</v>
      </c>
      <c r="AH6" s="5" t="s">
        <v>2948</v>
      </c>
      <c r="AI6" s="270" t="s">
        <v>2949</v>
      </c>
      <c r="AJ6" s="13"/>
      <c r="AK6" s="13"/>
    </row>
    <row r="7" ht="15.0" customHeight="1">
      <c r="A7" s="269" t="s">
        <v>2172</v>
      </c>
      <c r="B7" s="269" t="s">
        <v>2046</v>
      </c>
      <c r="C7" s="269" t="s">
        <v>3026</v>
      </c>
      <c r="D7" s="269" t="s">
        <v>802</v>
      </c>
      <c r="E7" s="269" t="str">
        <f t="array" ref="E7">IFERROR(INDEX(REF_CODES!$B$46:$B$50,MATCH($D7,REF_CODES!$C$46:$C$50,0)),"")</f>
        <v>NL-LOU</v>
      </c>
      <c r="F7" s="269" t="s">
        <v>3033</v>
      </c>
      <c r="G7" s="269" t="s">
        <v>3035</v>
      </c>
      <c r="H7" s="269" t="s">
        <v>3036</v>
      </c>
      <c r="I7" s="269" t="s">
        <v>3014</v>
      </c>
      <c r="J7" s="269" t="s">
        <v>3038</v>
      </c>
      <c r="K7" s="269" t="s">
        <v>195</v>
      </c>
      <c r="L7" s="269" t="s">
        <v>115</v>
      </c>
      <c r="M7" s="269" t="s">
        <v>2312</v>
      </c>
      <c r="N7" s="269" t="s">
        <v>479</v>
      </c>
      <c r="O7" s="269" t="s">
        <v>512</v>
      </c>
      <c r="P7" s="269" t="s">
        <v>75</v>
      </c>
      <c r="Q7" s="269" t="s">
        <v>43</v>
      </c>
      <c r="R7" s="269" t="s">
        <v>2207</v>
      </c>
      <c r="S7" s="252" t="s">
        <v>2938</v>
      </c>
      <c r="T7" s="5" t="s">
        <v>3041</v>
      </c>
      <c r="U7" s="252" t="s">
        <v>2940</v>
      </c>
      <c r="V7" s="252" t="s">
        <v>2208</v>
      </c>
      <c r="W7" s="252" t="s">
        <v>2338</v>
      </c>
      <c r="X7" s="252" t="s">
        <v>2338</v>
      </c>
      <c r="Y7" s="252" t="s">
        <v>2340</v>
      </c>
      <c r="Z7" s="5" t="s">
        <v>2942</v>
      </c>
      <c r="AA7" s="5" t="s">
        <v>2944</v>
      </c>
      <c r="AB7" s="5" t="s">
        <v>1229</v>
      </c>
      <c r="AC7" s="5" t="s">
        <v>1229</v>
      </c>
      <c r="AD7" s="5" t="s">
        <v>1229</v>
      </c>
      <c r="AE7" s="5" t="s">
        <v>1229</v>
      </c>
      <c r="AF7" s="5" t="s">
        <v>2947</v>
      </c>
      <c r="AG7" s="252" t="s">
        <v>2344</v>
      </c>
      <c r="AH7" s="5" t="s">
        <v>2948</v>
      </c>
      <c r="AI7" s="270" t="s">
        <v>2949</v>
      </c>
      <c r="AJ7" s="13"/>
      <c r="AK7" s="13"/>
    </row>
    <row r="8" ht="15.0" customHeight="1">
      <c r="A8" s="269" t="s">
        <v>2172</v>
      </c>
      <c r="B8" s="269" t="s">
        <v>2046</v>
      </c>
      <c r="C8" s="269" t="s">
        <v>3051</v>
      </c>
      <c r="D8" s="269" t="s">
        <v>802</v>
      </c>
      <c r="E8" s="269" t="str">
        <f t="array" ref="E8">IFERROR(INDEX(REF_CODES!$B$46:$B$50,MATCH($D8,REF_CODES!$C$46:$C$50,0)),"")</f>
        <v>NL-LOU</v>
      </c>
      <c r="F8" s="269" t="s">
        <v>3057</v>
      </c>
      <c r="G8" s="269" t="s">
        <v>2191</v>
      </c>
      <c r="H8" s="269" t="s">
        <v>3059</v>
      </c>
      <c r="I8" s="269" t="s">
        <v>3060</v>
      </c>
      <c r="J8" s="269" t="s">
        <v>3061</v>
      </c>
      <c r="K8" s="269" t="s">
        <v>195</v>
      </c>
      <c r="L8" s="269" t="s">
        <v>115</v>
      </c>
      <c r="M8" s="269" t="s">
        <v>2203</v>
      </c>
      <c r="N8" s="269" t="s">
        <v>479</v>
      </c>
      <c r="O8" s="269" t="s">
        <v>512</v>
      </c>
      <c r="P8" s="269" t="s">
        <v>91</v>
      </c>
      <c r="Q8" s="269" t="s">
        <v>31</v>
      </c>
      <c r="R8" s="269" t="s">
        <v>2207</v>
      </c>
      <c r="S8" s="252" t="s">
        <v>2938</v>
      </c>
      <c r="T8" s="5" t="s">
        <v>3064</v>
      </c>
      <c r="U8" s="252" t="s">
        <v>2940</v>
      </c>
      <c r="V8" s="252" t="s">
        <v>2208</v>
      </c>
      <c r="W8" s="252" t="s">
        <v>2338</v>
      </c>
      <c r="X8" s="252" t="s">
        <v>2338</v>
      </c>
      <c r="Y8" s="252" t="s">
        <v>2340</v>
      </c>
      <c r="Z8" s="5" t="s">
        <v>2942</v>
      </c>
      <c r="AA8" s="5" t="s">
        <v>2944</v>
      </c>
      <c r="AB8" s="5" t="s">
        <v>1229</v>
      </c>
      <c r="AC8" s="5" t="s">
        <v>1229</v>
      </c>
      <c r="AD8" s="5" t="s">
        <v>1229</v>
      </c>
      <c r="AE8" s="5" t="s">
        <v>1229</v>
      </c>
      <c r="AF8" s="5" t="s">
        <v>2947</v>
      </c>
      <c r="AG8" s="252" t="s">
        <v>2344</v>
      </c>
      <c r="AH8" s="5" t="s">
        <v>2948</v>
      </c>
      <c r="AI8" s="270" t="s">
        <v>2949</v>
      </c>
      <c r="AJ8" s="13"/>
      <c r="AK8" s="13"/>
    </row>
    <row r="9" ht="15.0" customHeight="1">
      <c r="A9" s="269" t="s">
        <v>2172</v>
      </c>
      <c r="B9" s="269" t="s">
        <v>2046</v>
      </c>
      <c r="C9" s="269" t="s">
        <v>3076</v>
      </c>
      <c r="D9" s="269" t="s">
        <v>841</v>
      </c>
      <c r="E9" s="269" t="str">
        <f t="array" ref="E9">IFERROR(INDEX(REF_CODES!$B$46:$B$50,MATCH($D9,REF_CODES!$C$46:$C$50,0)),"")</f>
        <v>NL-IMM</v>
      </c>
      <c r="F9" s="269" t="s">
        <v>3080</v>
      </c>
      <c r="G9" s="269" t="s">
        <v>2306</v>
      </c>
      <c r="H9" s="269" t="s">
        <v>3081</v>
      </c>
      <c r="I9" s="269" t="s">
        <v>3082</v>
      </c>
      <c r="J9" s="269" t="s">
        <v>3083</v>
      </c>
      <c r="K9" s="269" t="s">
        <v>195</v>
      </c>
      <c r="L9" s="269" t="s">
        <v>123</v>
      </c>
      <c r="M9" s="269" t="s">
        <v>2312</v>
      </c>
      <c r="N9" s="269" t="s">
        <v>479</v>
      </c>
      <c r="O9" s="269" t="s">
        <v>512</v>
      </c>
      <c r="P9" s="269" t="s">
        <v>75</v>
      </c>
      <c r="Q9" s="269" t="s">
        <v>2205</v>
      </c>
      <c r="R9" s="269" t="s">
        <v>2207</v>
      </c>
      <c r="S9" s="252" t="s">
        <v>2938</v>
      </c>
      <c r="T9" s="5" t="s">
        <v>3085</v>
      </c>
      <c r="U9" s="252" t="s">
        <v>2940</v>
      </c>
      <c r="V9" s="252" t="s">
        <v>2208</v>
      </c>
      <c r="W9" s="252" t="s">
        <v>2338</v>
      </c>
      <c r="X9" s="252" t="s">
        <v>2338</v>
      </c>
      <c r="Y9" s="252" t="s">
        <v>2340</v>
      </c>
      <c r="Z9" s="5" t="s">
        <v>2942</v>
      </c>
      <c r="AA9" s="5" t="s">
        <v>2944</v>
      </c>
      <c r="AB9" s="5" t="s">
        <v>1229</v>
      </c>
      <c r="AC9" s="5" t="s">
        <v>1229</v>
      </c>
      <c r="AD9" s="5" t="s">
        <v>1229</v>
      </c>
      <c r="AE9" s="5" t="s">
        <v>1229</v>
      </c>
      <c r="AF9" s="5" t="s">
        <v>2947</v>
      </c>
      <c r="AG9" s="252" t="s">
        <v>2344</v>
      </c>
      <c r="AH9" s="5" t="s">
        <v>2948</v>
      </c>
      <c r="AI9" s="270" t="s">
        <v>2949</v>
      </c>
      <c r="AJ9" s="13"/>
      <c r="AK9" s="13"/>
    </row>
    <row r="10" ht="15.0" customHeight="1">
      <c r="A10" s="269" t="s">
        <v>2172</v>
      </c>
      <c r="B10" s="269" t="s">
        <v>2046</v>
      </c>
      <c r="C10" s="269" t="s">
        <v>3091</v>
      </c>
      <c r="D10" s="269" t="s">
        <v>792</v>
      </c>
      <c r="E10" s="269" t="str">
        <f t="array" ref="E10">IFERROR(INDEX(REF_CODES!$B$46:$B$50,MATCH($D10,REF_CODES!$C$46:$C$50,0)),"")</f>
        <v>NL-CLU</v>
      </c>
      <c r="F10" s="269" t="s">
        <v>3096</v>
      </c>
      <c r="G10" s="269" t="s">
        <v>2224</v>
      </c>
      <c r="H10" s="269" t="s">
        <v>2934</v>
      </c>
      <c r="I10" s="269" t="s">
        <v>2935</v>
      </c>
      <c r="J10" s="269" t="s">
        <v>3098</v>
      </c>
      <c r="K10" s="269" t="s">
        <v>202</v>
      </c>
      <c r="L10" s="269" t="s">
        <v>105</v>
      </c>
      <c r="M10" s="269" t="s">
        <v>2312</v>
      </c>
      <c r="N10" s="269" t="s">
        <v>487</v>
      </c>
      <c r="O10" s="269" t="s">
        <v>512</v>
      </c>
      <c r="P10" s="269" t="s">
        <v>99</v>
      </c>
      <c r="Q10" s="269" t="s">
        <v>31</v>
      </c>
      <c r="R10" s="269" t="s">
        <v>2207</v>
      </c>
      <c r="S10" s="252" t="s">
        <v>2938</v>
      </c>
      <c r="T10" s="5" t="s">
        <v>3101</v>
      </c>
      <c r="U10" s="252" t="s">
        <v>2940</v>
      </c>
      <c r="V10" s="252" t="s">
        <v>2208</v>
      </c>
      <c r="W10" s="252" t="s">
        <v>2338</v>
      </c>
      <c r="X10" s="252" t="s">
        <v>2338</v>
      </c>
      <c r="Y10" s="252" t="s">
        <v>2340</v>
      </c>
      <c r="Z10" s="5" t="s">
        <v>2942</v>
      </c>
      <c r="AA10" s="5" t="s">
        <v>2944</v>
      </c>
      <c r="AB10" s="5" t="s">
        <v>1229</v>
      </c>
      <c r="AC10" s="5" t="s">
        <v>1229</v>
      </c>
      <c r="AD10" s="5" t="s">
        <v>1229</v>
      </c>
      <c r="AE10" s="5" t="s">
        <v>1229</v>
      </c>
      <c r="AF10" s="5" t="s">
        <v>2947</v>
      </c>
      <c r="AG10" s="252" t="s">
        <v>2344</v>
      </c>
      <c r="AH10" s="5" t="s">
        <v>2948</v>
      </c>
      <c r="AI10" s="270" t="s">
        <v>2949</v>
      </c>
      <c r="AJ10" s="13"/>
      <c r="AK10" s="13"/>
    </row>
    <row r="11" ht="15.0" customHeight="1">
      <c r="A11" s="269" t="s">
        <v>2172</v>
      </c>
      <c r="B11" s="269" t="s">
        <v>2046</v>
      </c>
      <c r="C11" s="269" t="s">
        <v>3109</v>
      </c>
      <c r="D11" s="269" t="s">
        <v>802</v>
      </c>
      <c r="E11" s="269" t="str">
        <f t="array" ref="E11">IFERROR(INDEX(REF_CODES!$B$46:$B$50,MATCH($D11,REF_CODES!$C$46:$C$50,0)),"")</f>
        <v>NL-LOU</v>
      </c>
      <c r="F11" s="269" t="s">
        <v>3110</v>
      </c>
      <c r="G11" s="269" t="s">
        <v>2224</v>
      </c>
      <c r="H11" s="269" t="s">
        <v>3112</v>
      </c>
      <c r="I11" s="269" t="s">
        <v>3113</v>
      </c>
      <c r="J11" s="269" t="s">
        <v>3113</v>
      </c>
      <c r="K11" s="269" t="s">
        <v>202</v>
      </c>
      <c r="L11" s="269" t="s">
        <v>115</v>
      </c>
      <c r="M11" s="269" t="s">
        <v>2312</v>
      </c>
      <c r="N11" s="269" t="s">
        <v>487</v>
      </c>
      <c r="O11" s="269" t="s">
        <v>512</v>
      </c>
      <c r="P11" s="269" t="s">
        <v>99</v>
      </c>
      <c r="Q11" s="269" t="s">
        <v>2487</v>
      </c>
      <c r="R11" s="269" t="s">
        <v>2207</v>
      </c>
      <c r="S11" s="252" t="s">
        <v>2938</v>
      </c>
      <c r="T11" s="5" t="s">
        <v>2705</v>
      </c>
      <c r="U11" s="252" t="s">
        <v>2940</v>
      </c>
      <c r="V11" s="252" t="s">
        <v>2208</v>
      </c>
      <c r="W11" s="252" t="s">
        <v>2338</v>
      </c>
      <c r="X11" s="252" t="s">
        <v>2338</v>
      </c>
      <c r="Y11" s="252" t="s">
        <v>2340</v>
      </c>
      <c r="Z11" s="5" t="s">
        <v>2942</v>
      </c>
      <c r="AA11" s="5" t="s">
        <v>2944</v>
      </c>
      <c r="AB11" s="5" t="s">
        <v>1229</v>
      </c>
      <c r="AC11" s="5" t="s">
        <v>1229</v>
      </c>
      <c r="AD11" s="5" t="s">
        <v>1229</v>
      </c>
      <c r="AE11" s="5" t="s">
        <v>1229</v>
      </c>
      <c r="AF11" s="5" t="s">
        <v>2947</v>
      </c>
      <c r="AG11" s="252" t="s">
        <v>2344</v>
      </c>
      <c r="AH11" s="5" t="s">
        <v>2948</v>
      </c>
      <c r="AI11" s="270" t="s">
        <v>2949</v>
      </c>
      <c r="AJ11" s="13"/>
      <c r="AK11" s="13"/>
    </row>
    <row r="12" ht="15.0" customHeight="1">
      <c r="A12" s="269" t="s">
        <v>2172</v>
      </c>
      <c r="B12" s="269" t="s">
        <v>2046</v>
      </c>
      <c r="C12" s="269" t="s">
        <v>3120</v>
      </c>
      <c r="D12" s="269" t="s">
        <v>792</v>
      </c>
      <c r="E12" s="269" t="str">
        <f t="array" ref="E12">IFERROR(INDEX(REF_CODES!$B$46:$B$50,MATCH($D12,REF_CODES!$C$46:$C$50,0)),"")</f>
        <v>NL-CLU</v>
      </c>
      <c r="F12" s="269" t="s">
        <v>3127</v>
      </c>
      <c r="G12" s="269" t="s">
        <v>2224</v>
      </c>
      <c r="H12" s="269" t="s">
        <v>3128</v>
      </c>
      <c r="I12" s="269" t="s">
        <v>3129</v>
      </c>
      <c r="J12" s="269" t="s">
        <v>3130</v>
      </c>
      <c r="K12" s="269" t="s">
        <v>202</v>
      </c>
      <c r="L12" s="269" t="s">
        <v>115</v>
      </c>
      <c r="M12" s="269" t="s">
        <v>2203</v>
      </c>
      <c r="N12" s="269" t="s">
        <v>487</v>
      </c>
      <c r="O12" s="269" t="s">
        <v>512</v>
      </c>
      <c r="P12" s="269" t="s">
        <v>99</v>
      </c>
      <c r="Q12" s="269" t="s">
        <v>3131</v>
      </c>
      <c r="R12" s="269" t="s">
        <v>2207</v>
      </c>
      <c r="S12" s="252" t="s">
        <v>2938</v>
      </c>
      <c r="T12" s="5" t="s">
        <v>2332</v>
      </c>
      <c r="U12" s="252" t="s">
        <v>2940</v>
      </c>
      <c r="V12" s="252" t="s">
        <v>2208</v>
      </c>
      <c r="W12" s="252" t="s">
        <v>2338</v>
      </c>
      <c r="X12" s="252" t="s">
        <v>2338</v>
      </c>
      <c r="Y12" s="252" t="s">
        <v>2340</v>
      </c>
      <c r="Z12" s="5" t="s">
        <v>2942</v>
      </c>
      <c r="AA12" s="5" t="s">
        <v>2944</v>
      </c>
      <c r="AB12" s="5" t="s">
        <v>1229</v>
      </c>
      <c r="AC12" s="5" t="s">
        <v>1229</v>
      </c>
      <c r="AD12" s="5" t="s">
        <v>1229</v>
      </c>
      <c r="AE12" s="5" t="s">
        <v>1229</v>
      </c>
      <c r="AF12" s="5" t="s">
        <v>2947</v>
      </c>
      <c r="AG12" s="252" t="s">
        <v>2344</v>
      </c>
      <c r="AH12" s="5" t="s">
        <v>2948</v>
      </c>
      <c r="AI12" s="270" t="s">
        <v>2949</v>
      </c>
      <c r="AJ12" s="13"/>
      <c r="AK12" s="13"/>
    </row>
    <row r="13" ht="15.0" customHeight="1">
      <c r="A13" s="269" t="s">
        <v>2172</v>
      </c>
      <c r="B13" s="269" t="s">
        <v>2046</v>
      </c>
      <c r="C13" s="269" t="s">
        <v>3134</v>
      </c>
      <c r="D13" s="269" t="s">
        <v>792</v>
      </c>
      <c r="E13" s="269" t="str">
        <f t="array" ref="E13">IFERROR(INDEX(REF_CODES!$B$46:$B$50,MATCH($D13,REF_CODES!$C$46:$C$50,0)),"")</f>
        <v>NL-CLU</v>
      </c>
      <c r="F13" s="269" t="s">
        <v>3138</v>
      </c>
      <c r="G13" s="269" t="s">
        <v>3139</v>
      </c>
      <c r="H13" s="269" t="s">
        <v>2934</v>
      </c>
      <c r="I13" s="269" t="s">
        <v>3140</v>
      </c>
      <c r="J13" s="269" t="s">
        <v>3141</v>
      </c>
      <c r="K13" s="269" t="s">
        <v>202</v>
      </c>
      <c r="L13" s="269" t="s">
        <v>83</v>
      </c>
      <c r="M13" s="269" t="s">
        <v>2312</v>
      </c>
      <c r="N13" s="269" t="s">
        <v>487</v>
      </c>
      <c r="O13" s="269" t="s">
        <v>512</v>
      </c>
      <c r="P13" s="269" t="s">
        <v>29</v>
      </c>
      <c r="Q13" s="269" t="s">
        <v>2205</v>
      </c>
      <c r="R13" s="269" t="s">
        <v>2207</v>
      </c>
      <c r="S13" s="252" t="s">
        <v>2938</v>
      </c>
      <c r="T13" s="5" t="s">
        <v>3142</v>
      </c>
      <c r="U13" s="252" t="s">
        <v>2940</v>
      </c>
      <c r="V13" s="252" t="s">
        <v>2208</v>
      </c>
      <c r="W13" s="252" t="s">
        <v>2338</v>
      </c>
      <c r="X13" s="252" t="s">
        <v>2338</v>
      </c>
      <c r="Y13" s="252" t="s">
        <v>2340</v>
      </c>
      <c r="Z13" s="5" t="s">
        <v>2942</v>
      </c>
      <c r="AA13" s="5" t="s">
        <v>2944</v>
      </c>
      <c r="AB13" s="5" t="s">
        <v>1229</v>
      </c>
      <c r="AC13" s="5" t="s">
        <v>1229</v>
      </c>
      <c r="AD13" s="5" t="s">
        <v>1229</v>
      </c>
      <c r="AE13" s="5" t="s">
        <v>1229</v>
      </c>
      <c r="AF13" s="5" t="s">
        <v>2947</v>
      </c>
      <c r="AG13" s="252" t="s">
        <v>2344</v>
      </c>
      <c r="AH13" s="5" t="s">
        <v>2948</v>
      </c>
      <c r="AI13" s="270" t="s">
        <v>2949</v>
      </c>
      <c r="AJ13" s="13"/>
      <c r="AK13" s="13"/>
    </row>
    <row r="14" ht="15.0" customHeight="1">
      <c r="A14" s="269" t="s">
        <v>2172</v>
      </c>
      <c r="B14" s="269" t="s">
        <v>2046</v>
      </c>
      <c r="C14" s="269" t="s">
        <v>3150</v>
      </c>
      <c r="D14" s="269" t="s">
        <v>792</v>
      </c>
      <c r="E14" s="269" t="str">
        <f t="array" ref="E14">IFERROR(INDEX(REF_CODES!$B$46:$B$50,MATCH($D14,REF_CODES!$C$46:$C$50,0)),"")</f>
        <v>NL-CLU</v>
      </c>
      <c r="F14" s="269" t="s">
        <v>3154</v>
      </c>
      <c r="G14" s="269" t="s">
        <v>2224</v>
      </c>
      <c r="H14" s="269" t="s">
        <v>2967</v>
      </c>
      <c r="I14" s="269" t="s">
        <v>2935</v>
      </c>
      <c r="J14" s="269" t="s">
        <v>3155</v>
      </c>
      <c r="K14" s="269" t="s">
        <v>202</v>
      </c>
      <c r="L14" s="269" t="s">
        <v>105</v>
      </c>
      <c r="M14" s="269" t="s">
        <v>2203</v>
      </c>
      <c r="N14" s="269" t="s">
        <v>487</v>
      </c>
      <c r="O14" s="269" t="s">
        <v>512</v>
      </c>
      <c r="P14" s="269" t="s">
        <v>91</v>
      </c>
      <c r="Q14" s="269" t="s">
        <v>31</v>
      </c>
      <c r="R14" s="269" t="s">
        <v>2207</v>
      </c>
      <c r="S14" s="252" t="s">
        <v>2938</v>
      </c>
      <c r="T14" s="252" t="s">
        <v>2208</v>
      </c>
      <c r="U14" s="252" t="s">
        <v>2940</v>
      </c>
      <c r="V14" s="252" t="s">
        <v>2208</v>
      </c>
      <c r="W14" s="252" t="s">
        <v>2338</v>
      </c>
      <c r="X14" s="252" t="s">
        <v>2338</v>
      </c>
      <c r="Y14" s="252" t="s">
        <v>2340</v>
      </c>
      <c r="Z14" s="5" t="s">
        <v>2942</v>
      </c>
      <c r="AA14" s="5" t="s">
        <v>2944</v>
      </c>
      <c r="AB14" s="5" t="s">
        <v>1229</v>
      </c>
      <c r="AC14" s="5" t="s">
        <v>1229</v>
      </c>
      <c r="AD14" s="5" t="s">
        <v>1229</v>
      </c>
      <c r="AE14" s="5" t="s">
        <v>1229</v>
      </c>
      <c r="AF14" s="5" t="s">
        <v>2947</v>
      </c>
      <c r="AG14" s="252" t="s">
        <v>2344</v>
      </c>
      <c r="AH14" s="5" t="s">
        <v>2948</v>
      </c>
      <c r="AI14" s="270" t="s">
        <v>2949</v>
      </c>
      <c r="AJ14" s="13"/>
      <c r="AK14" s="13"/>
    </row>
    <row r="15" ht="14.25" customHeight="1">
      <c r="A15" s="269" t="s">
        <v>2172</v>
      </c>
      <c r="B15" s="269" t="s">
        <v>2046</v>
      </c>
      <c r="C15" s="269" t="s">
        <v>3158</v>
      </c>
      <c r="D15" s="269" t="s">
        <v>802</v>
      </c>
      <c r="E15" s="269" t="str">
        <f t="array" ref="E15">IFERROR(INDEX(REF_CODES!$B$46:$B$50,MATCH($D15,REF_CODES!$C$46:$C$50,0)),"")</f>
        <v>NL-LOU</v>
      </c>
      <c r="F15" s="269" t="s">
        <v>3161</v>
      </c>
      <c r="G15" s="269" t="s">
        <v>2191</v>
      </c>
      <c r="H15" s="269" t="s">
        <v>3163</v>
      </c>
      <c r="I15" s="269" t="s">
        <v>3014</v>
      </c>
      <c r="J15" s="269" t="s">
        <v>3165</v>
      </c>
      <c r="K15" s="269" t="s">
        <v>195</v>
      </c>
      <c r="L15" s="269" t="s">
        <v>83</v>
      </c>
      <c r="M15" s="269" t="s">
        <v>2203</v>
      </c>
      <c r="N15" s="269" t="s">
        <v>479</v>
      </c>
      <c r="O15" s="269" t="s">
        <v>512</v>
      </c>
      <c r="P15" s="269" t="s">
        <v>29</v>
      </c>
      <c r="Q15" s="269" t="s">
        <v>37</v>
      </c>
      <c r="R15" s="269" t="s">
        <v>2207</v>
      </c>
      <c r="S15" s="252" t="s">
        <v>2938</v>
      </c>
      <c r="T15" s="5" t="s">
        <v>3168</v>
      </c>
      <c r="U15" s="252" t="s">
        <v>2940</v>
      </c>
      <c r="V15" s="252" t="s">
        <v>2208</v>
      </c>
      <c r="W15" s="252" t="s">
        <v>2338</v>
      </c>
      <c r="X15" s="252" t="s">
        <v>2338</v>
      </c>
      <c r="Y15" s="252" t="s">
        <v>2340</v>
      </c>
      <c r="Z15" s="5" t="s">
        <v>2942</v>
      </c>
      <c r="AA15" s="5" t="s">
        <v>2944</v>
      </c>
      <c r="AB15" s="5" t="s">
        <v>1229</v>
      </c>
      <c r="AC15" s="5" t="s">
        <v>1229</v>
      </c>
      <c r="AD15" s="5" t="s">
        <v>1229</v>
      </c>
      <c r="AE15" s="5" t="s">
        <v>1229</v>
      </c>
      <c r="AF15" s="5" t="s">
        <v>2947</v>
      </c>
      <c r="AG15" s="252" t="s">
        <v>2344</v>
      </c>
      <c r="AH15" s="5" t="s">
        <v>2948</v>
      </c>
      <c r="AI15" s="270" t="s">
        <v>2949</v>
      </c>
      <c r="AJ15" s="13"/>
      <c r="AK15" s="13"/>
    </row>
    <row r="16" ht="15.0" customHeight="1">
      <c r="A16" s="269" t="s">
        <v>2172</v>
      </c>
      <c r="B16" s="269" t="s">
        <v>2046</v>
      </c>
      <c r="C16" s="269" t="s">
        <v>3177</v>
      </c>
      <c r="D16" s="269" t="s">
        <v>802</v>
      </c>
      <c r="E16" s="269" t="str">
        <f t="array" ref="E16">IFERROR(INDEX(REF_CODES!$B$46:$B$50,MATCH($D16,REF_CODES!$C$46:$C$50,0)),"")</f>
        <v>NL-LOU</v>
      </c>
      <c r="F16" s="269" t="s">
        <v>3180</v>
      </c>
      <c r="G16" s="269" t="s">
        <v>2306</v>
      </c>
      <c r="H16" s="269" t="s">
        <v>3182</v>
      </c>
      <c r="I16" s="269" t="s">
        <v>3014</v>
      </c>
      <c r="J16" s="269" t="s">
        <v>3183</v>
      </c>
      <c r="K16" s="269" t="s">
        <v>195</v>
      </c>
      <c r="L16" s="269" t="s">
        <v>83</v>
      </c>
      <c r="M16" s="269" t="s">
        <v>2312</v>
      </c>
      <c r="N16" s="269" t="s">
        <v>479</v>
      </c>
      <c r="O16" s="269" t="s">
        <v>512</v>
      </c>
      <c r="P16" s="269" t="s">
        <v>64</v>
      </c>
      <c r="Q16" s="269" t="s">
        <v>37</v>
      </c>
      <c r="R16" s="269" t="s">
        <v>2207</v>
      </c>
      <c r="S16" s="252" t="s">
        <v>2938</v>
      </c>
      <c r="T16" s="5" t="s">
        <v>3186</v>
      </c>
      <c r="U16" s="252" t="s">
        <v>2940</v>
      </c>
      <c r="V16" s="252" t="s">
        <v>2208</v>
      </c>
      <c r="W16" s="252" t="s">
        <v>2338</v>
      </c>
      <c r="X16" s="252" t="s">
        <v>2338</v>
      </c>
      <c r="Y16" s="252" t="s">
        <v>2340</v>
      </c>
      <c r="Z16" s="5" t="s">
        <v>2942</v>
      </c>
      <c r="AA16" s="5" t="s">
        <v>2944</v>
      </c>
      <c r="AB16" s="5" t="s">
        <v>1229</v>
      </c>
      <c r="AC16" s="5" t="s">
        <v>1229</v>
      </c>
      <c r="AD16" s="5" t="s">
        <v>1229</v>
      </c>
      <c r="AE16" s="5" t="s">
        <v>1229</v>
      </c>
      <c r="AF16" s="5" t="s">
        <v>2947</v>
      </c>
      <c r="AG16" s="252" t="s">
        <v>2344</v>
      </c>
      <c r="AH16" s="5" t="s">
        <v>2948</v>
      </c>
      <c r="AI16" s="270" t="s">
        <v>2949</v>
      </c>
      <c r="AJ16" s="13"/>
      <c r="AK16" s="13"/>
    </row>
    <row r="17" ht="15.0" customHeight="1">
      <c r="A17" s="269" t="s">
        <v>2172</v>
      </c>
      <c r="B17" s="269" t="s">
        <v>2046</v>
      </c>
      <c r="C17" s="269" t="s">
        <v>3193</v>
      </c>
      <c r="D17" s="269" t="s">
        <v>841</v>
      </c>
      <c r="E17" s="269" t="str">
        <f t="array" ref="E17">IFERROR(INDEX(REF_CODES!$B$46:$B$50,MATCH($D17,REF_CODES!$C$46:$C$50,0)),"")</f>
        <v>NL-IMM</v>
      </c>
      <c r="F17" s="269" t="s">
        <v>3195</v>
      </c>
      <c r="G17" s="269" t="s">
        <v>2306</v>
      </c>
      <c r="H17" s="269" t="s">
        <v>3197</v>
      </c>
      <c r="I17" s="269" t="s">
        <v>3198</v>
      </c>
      <c r="J17" s="269" t="s">
        <v>3199</v>
      </c>
      <c r="K17" s="269" t="s">
        <v>202</v>
      </c>
      <c r="L17" s="269" t="s">
        <v>123</v>
      </c>
      <c r="M17" s="269" t="s">
        <v>2312</v>
      </c>
      <c r="N17" s="269" t="s">
        <v>487</v>
      </c>
      <c r="O17" s="269" t="s">
        <v>512</v>
      </c>
      <c r="P17" s="269" t="s">
        <v>75</v>
      </c>
      <c r="Q17" s="269" t="s">
        <v>37</v>
      </c>
      <c r="R17" s="269" t="s">
        <v>2207</v>
      </c>
      <c r="S17" s="252" t="s">
        <v>2938</v>
      </c>
      <c r="T17" s="5" t="s">
        <v>3201</v>
      </c>
      <c r="U17" s="252" t="s">
        <v>2940</v>
      </c>
      <c r="V17" s="252" t="s">
        <v>2208</v>
      </c>
      <c r="W17" s="252" t="s">
        <v>2338</v>
      </c>
      <c r="X17" s="252" t="s">
        <v>2338</v>
      </c>
      <c r="Y17" s="252" t="s">
        <v>2340</v>
      </c>
      <c r="Z17" s="5" t="s">
        <v>2942</v>
      </c>
      <c r="AA17" s="5" t="s">
        <v>2944</v>
      </c>
      <c r="AB17" s="5" t="s">
        <v>1229</v>
      </c>
      <c r="AC17" s="5" t="s">
        <v>1229</v>
      </c>
      <c r="AD17" s="5" t="s">
        <v>1229</v>
      </c>
      <c r="AE17" s="5" t="s">
        <v>1229</v>
      </c>
      <c r="AF17" s="5" t="s">
        <v>2947</v>
      </c>
      <c r="AG17" s="252" t="s">
        <v>2344</v>
      </c>
      <c r="AH17" s="5" t="s">
        <v>2948</v>
      </c>
      <c r="AI17" s="270" t="s">
        <v>2949</v>
      </c>
      <c r="AJ17" s="13"/>
      <c r="AK17" s="13"/>
    </row>
    <row r="18" ht="15.0" customHeight="1">
      <c r="A18" s="269" t="s">
        <v>2172</v>
      </c>
      <c r="B18" s="269" t="s">
        <v>2046</v>
      </c>
      <c r="C18" s="269" t="s">
        <v>3214</v>
      </c>
      <c r="D18" s="269" t="s">
        <v>792</v>
      </c>
      <c r="E18" s="269" t="str">
        <f t="array" ref="E18">IFERROR(INDEX(REF_CODES!$B$46:$B$50,MATCH($D18,REF_CODES!$C$46:$C$50,0)),"")</f>
        <v>NL-CLU</v>
      </c>
      <c r="F18" s="269" t="s">
        <v>3216</v>
      </c>
      <c r="G18" s="269" t="s">
        <v>2224</v>
      </c>
      <c r="H18" s="269" t="s">
        <v>3217</v>
      </c>
      <c r="I18" s="269" t="s">
        <v>3219</v>
      </c>
      <c r="J18" s="269" t="s">
        <v>3220</v>
      </c>
      <c r="K18" s="269" t="s">
        <v>195</v>
      </c>
      <c r="L18" s="269" t="s">
        <v>83</v>
      </c>
      <c r="M18" s="269" t="s">
        <v>2312</v>
      </c>
      <c r="N18" s="269" t="s">
        <v>479</v>
      </c>
      <c r="O18" s="269" t="s">
        <v>512</v>
      </c>
      <c r="P18" s="269" t="s">
        <v>91</v>
      </c>
      <c r="Q18" s="269" t="s">
        <v>31</v>
      </c>
      <c r="R18" s="269" t="s">
        <v>2207</v>
      </c>
      <c r="S18" s="252" t="s">
        <v>2938</v>
      </c>
      <c r="T18" s="5" t="s">
        <v>3223</v>
      </c>
      <c r="U18" s="252" t="s">
        <v>2940</v>
      </c>
      <c r="V18" s="252" t="s">
        <v>2208</v>
      </c>
      <c r="W18" s="252" t="s">
        <v>2338</v>
      </c>
      <c r="X18" s="252" t="s">
        <v>2338</v>
      </c>
      <c r="Y18" s="252" t="s">
        <v>2340</v>
      </c>
      <c r="Z18" s="5" t="s">
        <v>2942</v>
      </c>
      <c r="AA18" s="5" t="s">
        <v>2944</v>
      </c>
      <c r="AB18" s="5" t="s">
        <v>1229</v>
      </c>
      <c r="AC18" s="5" t="s">
        <v>1229</v>
      </c>
      <c r="AD18" s="5" t="s">
        <v>1229</v>
      </c>
      <c r="AE18" s="5" t="s">
        <v>1229</v>
      </c>
      <c r="AF18" s="5" t="s">
        <v>2947</v>
      </c>
      <c r="AG18" s="252" t="s">
        <v>2344</v>
      </c>
      <c r="AH18" s="5" t="s">
        <v>2948</v>
      </c>
      <c r="AI18" s="270" t="s">
        <v>2949</v>
      </c>
      <c r="AJ18" s="13"/>
      <c r="AK18" s="13"/>
    </row>
    <row r="19" ht="15.0" customHeight="1">
      <c r="A19" s="269" t="s">
        <v>2172</v>
      </c>
      <c r="B19" s="269" t="s">
        <v>2046</v>
      </c>
      <c r="C19" s="269" t="s">
        <v>3231</v>
      </c>
      <c r="D19" s="269" t="s">
        <v>830</v>
      </c>
      <c r="E19" s="269" t="str">
        <f t="array" ref="E19">IFERROR(INDEX(REF_CODES!$B$46:$B$50,MATCH($D19,REF_CODES!$C$46:$C$50,0)),"")</f>
        <v>NL-LIV</v>
      </c>
      <c r="F19" s="269" t="s">
        <v>3235</v>
      </c>
      <c r="G19" s="269" t="s">
        <v>3236</v>
      </c>
      <c r="H19" s="269" t="s">
        <v>3237</v>
      </c>
      <c r="I19" s="269" t="s">
        <v>3238</v>
      </c>
      <c r="J19" s="269" t="s">
        <v>3239</v>
      </c>
      <c r="K19" s="269" t="s">
        <v>195</v>
      </c>
      <c r="L19" s="269" t="s">
        <v>105</v>
      </c>
      <c r="M19" s="269" t="s">
        <v>2203</v>
      </c>
      <c r="N19" s="269" t="s">
        <v>479</v>
      </c>
      <c r="O19" s="269" t="s">
        <v>512</v>
      </c>
      <c r="P19" s="269" t="s">
        <v>91</v>
      </c>
      <c r="Q19" s="269" t="s">
        <v>31</v>
      </c>
      <c r="R19" s="269" t="s">
        <v>2207</v>
      </c>
      <c r="S19" s="252" t="s">
        <v>2938</v>
      </c>
      <c r="T19" s="5" t="s">
        <v>3242</v>
      </c>
      <c r="U19" s="252" t="s">
        <v>2940</v>
      </c>
      <c r="V19" s="252" t="s">
        <v>2208</v>
      </c>
      <c r="W19" s="252" t="s">
        <v>2338</v>
      </c>
      <c r="X19" s="252" t="s">
        <v>2338</v>
      </c>
      <c r="Y19" s="252" t="s">
        <v>2340</v>
      </c>
      <c r="Z19" s="5" t="s">
        <v>2942</v>
      </c>
      <c r="AA19" s="5" t="s">
        <v>2944</v>
      </c>
      <c r="AB19" s="5" t="s">
        <v>1229</v>
      </c>
      <c r="AC19" s="5" t="s">
        <v>1229</v>
      </c>
      <c r="AD19" s="5" t="s">
        <v>1229</v>
      </c>
      <c r="AE19" s="5" t="s">
        <v>1229</v>
      </c>
      <c r="AF19" s="5" t="s">
        <v>2947</v>
      </c>
      <c r="AG19" s="252" t="s">
        <v>2344</v>
      </c>
      <c r="AH19" s="5" t="s">
        <v>2948</v>
      </c>
      <c r="AI19" s="270" t="s">
        <v>2949</v>
      </c>
      <c r="AJ19" s="13"/>
      <c r="AK19" s="13"/>
    </row>
    <row r="20" ht="15.0" customHeight="1">
      <c r="A20" s="269" t="s">
        <v>2172</v>
      </c>
      <c r="B20" s="269" t="s">
        <v>2046</v>
      </c>
      <c r="C20" s="269" t="s">
        <v>3249</v>
      </c>
      <c r="D20" s="269" t="s">
        <v>830</v>
      </c>
      <c r="E20" s="269" t="str">
        <f t="array" ref="E20">IFERROR(INDEX(REF_CODES!$B$46:$B$50,MATCH($D20,REF_CODES!$C$46:$C$50,0)),"")</f>
        <v>NL-LIV</v>
      </c>
      <c r="F20" s="269" t="s">
        <v>3252</v>
      </c>
      <c r="G20" s="269" t="s">
        <v>2191</v>
      </c>
      <c r="H20" s="269" t="s">
        <v>3163</v>
      </c>
      <c r="I20" s="269" t="s">
        <v>3253</v>
      </c>
      <c r="J20" s="269" t="s">
        <v>3254</v>
      </c>
      <c r="K20" s="269" t="s">
        <v>195</v>
      </c>
      <c r="L20" s="269" t="s">
        <v>83</v>
      </c>
      <c r="M20" s="269" t="s">
        <v>2312</v>
      </c>
      <c r="N20" s="269" t="s">
        <v>473</v>
      </c>
      <c r="O20" s="269" t="s">
        <v>512</v>
      </c>
      <c r="P20" s="269" t="s">
        <v>91</v>
      </c>
      <c r="Q20" s="269" t="s">
        <v>31</v>
      </c>
      <c r="R20" s="269" t="s">
        <v>2207</v>
      </c>
      <c r="S20" s="252" t="s">
        <v>2938</v>
      </c>
      <c r="T20" s="5" t="s">
        <v>3258</v>
      </c>
      <c r="U20" s="252" t="s">
        <v>2940</v>
      </c>
      <c r="V20" s="252" t="s">
        <v>2208</v>
      </c>
      <c r="W20" s="252" t="s">
        <v>2338</v>
      </c>
      <c r="X20" s="252" t="s">
        <v>2338</v>
      </c>
      <c r="Y20" s="252" t="s">
        <v>2340</v>
      </c>
      <c r="Z20" s="5" t="s">
        <v>2942</v>
      </c>
      <c r="AA20" s="5" t="s">
        <v>2944</v>
      </c>
      <c r="AB20" s="5" t="s">
        <v>1229</v>
      </c>
      <c r="AC20" s="5" t="s">
        <v>1229</v>
      </c>
      <c r="AD20" s="5" t="s">
        <v>1229</v>
      </c>
      <c r="AE20" s="5" t="s">
        <v>1229</v>
      </c>
      <c r="AF20" s="5" t="s">
        <v>2947</v>
      </c>
      <c r="AG20" s="252" t="s">
        <v>2344</v>
      </c>
      <c r="AH20" s="5" t="s">
        <v>2948</v>
      </c>
      <c r="AI20" s="270" t="s">
        <v>2949</v>
      </c>
      <c r="AJ20" s="13"/>
      <c r="AK20" s="13"/>
    </row>
    <row r="21" ht="15.0" customHeight="1">
      <c r="A21" s="269" t="s">
        <v>2172</v>
      </c>
      <c r="B21" s="269" t="s">
        <v>2046</v>
      </c>
      <c r="C21" s="269" t="s">
        <v>3270</v>
      </c>
      <c r="D21" s="269" t="s">
        <v>792</v>
      </c>
      <c r="E21" s="269" t="str">
        <f t="array" ref="E21">IFERROR(INDEX(REF_CODES!$B$46:$B$50,MATCH($D21,REF_CODES!$C$46:$C$50,0)),"")</f>
        <v>NL-CLU</v>
      </c>
      <c r="F21" s="269" t="s">
        <v>3276</v>
      </c>
      <c r="G21" s="269" t="s">
        <v>2224</v>
      </c>
      <c r="H21" s="269" t="s">
        <v>3278</v>
      </c>
      <c r="I21" s="269" t="s">
        <v>2968</v>
      </c>
      <c r="J21" s="269" t="s">
        <v>3279</v>
      </c>
      <c r="K21" s="269" t="s">
        <v>202</v>
      </c>
      <c r="L21" s="269" t="s">
        <v>115</v>
      </c>
      <c r="M21" s="269" t="s">
        <v>2203</v>
      </c>
      <c r="N21" s="269" t="s">
        <v>487</v>
      </c>
      <c r="O21" s="269" t="s">
        <v>512</v>
      </c>
      <c r="P21" s="269" t="s">
        <v>99</v>
      </c>
      <c r="Q21" s="269" t="s">
        <v>31</v>
      </c>
      <c r="R21" s="269" t="s">
        <v>2207</v>
      </c>
      <c r="S21" s="252" t="s">
        <v>2938</v>
      </c>
      <c r="T21" s="5" t="s">
        <v>3280</v>
      </c>
      <c r="U21" s="252" t="s">
        <v>2940</v>
      </c>
      <c r="V21" s="252" t="s">
        <v>2208</v>
      </c>
      <c r="W21" s="252" t="s">
        <v>2338</v>
      </c>
      <c r="X21" s="252" t="s">
        <v>2338</v>
      </c>
      <c r="Y21" s="252" t="s">
        <v>2340</v>
      </c>
      <c r="Z21" s="5" t="s">
        <v>2942</v>
      </c>
      <c r="AA21" s="5" t="s">
        <v>2944</v>
      </c>
      <c r="AB21" s="5" t="s">
        <v>1229</v>
      </c>
      <c r="AC21" s="5" t="s">
        <v>1229</v>
      </c>
      <c r="AD21" s="5" t="s">
        <v>1229</v>
      </c>
      <c r="AE21" s="5" t="s">
        <v>1229</v>
      </c>
      <c r="AF21" s="5" t="s">
        <v>2947</v>
      </c>
      <c r="AG21" s="252" t="s">
        <v>2344</v>
      </c>
      <c r="AH21" s="5" t="s">
        <v>2948</v>
      </c>
      <c r="AI21" s="270" t="s">
        <v>2949</v>
      </c>
      <c r="AJ21" s="13"/>
      <c r="AK21" s="13"/>
    </row>
    <row r="22" ht="15.0" customHeight="1">
      <c r="A22" s="269" t="s">
        <v>2172</v>
      </c>
      <c r="B22" s="269" t="s">
        <v>2046</v>
      </c>
      <c r="C22" s="269" t="s">
        <v>3284</v>
      </c>
      <c r="D22" s="269" t="s">
        <v>830</v>
      </c>
      <c r="E22" s="269" t="str">
        <f t="array" ref="E22">IFERROR(INDEX(REF_CODES!$B$46:$B$50,MATCH($D22,REF_CODES!$C$46:$C$50,0)),"")</f>
        <v>NL-LIV</v>
      </c>
      <c r="F22" s="269" t="s">
        <v>3295</v>
      </c>
      <c r="G22" s="269" t="s">
        <v>2224</v>
      </c>
      <c r="H22" s="269" t="s">
        <v>3163</v>
      </c>
      <c r="I22" s="269" t="s">
        <v>2993</v>
      </c>
      <c r="J22" s="269" t="s">
        <v>3254</v>
      </c>
      <c r="K22" s="269" t="s">
        <v>195</v>
      </c>
      <c r="L22" s="269" t="s">
        <v>105</v>
      </c>
      <c r="M22" s="269" t="s">
        <v>2203</v>
      </c>
      <c r="N22" s="269" t="s">
        <v>473</v>
      </c>
      <c r="O22" s="269" t="s">
        <v>512</v>
      </c>
      <c r="P22" s="269" t="s">
        <v>29</v>
      </c>
      <c r="Q22" s="269" t="s">
        <v>31</v>
      </c>
      <c r="R22" s="269" t="s">
        <v>2207</v>
      </c>
      <c r="S22" s="252" t="s">
        <v>2938</v>
      </c>
      <c r="T22" s="5" t="s">
        <v>3298</v>
      </c>
      <c r="U22" s="252" t="s">
        <v>2940</v>
      </c>
      <c r="V22" s="252" t="s">
        <v>2208</v>
      </c>
      <c r="W22" s="252" t="s">
        <v>2338</v>
      </c>
      <c r="X22" s="252" t="s">
        <v>2338</v>
      </c>
      <c r="Y22" s="252" t="s">
        <v>2340</v>
      </c>
      <c r="Z22" s="5" t="s">
        <v>2942</v>
      </c>
      <c r="AA22" s="5" t="s">
        <v>2944</v>
      </c>
      <c r="AB22" s="5" t="s">
        <v>1229</v>
      </c>
      <c r="AC22" s="5" t="s">
        <v>1229</v>
      </c>
      <c r="AD22" s="5" t="s">
        <v>1229</v>
      </c>
      <c r="AE22" s="5" t="s">
        <v>1229</v>
      </c>
      <c r="AF22" s="5" t="s">
        <v>2947</v>
      </c>
      <c r="AG22" s="252" t="s">
        <v>2344</v>
      </c>
      <c r="AH22" s="5" t="s">
        <v>2948</v>
      </c>
      <c r="AI22" s="270" t="s">
        <v>2949</v>
      </c>
      <c r="AJ22" s="13"/>
      <c r="AK22" s="13"/>
    </row>
    <row r="23" ht="15.0" customHeight="1">
      <c r="A23" s="269" t="s">
        <v>2172</v>
      </c>
      <c r="B23" s="269" t="s">
        <v>2046</v>
      </c>
      <c r="C23" s="269" t="s">
        <v>3302</v>
      </c>
      <c r="D23" s="269" t="s">
        <v>802</v>
      </c>
      <c r="E23" s="269" t="str">
        <f t="array" ref="E23">IFERROR(INDEX(REF_CODES!$B$46:$B$50,MATCH($D23,REF_CODES!$C$46:$C$50,0)),"")</f>
        <v>NL-LOU</v>
      </c>
      <c r="F23" s="269" t="s">
        <v>3310</v>
      </c>
      <c r="G23" s="269" t="s">
        <v>2191</v>
      </c>
      <c r="H23" s="269" t="s">
        <v>3059</v>
      </c>
      <c r="I23" s="269" t="s">
        <v>3014</v>
      </c>
      <c r="J23" s="269" t="s">
        <v>3311</v>
      </c>
      <c r="K23" s="269" t="s">
        <v>195</v>
      </c>
      <c r="L23" s="269" t="s">
        <v>83</v>
      </c>
      <c r="M23" s="269" t="s">
        <v>2312</v>
      </c>
      <c r="N23" s="269" t="s">
        <v>479</v>
      </c>
      <c r="O23" s="269" t="s">
        <v>512</v>
      </c>
      <c r="P23" s="269" t="s">
        <v>29</v>
      </c>
      <c r="Q23" s="269" t="s">
        <v>43</v>
      </c>
      <c r="R23" s="269" t="s">
        <v>2207</v>
      </c>
      <c r="S23" s="252" t="s">
        <v>2938</v>
      </c>
      <c r="T23" s="5" t="s">
        <v>3314</v>
      </c>
      <c r="U23" s="252" t="s">
        <v>2940</v>
      </c>
      <c r="V23" s="252" t="s">
        <v>2208</v>
      </c>
      <c r="W23" s="252" t="s">
        <v>2338</v>
      </c>
      <c r="X23" s="252" t="s">
        <v>2338</v>
      </c>
      <c r="Y23" s="252" t="s">
        <v>2340</v>
      </c>
      <c r="Z23" s="5" t="s">
        <v>2942</v>
      </c>
      <c r="AA23" s="5" t="s">
        <v>2944</v>
      </c>
      <c r="AB23" s="5" t="s">
        <v>1229</v>
      </c>
      <c r="AC23" s="5" t="s">
        <v>1229</v>
      </c>
      <c r="AD23" s="5" t="s">
        <v>1229</v>
      </c>
      <c r="AE23" s="5" t="s">
        <v>1229</v>
      </c>
      <c r="AF23" s="5" t="s">
        <v>2947</v>
      </c>
      <c r="AG23" s="252" t="s">
        <v>2344</v>
      </c>
      <c r="AH23" s="5" t="s">
        <v>2948</v>
      </c>
      <c r="AI23" s="270" t="s">
        <v>2949</v>
      </c>
      <c r="AJ23" s="13"/>
      <c r="AK23" s="13"/>
    </row>
    <row r="24" ht="15.0" customHeight="1">
      <c r="A24" s="269" t="s">
        <v>2172</v>
      </c>
      <c r="B24" s="269" t="s">
        <v>2046</v>
      </c>
      <c r="C24" s="269" t="s">
        <v>3319</v>
      </c>
      <c r="D24" s="269" t="s">
        <v>802</v>
      </c>
      <c r="E24" s="269" t="str">
        <f t="array" ref="E24">IFERROR(INDEX(REF_CODES!$B$46:$B$50,MATCH($D24,REF_CODES!$C$46:$C$50,0)),"")</f>
        <v>NL-LOU</v>
      </c>
      <c r="F24" s="269" t="s">
        <v>3326</v>
      </c>
      <c r="G24" s="269" t="s">
        <v>2306</v>
      </c>
      <c r="H24" s="269" t="s">
        <v>3059</v>
      </c>
      <c r="I24" s="269" t="s">
        <v>3014</v>
      </c>
      <c r="J24" s="269" t="s">
        <v>3311</v>
      </c>
      <c r="K24" s="269" t="s">
        <v>195</v>
      </c>
      <c r="L24" s="269" t="s">
        <v>83</v>
      </c>
      <c r="M24" s="269"/>
      <c r="N24" s="269" t="s">
        <v>473</v>
      </c>
      <c r="O24" s="269" t="s">
        <v>503</v>
      </c>
      <c r="P24" s="269" t="s">
        <v>75</v>
      </c>
      <c r="Q24" s="269" t="s">
        <v>31</v>
      </c>
      <c r="R24" s="269" t="s">
        <v>2207</v>
      </c>
      <c r="S24" s="252" t="s">
        <v>2938</v>
      </c>
      <c r="T24" s="252" t="s">
        <v>2208</v>
      </c>
      <c r="U24" s="252" t="s">
        <v>2940</v>
      </c>
      <c r="V24" s="252" t="s">
        <v>2208</v>
      </c>
      <c r="W24" s="252" t="s">
        <v>2338</v>
      </c>
      <c r="X24" s="252" t="s">
        <v>2338</v>
      </c>
      <c r="Y24" s="252" t="s">
        <v>2340</v>
      </c>
      <c r="Z24" s="5" t="s">
        <v>2942</v>
      </c>
      <c r="AA24" s="5" t="s">
        <v>2944</v>
      </c>
      <c r="AB24" s="5" t="s">
        <v>1229</v>
      </c>
      <c r="AC24" s="5" t="s">
        <v>1229</v>
      </c>
      <c r="AD24" s="5" t="s">
        <v>1229</v>
      </c>
      <c r="AE24" s="5" t="s">
        <v>1229</v>
      </c>
      <c r="AF24" s="5" t="s">
        <v>2947</v>
      </c>
      <c r="AG24" s="252" t="s">
        <v>2344</v>
      </c>
      <c r="AH24" s="5" t="s">
        <v>2948</v>
      </c>
      <c r="AI24" s="270" t="s">
        <v>2949</v>
      </c>
      <c r="AJ24" s="13"/>
      <c r="AK24" s="13"/>
    </row>
    <row r="25" ht="15.0" customHeight="1">
      <c r="A25" s="269" t="s">
        <v>2172</v>
      </c>
      <c r="B25" s="269" t="s">
        <v>2046</v>
      </c>
      <c r="C25" s="269" t="s">
        <v>3337</v>
      </c>
      <c r="D25" s="269" t="s">
        <v>802</v>
      </c>
      <c r="E25" s="269" t="str">
        <f t="array" ref="E25">IFERROR(INDEX(REF_CODES!$B$46:$B$50,MATCH($D25,REF_CODES!$C$46:$C$50,0)),"")</f>
        <v>NL-LOU</v>
      </c>
      <c r="F25" s="269" t="s">
        <v>3342</v>
      </c>
      <c r="G25" s="269" t="s">
        <v>2224</v>
      </c>
      <c r="H25" s="269" t="s">
        <v>3278</v>
      </c>
      <c r="I25" s="269" t="s">
        <v>3344</v>
      </c>
      <c r="J25" s="269" t="s">
        <v>3345</v>
      </c>
      <c r="K25" s="269" t="s">
        <v>202</v>
      </c>
      <c r="L25" s="269" t="s">
        <v>115</v>
      </c>
      <c r="M25" s="269" t="s">
        <v>2203</v>
      </c>
      <c r="N25" s="269" t="s">
        <v>487</v>
      </c>
      <c r="O25" s="269"/>
      <c r="P25" s="269" t="s">
        <v>99</v>
      </c>
      <c r="Q25" s="269" t="s">
        <v>3131</v>
      </c>
      <c r="R25" s="269" t="s">
        <v>2207</v>
      </c>
      <c r="S25" s="252" t="s">
        <v>2938</v>
      </c>
      <c r="T25" s="5" t="s">
        <v>3347</v>
      </c>
      <c r="U25" s="252" t="s">
        <v>2940</v>
      </c>
      <c r="V25" s="252" t="s">
        <v>2208</v>
      </c>
      <c r="W25" s="252" t="s">
        <v>2338</v>
      </c>
      <c r="X25" s="252" t="s">
        <v>2338</v>
      </c>
      <c r="Y25" s="252" t="s">
        <v>2340</v>
      </c>
      <c r="Z25" s="5" t="s">
        <v>2942</v>
      </c>
      <c r="AA25" s="5" t="s">
        <v>2944</v>
      </c>
      <c r="AB25" s="5" t="s">
        <v>1229</v>
      </c>
      <c r="AC25" s="5" t="s">
        <v>1229</v>
      </c>
      <c r="AD25" s="5" t="s">
        <v>1229</v>
      </c>
      <c r="AE25" s="5" t="s">
        <v>1229</v>
      </c>
      <c r="AF25" s="5" t="s">
        <v>2947</v>
      </c>
      <c r="AG25" s="252" t="s">
        <v>2344</v>
      </c>
      <c r="AH25" s="5" t="s">
        <v>2948</v>
      </c>
      <c r="AI25" s="270" t="s">
        <v>2949</v>
      </c>
      <c r="AJ25" s="13"/>
      <c r="AK25" s="13"/>
    </row>
    <row r="26" ht="15.0" customHeight="1">
      <c r="A26" s="269" t="s">
        <v>2172</v>
      </c>
      <c r="B26" s="269" t="s">
        <v>2046</v>
      </c>
      <c r="C26" s="269" t="s">
        <v>3355</v>
      </c>
      <c r="D26" s="269" t="s">
        <v>802</v>
      </c>
      <c r="E26" s="269" t="str">
        <f t="array" ref="E26">IFERROR(INDEX(REF_CODES!$B$46:$B$50,MATCH($D26,REF_CODES!$C$46:$C$50,0)),"")</f>
        <v>NL-LOU</v>
      </c>
      <c r="F26" s="269" t="s">
        <v>3357</v>
      </c>
      <c r="G26" s="269" t="s">
        <v>2224</v>
      </c>
      <c r="H26" s="269" t="s">
        <v>3358</v>
      </c>
      <c r="I26" s="269" t="s">
        <v>3359</v>
      </c>
      <c r="J26" s="269" t="s">
        <v>3165</v>
      </c>
      <c r="K26" s="269" t="s">
        <v>195</v>
      </c>
      <c r="L26" s="269" t="s">
        <v>83</v>
      </c>
      <c r="M26" s="269"/>
      <c r="N26" s="269" t="s">
        <v>473</v>
      </c>
      <c r="O26" s="269" t="s">
        <v>503</v>
      </c>
      <c r="P26" s="269" t="s">
        <v>29</v>
      </c>
      <c r="Q26" s="269" t="s">
        <v>31</v>
      </c>
      <c r="R26" s="269" t="s">
        <v>2207</v>
      </c>
      <c r="S26" s="252" t="s">
        <v>2938</v>
      </c>
      <c r="T26" s="5" t="s">
        <v>3280</v>
      </c>
      <c r="U26" s="252" t="s">
        <v>2940</v>
      </c>
      <c r="V26" s="252" t="s">
        <v>2208</v>
      </c>
      <c r="W26" s="252" t="s">
        <v>2338</v>
      </c>
      <c r="X26" s="252" t="s">
        <v>2338</v>
      </c>
      <c r="Y26" s="252" t="s">
        <v>2340</v>
      </c>
      <c r="Z26" s="5" t="s">
        <v>2942</v>
      </c>
      <c r="AA26" s="5" t="s">
        <v>2944</v>
      </c>
      <c r="AB26" s="5" t="s">
        <v>1229</v>
      </c>
      <c r="AC26" s="5" t="s">
        <v>1229</v>
      </c>
      <c r="AD26" s="5" t="s">
        <v>1229</v>
      </c>
      <c r="AE26" s="5" t="s">
        <v>1229</v>
      </c>
      <c r="AF26" s="5" t="s">
        <v>2947</v>
      </c>
      <c r="AG26" s="252" t="s">
        <v>2344</v>
      </c>
      <c r="AH26" s="5" t="s">
        <v>2948</v>
      </c>
      <c r="AI26" s="270" t="s">
        <v>2949</v>
      </c>
      <c r="AJ26" s="13"/>
      <c r="AK26" s="13"/>
    </row>
    <row r="27" ht="15.0" customHeight="1">
      <c r="A27" s="269" t="s">
        <v>2172</v>
      </c>
      <c r="B27" s="269" t="s">
        <v>2046</v>
      </c>
      <c r="C27" s="269" t="s">
        <v>3374</v>
      </c>
      <c r="D27" s="269" t="s">
        <v>802</v>
      </c>
      <c r="E27" s="269" t="str">
        <f t="array" ref="E27">IFERROR(INDEX(REF_CODES!$B$46:$B$50,MATCH($D27,REF_CODES!$C$46:$C$50,0)),"")</f>
        <v>NL-LOU</v>
      </c>
      <c r="F27" s="269" t="s">
        <v>3378</v>
      </c>
      <c r="G27" s="269" t="s">
        <v>3379</v>
      </c>
      <c r="H27" s="269" t="s">
        <v>3081</v>
      </c>
      <c r="I27" s="269" t="s">
        <v>3381</v>
      </c>
      <c r="J27" s="269" t="s">
        <v>2405</v>
      </c>
      <c r="K27" s="269" t="s">
        <v>202</v>
      </c>
      <c r="L27" s="269" t="s">
        <v>115</v>
      </c>
      <c r="M27" s="269" t="s">
        <v>2203</v>
      </c>
      <c r="N27" s="269" t="s">
        <v>487</v>
      </c>
      <c r="O27" s="269" t="s">
        <v>512</v>
      </c>
      <c r="P27" s="269" t="s">
        <v>99</v>
      </c>
      <c r="Q27" s="269" t="s">
        <v>37</v>
      </c>
      <c r="R27" s="269" t="s">
        <v>2207</v>
      </c>
      <c r="S27" s="252" t="s">
        <v>2938</v>
      </c>
      <c r="T27" s="5" t="s">
        <v>2467</v>
      </c>
      <c r="U27" s="252" t="s">
        <v>2940</v>
      </c>
      <c r="V27" s="252" t="s">
        <v>2208</v>
      </c>
      <c r="W27" s="252" t="s">
        <v>2338</v>
      </c>
      <c r="X27" s="252" t="s">
        <v>2338</v>
      </c>
      <c r="Y27" s="252" t="s">
        <v>2340</v>
      </c>
      <c r="Z27" s="5" t="s">
        <v>2942</v>
      </c>
      <c r="AA27" s="5" t="s">
        <v>2944</v>
      </c>
      <c r="AB27" s="5" t="s">
        <v>1229</v>
      </c>
      <c r="AC27" s="5" t="s">
        <v>1229</v>
      </c>
      <c r="AD27" s="5" t="s">
        <v>1229</v>
      </c>
      <c r="AE27" s="5" t="s">
        <v>1229</v>
      </c>
      <c r="AF27" s="5" t="s">
        <v>2947</v>
      </c>
      <c r="AG27" s="252" t="s">
        <v>2344</v>
      </c>
      <c r="AH27" s="5" t="s">
        <v>2948</v>
      </c>
      <c r="AI27" s="270" t="s">
        <v>2949</v>
      </c>
      <c r="AJ27" s="13"/>
      <c r="AK27" s="13"/>
    </row>
    <row r="28" ht="15.0" customHeight="1">
      <c r="A28" s="269" t="s">
        <v>2172</v>
      </c>
      <c r="B28" s="269" t="s">
        <v>2046</v>
      </c>
      <c r="C28" s="269" t="s">
        <v>3394</v>
      </c>
      <c r="D28" s="269" t="s">
        <v>802</v>
      </c>
      <c r="E28" s="269" t="str">
        <f t="array" ref="E28">IFERROR(INDEX(REF_CODES!$B$46:$B$50,MATCH($D28,REF_CODES!$C$46:$C$50,0)),"")</f>
        <v>NL-LOU</v>
      </c>
      <c r="F28" s="269" t="s">
        <v>3397</v>
      </c>
      <c r="G28" s="269" t="s">
        <v>2224</v>
      </c>
      <c r="H28" s="269" t="s">
        <v>3399</v>
      </c>
      <c r="I28" s="269" t="s">
        <v>3381</v>
      </c>
      <c r="J28" s="269" t="s">
        <v>3400</v>
      </c>
      <c r="K28" s="269" t="s">
        <v>202</v>
      </c>
      <c r="L28" s="269" t="s">
        <v>115</v>
      </c>
      <c r="M28" s="269" t="s">
        <v>2312</v>
      </c>
      <c r="N28" s="269" t="s">
        <v>487</v>
      </c>
      <c r="O28" s="269" t="s">
        <v>512</v>
      </c>
      <c r="P28" s="269" t="s">
        <v>99</v>
      </c>
      <c r="Q28" s="269" t="s">
        <v>60</v>
      </c>
      <c r="R28" s="269" t="s">
        <v>2207</v>
      </c>
      <c r="S28" s="252" t="s">
        <v>2938</v>
      </c>
      <c r="T28" s="5" t="s">
        <v>2904</v>
      </c>
      <c r="U28" s="252" t="s">
        <v>2940</v>
      </c>
      <c r="V28" s="252" t="s">
        <v>2208</v>
      </c>
      <c r="W28" s="252" t="s">
        <v>2338</v>
      </c>
      <c r="X28" s="252" t="s">
        <v>2338</v>
      </c>
      <c r="Y28" s="252" t="s">
        <v>2340</v>
      </c>
      <c r="Z28" s="5" t="s">
        <v>2942</v>
      </c>
      <c r="AA28" s="5" t="s">
        <v>2944</v>
      </c>
      <c r="AB28" s="5" t="s">
        <v>1229</v>
      </c>
      <c r="AC28" s="5" t="s">
        <v>1229</v>
      </c>
      <c r="AD28" s="5" t="s">
        <v>1229</v>
      </c>
      <c r="AE28" s="5" t="s">
        <v>1229</v>
      </c>
      <c r="AF28" s="5" t="s">
        <v>2947</v>
      </c>
      <c r="AG28" s="252" t="s">
        <v>2344</v>
      </c>
      <c r="AH28" s="5" t="s">
        <v>2948</v>
      </c>
      <c r="AI28" s="270" t="s">
        <v>2949</v>
      </c>
      <c r="AJ28" s="13"/>
      <c r="AK28" s="13"/>
    </row>
    <row r="29" ht="15.0" customHeight="1">
      <c r="A29" s="269" t="s">
        <v>2172</v>
      </c>
      <c r="B29" s="269" t="s">
        <v>2046</v>
      </c>
      <c r="C29" s="269" t="s">
        <v>3410</v>
      </c>
      <c r="D29" s="269" t="s">
        <v>802</v>
      </c>
      <c r="E29" s="269" t="str">
        <f t="array" ref="E29">IFERROR(INDEX(REF_CODES!$B$46:$B$50,MATCH($D29,REF_CODES!$C$46:$C$50,0)),"")</f>
        <v>NL-LOU</v>
      </c>
      <c r="F29" s="269" t="s">
        <v>3416</v>
      </c>
      <c r="G29" s="269" t="s">
        <v>2224</v>
      </c>
      <c r="H29" s="269" t="s">
        <v>3417</v>
      </c>
      <c r="I29" s="269" t="s">
        <v>3381</v>
      </c>
      <c r="J29" s="269" t="s">
        <v>3419</v>
      </c>
      <c r="K29" s="269" t="s">
        <v>202</v>
      </c>
      <c r="L29" s="269" t="s">
        <v>115</v>
      </c>
      <c r="M29" s="269" t="s">
        <v>2312</v>
      </c>
      <c r="N29" s="269" t="s">
        <v>487</v>
      </c>
      <c r="O29" s="269" t="s">
        <v>512</v>
      </c>
      <c r="P29" s="269" t="s">
        <v>99</v>
      </c>
      <c r="Q29" s="269" t="s">
        <v>37</v>
      </c>
      <c r="R29" s="269" t="s">
        <v>2207</v>
      </c>
      <c r="S29" s="252" t="s">
        <v>2938</v>
      </c>
      <c r="T29" s="5" t="s">
        <v>2705</v>
      </c>
      <c r="U29" s="252" t="s">
        <v>2940</v>
      </c>
      <c r="V29" s="252" t="s">
        <v>2208</v>
      </c>
      <c r="W29" s="252" t="s">
        <v>2338</v>
      </c>
      <c r="X29" s="252" t="s">
        <v>2338</v>
      </c>
      <c r="Y29" s="252" t="s">
        <v>2340</v>
      </c>
      <c r="Z29" s="5" t="s">
        <v>2942</v>
      </c>
      <c r="AA29" s="5" t="s">
        <v>2944</v>
      </c>
      <c r="AB29" s="5" t="s">
        <v>1229</v>
      </c>
      <c r="AC29" s="5" t="s">
        <v>1229</v>
      </c>
      <c r="AD29" s="5" t="s">
        <v>1229</v>
      </c>
      <c r="AE29" s="5" t="s">
        <v>1229</v>
      </c>
      <c r="AF29" s="5" t="s">
        <v>2947</v>
      </c>
      <c r="AG29" s="252" t="s">
        <v>2344</v>
      </c>
      <c r="AH29" s="5" t="s">
        <v>2948</v>
      </c>
      <c r="AI29" s="270" t="s">
        <v>2949</v>
      </c>
      <c r="AJ29" s="13"/>
      <c r="AK29" s="13"/>
    </row>
    <row r="30" ht="15.0" customHeight="1">
      <c r="A30" s="269" t="s">
        <v>2172</v>
      </c>
      <c r="B30" s="269" t="s">
        <v>2046</v>
      </c>
      <c r="C30" s="269" t="s">
        <v>3431</v>
      </c>
      <c r="D30" s="269" t="s">
        <v>830</v>
      </c>
      <c r="E30" s="269" t="str">
        <f t="array" ref="E30">IFERROR(INDEX(REF_CODES!$B$46:$B$50,MATCH($D30,REF_CODES!$C$46:$C$50,0)),"")</f>
        <v>NL-LIV</v>
      </c>
      <c r="F30" s="269" t="s">
        <v>3435</v>
      </c>
      <c r="G30" s="269" t="s">
        <v>2306</v>
      </c>
      <c r="H30" s="269" t="s">
        <v>3163</v>
      </c>
      <c r="I30" s="269" t="s">
        <v>3436</v>
      </c>
      <c r="J30" s="269" t="s">
        <v>3254</v>
      </c>
      <c r="K30" s="269" t="s">
        <v>195</v>
      </c>
      <c r="L30" s="269" t="s">
        <v>83</v>
      </c>
      <c r="M30" s="269" t="s">
        <v>2312</v>
      </c>
      <c r="N30" s="269" t="s">
        <v>479</v>
      </c>
      <c r="O30" s="269" t="s">
        <v>512</v>
      </c>
      <c r="P30" s="269" t="s">
        <v>91</v>
      </c>
      <c r="Q30" s="269" t="s">
        <v>31</v>
      </c>
      <c r="R30" s="269" t="s">
        <v>2207</v>
      </c>
      <c r="S30" s="252" t="s">
        <v>2938</v>
      </c>
      <c r="T30" s="5" t="s">
        <v>3441</v>
      </c>
      <c r="U30" s="252" t="s">
        <v>2940</v>
      </c>
      <c r="V30" s="252" t="s">
        <v>2208</v>
      </c>
      <c r="W30" s="252" t="s">
        <v>2338</v>
      </c>
      <c r="X30" s="252" t="s">
        <v>2338</v>
      </c>
      <c r="Y30" s="252" t="s">
        <v>2340</v>
      </c>
      <c r="Z30" s="5" t="s">
        <v>2942</v>
      </c>
      <c r="AA30" s="5" t="s">
        <v>2944</v>
      </c>
      <c r="AB30" s="5" t="s">
        <v>1229</v>
      </c>
      <c r="AC30" s="5" t="s">
        <v>1229</v>
      </c>
      <c r="AD30" s="5" t="s">
        <v>1229</v>
      </c>
      <c r="AE30" s="5" t="s">
        <v>1229</v>
      </c>
      <c r="AF30" s="5" t="s">
        <v>2947</v>
      </c>
      <c r="AG30" s="252" t="s">
        <v>2344</v>
      </c>
      <c r="AH30" s="5" t="s">
        <v>2948</v>
      </c>
      <c r="AI30" s="270" t="s">
        <v>2949</v>
      </c>
      <c r="AJ30" s="13"/>
      <c r="AK30" s="13"/>
    </row>
    <row r="31" ht="15.0" customHeight="1">
      <c r="A31" s="269" t="s">
        <v>2172</v>
      </c>
      <c r="B31" s="269" t="s">
        <v>2046</v>
      </c>
      <c r="C31" s="269" t="s">
        <v>3447</v>
      </c>
      <c r="D31" s="269" t="s">
        <v>830</v>
      </c>
      <c r="E31" s="269" t="str">
        <f t="array" ref="E31">IFERROR(INDEX(REF_CODES!$B$46:$B$50,MATCH($D31,REF_CODES!$C$46:$C$50,0)),"")</f>
        <v>NL-LIV</v>
      </c>
      <c r="F31" s="269" t="s">
        <v>3452</v>
      </c>
      <c r="G31" s="269" t="s">
        <v>2306</v>
      </c>
      <c r="H31" s="269" t="s">
        <v>3036</v>
      </c>
      <c r="I31" s="269" t="s">
        <v>3454</v>
      </c>
      <c r="J31" s="269" t="s">
        <v>3455</v>
      </c>
      <c r="K31" s="269" t="s">
        <v>195</v>
      </c>
      <c r="L31" s="269" t="s">
        <v>115</v>
      </c>
      <c r="M31" s="269" t="s">
        <v>2312</v>
      </c>
      <c r="N31" s="269" t="s">
        <v>479</v>
      </c>
      <c r="O31" s="269" t="s">
        <v>512</v>
      </c>
      <c r="P31" s="269" t="s">
        <v>99</v>
      </c>
      <c r="Q31" s="269" t="s">
        <v>31</v>
      </c>
      <c r="R31" s="269" t="s">
        <v>2207</v>
      </c>
      <c r="S31" s="252" t="s">
        <v>2938</v>
      </c>
      <c r="T31" s="5" t="s">
        <v>3441</v>
      </c>
      <c r="U31" s="252" t="s">
        <v>2940</v>
      </c>
      <c r="V31" s="252" t="s">
        <v>2208</v>
      </c>
      <c r="W31" s="252" t="s">
        <v>2338</v>
      </c>
      <c r="X31" s="252" t="s">
        <v>2338</v>
      </c>
      <c r="Y31" s="252" t="s">
        <v>2340</v>
      </c>
      <c r="Z31" s="5" t="s">
        <v>2942</v>
      </c>
      <c r="AA31" s="5" t="s">
        <v>2944</v>
      </c>
      <c r="AB31" s="5" t="s">
        <v>1229</v>
      </c>
      <c r="AC31" s="5" t="s">
        <v>1229</v>
      </c>
      <c r="AD31" s="5" t="s">
        <v>1229</v>
      </c>
      <c r="AE31" s="5" t="s">
        <v>1229</v>
      </c>
      <c r="AF31" s="5" t="s">
        <v>2947</v>
      </c>
      <c r="AG31" s="252" t="s">
        <v>2344</v>
      </c>
      <c r="AH31" s="5" t="s">
        <v>2948</v>
      </c>
      <c r="AI31" s="270" t="s">
        <v>2949</v>
      </c>
      <c r="AJ31" s="13"/>
      <c r="AK31" s="13"/>
    </row>
    <row r="32" ht="15.0" customHeight="1">
      <c r="A32" s="269" t="s">
        <v>2172</v>
      </c>
      <c r="B32" s="269" t="s">
        <v>2046</v>
      </c>
      <c r="C32" s="269" t="s">
        <v>3465</v>
      </c>
      <c r="D32" s="269" t="s">
        <v>802</v>
      </c>
      <c r="E32" s="269" t="str">
        <f t="array" ref="E32">IFERROR(INDEX(REF_CODES!$B$46:$B$50,MATCH($D32,REF_CODES!$C$46:$C$50,0)),"")</f>
        <v>NL-LOU</v>
      </c>
      <c r="F32" s="269" t="s">
        <v>3469</v>
      </c>
      <c r="G32" s="269" t="s">
        <v>2191</v>
      </c>
      <c r="H32" s="269" t="s">
        <v>3059</v>
      </c>
      <c r="I32" s="269" t="s">
        <v>3060</v>
      </c>
      <c r="J32" s="269" t="s">
        <v>3061</v>
      </c>
      <c r="K32" s="269" t="s">
        <v>195</v>
      </c>
      <c r="L32" s="269" t="s">
        <v>83</v>
      </c>
      <c r="M32" s="269" t="s">
        <v>2203</v>
      </c>
      <c r="N32" s="269" t="s">
        <v>479</v>
      </c>
      <c r="O32" s="269" t="s">
        <v>512</v>
      </c>
      <c r="P32" s="269" t="s">
        <v>29</v>
      </c>
      <c r="Q32" s="269" t="s">
        <v>31</v>
      </c>
      <c r="R32" s="269" t="s">
        <v>2207</v>
      </c>
      <c r="S32" s="252" t="s">
        <v>2938</v>
      </c>
      <c r="T32" s="5" t="s">
        <v>3474</v>
      </c>
      <c r="U32" s="252" t="s">
        <v>2940</v>
      </c>
      <c r="V32" s="252" t="s">
        <v>2208</v>
      </c>
      <c r="W32" s="252" t="s">
        <v>2338</v>
      </c>
      <c r="X32" s="252" t="s">
        <v>2338</v>
      </c>
      <c r="Y32" s="252" t="s">
        <v>2340</v>
      </c>
      <c r="Z32" s="5" t="s">
        <v>2942</v>
      </c>
      <c r="AA32" s="5" t="s">
        <v>2944</v>
      </c>
      <c r="AB32" s="5" t="s">
        <v>1229</v>
      </c>
      <c r="AC32" s="5" t="s">
        <v>1229</v>
      </c>
      <c r="AD32" s="5" t="s">
        <v>1229</v>
      </c>
      <c r="AE32" s="5" t="s">
        <v>1229</v>
      </c>
      <c r="AF32" s="5" t="s">
        <v>2947</v>
      </c>
      <c r="AG32" s="252" t="s">
        <v>2344</v>
      </c>
      <c r="AH32" s="5" t="s">
        <v>2948</v>
      </c>
      <c r="AI32" s="270" t="s">
        <v>2949</v>
      </c>
      <c r="AJ32" s="13"/>
      <c r="AK32" s="13"/>
    </row>
    <row r="33" ht="15.0" customHeight="1">
      <c r="A33" s="269" t="s">
        <v>2172</v>
      </c>
      <c r="B33" s="269" t="s">
        <v>2046</v>
      </c>
      <c r="C33" s="269" t="s">
        <v>3484</v>
      </c>
      <c r="D33" s="269" t="s">
        <v>792</v>
      </c>
      <c r="E33" s="269" t="str">
        <f t="array" ref="E33">IFERROR(INDEX(REF_CODES!$B$46:$B$50,MATCH($D33,REF_CODES!$C$46:$C$50,0)),"")</f>
        <v>NL-CLU</v>
      </c>
      <c r="F33" s="269" t="s">
        <v>3488</v>
      </c>
      <c r="G33" s="269" t="s">
        <v>2191</v>
      </c>
      <c r="H33" s="269" t="s">
        <v>3490</v>
      </c>
      <c r="I33" s="269" t="s">
        <v>2935</v>
      </c>
      <c r="J33" s="269" t="s">
        <v>3491</v>
      </c>
      <c r="K33" s="269" t="s">
        <v>195</v>
      </c>
      <c r="L33" s="269" t="s">
        <v>105</v>
      </c>
      <c r="M33" s="269" t="s">
        <v>2312</v>
      </c>
      <c r="N33" s="269" t="s">
        <v>479</v>
      </c>
      <c r="O33" s="269" t="s">
        <v>512</v>
      </c>
      <c r="P33" s="269" t="s">
        <v>91</v>
      </c>
      <c r="Q33" s="269" t="s">
        <v>31</v>
      </c>
      <c r="R33" s="269" t="s">
        <v>2207</v>
      </c>
      <c r="S33" s="252" t="s">
        <v>2938</v>
      </c>
      <c r="T33" s="5" t="s">
        <v>3496</v>
      </c>
      <c r="U33" s="252" t="s">
        <v>2940</v>
      </c>
      <c r="V33" s="252" t="s">
        <v>2208</v>
      </c>
      <c r="W33" s="252" t="s">
        <v>2338</v>
      </c>
      <c r="X33" s="252" t="s">
        <v>2338</v>
      </c>
      <c r="Y33" s="252" t="s">
        <v>2340</v>
      </c>
      <c r="Z33" s="5" t="s">
        <v>2942</v>
      </c>
      <c r="AA33" s="5" t="s">
        <v>2944</v>
      </c>
      <c r="AB33" s="5" t="s">
        <v>1229</v>
      </c>
      <c r="AC33" s="5" t="s">
        <v>1229</v>
      </c>
      <c r="AD33" s="5" t="s">
        <v>1229</v>
      </c>
      <c r="AE33" s="5" t="s">
        <v>1229</v>
      </c>
      <c r="AF33" s="5" t="s">
        <v>2947</v>
      </c>
      <c r="AG33" s="252" t="s">
        <v>2344</v>
      </c>
      <c r="AH33" s="5" t="s">
        <v>2948</v>
      </c>
      <c r="AI33" s="270" t="s">
        <v>2949</v>
      </c>
      <c r="AJ33" s="13"/>
      <c r="AK33" s="13"/>
    </row>
    <row r="34" ht="15.0" customHeight="1">
      <c r="A34" s="269" t="s">
        <v>2172</v>
      </c>
      <c r="B34" s="269" t="s">
        <v>2046</v>
      </c>
      <c r="C34" s="269" t="s">
        <v>3501</v>
      </c>
      <c r="D34" s="269" t="s">
        <v>792</v>
      </c>
      <c r="E34" s="269" t="str">
        <f t="array" ref="E34">IFERROR(INDEX(REF_CODES!$B$46:$B$50,MATCH($D34,REF_CODES!$C$46:$C$50,0)),"")</f>
        <v>NL-CLU</v>
      </c>
      <c r="F34" s="269" t="s">
        <v>3506</v>
      </c>
      <c r="G34" s="269" t="s">
        <v>2191</v>
      </c>
      <c r="H34" s="269" t="s">
        <v>3507</v>
      </c>
      <c r="I34" s="269" t="s">
        <v>2935</v>
      </c>
      <c r="J34" s="269" t="s">
        <v>905</v>
      </c>
      <c r="K34" s="269" t="s">
        <v>195</v>
      </c>
      <c r="L34" s="269" t="s">
        <v>105</v>
      </c>
      <c r="M34" s="269"/>
      <c r="N34" s="269" t="s">
        <v>473</v>
      </c>
      <c r="O34" s="269" t="s">
        <v>503</v>
      </c>
      <c r="P34" s="269" t="s">
        <v>91</v>
      </c>
      <c r="Q34" s="269" t="s">
        <v>31</v>
      </c>
      <c r="R34" s="269" t="s">
        <v>2207</v>
      </c>
      <c r="S34" s="252" t="s">
        <v>2938</v>
      </c>
      <c r="T34" s="5" t="s">
        <v>3510</v>
      </c>
      <c r="U34" s="252" t="s">
        <v>2940</v>
      </c>
      <c r="V34" s="252" t="s">
        <v>2208</v>
      </c>
      <c r="W34" s="252" t="s">
        <v>2338</v>
      </c>
      <c r="X34" s="252" t="s">
        <v>2338</v>
      </c>
      <c r="Y34" s="252" t="s">
        <v>2340</v>
      </c>
      <c r="Z34" s="5" t="s">
        <v>2942</v>
      </c>
      <c r="AA34" s="5" t="s">
        <v>2944</v>
      </c>
      <c r="AB34" s="5" t="s">
        <v>1229</v>
      </c>
      <c r="AC34" s="5" t="s">
        <v>1229</v>
      </c>
      <c r="AD34" s="5" t="s">
        <v>1229</v>
      </c>
      <c r="AE34" s="5" t="s">
        <v>1229</v>
      </c>
      <c r="AF34" s="5" t="s">
        <v>2947</v>
      </c>
      <c r="AG34" s="252" t="s">
        <v>2344</v>
      </c>
      <c r="AH34" s="5" t="s">
        <v>2948</v>
      </c>
      <c r="AI34" s="270" t="s">
        <v>2949</v>
      </c>
      <c r="AJ34" s="13"/>
      <c r="AK34" s="13"/>
    </row>
    <row r="35" ht="15.0" customHeight="1">
      <c r="A35" s="269" t="s">
        <v>2172</v>
      </c>
      <c r="B35" s="269" t="s">
        <v>2046</v>
      </c>
      <c r="C35" s="269" t="s">
        <v>3516</v>
      </c>
      <c r="D35" s="269" t="s">
        <v>830</v>
      </c>
      <c r="E35" s="269" t="str">
        <f t="array" ref="E35">IFERROR(INDEX(REF_CODES!$B$46:$B$50,MATCH($D35,REF_CODES!$C$46:$C$50,0)),"")</f>
        <v>NL-LIV</v>
      </c>
      <c r="F35" s="269" t="s">
        <v>3520</v>
      </c>
      <c r="G35" s="269" t="s">
        <v>2191</v>
      </c>
      <c r="H35" s="269" t="s">
        <v>3059</v>
      </c>
      <c r="I35" s="269" t="s">
        <v>3524</v>
      </c>
      <c r="J35" s="269" t="s">
        <v>3525</v>
      </c>
      <c r="K35" s="269" t="s">
        <v>195</v>
      </c>
      <c r="L35" s="269" t="s">
        <v>123</v>
      </c>
      <c r="M35" s="269"/>
      <c r="N35" s="269" t="s">
        <v>473</v>
      </c>
      <c r="O35" s="269" t="s">
        <v>503</v>
      </c>
      <c r="P35" s="269" t="s">
        <v>75</v>
      </c>
      <c r="Q35" s="269" t="s">
        <v>52</v>
      </c>
      <c r="R35" s="269" t="s">
        <v>2207</v>
      </c>
      <c r="S35" s="252" t="s">
        <v>2938</v>
      </c>
      <c r="T35" s="5" t="s">
        <v>3526</v>
      </c>
      <c r="U35" s="252" t="s">
        <v>2940</v>
      </c>
      <c r="V35" s="252" t="s">
        <v>2208</v>
      </c>
      <c r="W35" s="252" t="s">
        <v>2338</v>
      </c>
      <c r="X35" s="252" t="s">
        <v>2338</v>
      </c>
      <c r="Y35" s="252" t="s">
        <v>2340</v>
      </c>
      <c r="Z35" s="5" t="s">
        <v>2942</v>
      </c>
      <c r="AA35" s="5" t="s">
        <v>2944</v>
      </c>
      <c r="AB35" s="5" t="s">
        <v>1229</v>
      </c>
      <c r="AC35" s="5" t="s">
        <v>1229</v>
      </c>
      <c r="AD35" s="5" t="s">
        <v>1229</v>
      </c>
      <c r="AE35" s="5" t="s">
        <v>1229</v>
      </c>
      <c r="AF35" s="5" t="s">
        <v>2947</v>
      </c>
      <c r="AG35" s="252" t="s">
        <v>2344</v>
      </c>
      <c r="AH35" s="5" t="s">
        <v>2948</v>
      </c>
      <c r="AI35" s="270" t="s">
        <v>2949</v>
      </c>
      <c r="AJ35" s="13"/>
      <c r="AK35" s="13"/>
    </row>
    <row r="36" ht="15.0" customHeight="1">
      <c r="A36" s="269" t="s">
        <v>2172</v>
      </c>
      <c r="B36" s="269" t="s">
        <v>2046</v>
      </c>
      <c r="C36" s="269" t="s">
        <v>3536</v>
      </c>
      <c r="D36" s="269" t="s">
        <v>802</v>
      </c>
      <c r="E36" s="269" t="str">
        <f t="array" ref="E36">IFERROR(INDEX(REF_CODES!$B$46:$B$50,MATCH($D36,REF_CODES!$C$46:$C$50,0)),"")</f>
        <v>NL-LOU</v>
      </c>
      <c r="F36" s="269" t="s">
        <v>3540</v>
      </c>
      <c r="G36" s="269" t="s">
        <v>2191</v>
      </c>
      <c r="H36" s="269" t="s">
        <v>3059</v>
      </c>
      <c r="I36" s="269" t="s">
        <v>3359</v>
      </c>
      <c r="J36" s="269" t="s">
        <v>3165</v>
      </c>
      <c r="K36" s="269" t="s">
        <v>195</v>
      </c>
      <c r="L36" s="269" t="s">
        <v>83</v>
      </c>
      <c r="M36" s="269"/>
      <c r="N36" s="269" t="s">
        <v>473</v>
      </c>
      <c r="O36" s="269" t="s">
        <v>503</v>
      </c>
      <c r="P36" s="269" t="s">
        <v>29</v>
      </c>
      <c r="Q36" s="269" t="s">
        <v>31</v>
      </c>
      <c r="R36" s="269" t="s">
        <v>2207</v>
      </c>
      <c r="S36" s="252" t="s">
        <v>2938</v>
      </c>
      <c r="T36" s="5" t="s">
        <v>3542</v>
      </c>
      <c r="U36" s="252" t="s">
        <v>2940</v>
      </c>
      <c r="V36" s="252" t="s">
        <v>2208</v>
      </c>
      <c r="W36" s="252" t="s">
        <v>2338</v>
      </c>
      <c r="X36" s="252" t="s">
        <v>2338</v>
      </c>
      <c r="Y36" s="252" t="s">
        <v>2340</v>
      </c>
      <c r="Z36" s="5" t="s">
        <v>2942</v>
      </c>
      <c r="AA36" s="5" t="s">
        <v>2944</v>
      </c>
      <c r="AB36" s="5" t="s">
        <v>1229</v>
      </c>
      <c r="AC36" s="5" t="s">
        <v>1229</v>
      </c>
      <c r="AD36" s="5" t="s">
        <v>1229</v>
      </c>
      <c r="AE36" s="5" t="s">
        <v>1229</v>
      </c>
      <c r="AF36" s="5" t="s">
        <v>2947</v>
      </c>
      <c r="AG36" s="252" t="s">
        <v>2344</v>
      </c>
      <c r="AH36" s="5" t="s">
        <v>2948</v>
      </c>
      <c r="AI36" s="270" t="s">
        <v>2949</v>
      </c>
      <c r="AJ36" s="13"/>
      <c r="AK36" s="13"/>
    </row>
    <row r="37" ht="15.0" customHeight="1">
      <c r="A37" s="269" t="s">
        <v>2172</v>
      </c>
      <c r="B37" s="269" t="s">
        <v>2046</v>
      </c>
      <c r="C37" s="269" t="s">
        <v>3549</v>
      </c>
      <c r="D37" s="269" t="s">
        <v>841</v>
      </c>
      <c r="E37" s="269" t="str">
        <f t="array" ref="E37">IFERROR(INDEX(REF_CODES!$B$46:$B$50,MATCH($D37,REF_CODES!$C$46:$C$50,0)),"")</f>
        <v>NL-IMM</v>
      </c>
      <c r="F37" s="269" t="s">
        <v>3556</v>
      </c>
      <c r="G37" s="269" t="s">
        <v>2306</v>
      </c>
      <c r="H37" s="269" t="s">
        <v>3013</v>
      </c>
      <c r="I37" s="269" t="s">
        <v>3014</v>
      </c>
      <c r="J37" s="269" t="s">
        <v>3566</v>
      </c>
      <c r="K37" s="269" t="s">
        <v>195</v>
      </c>
      <c r="L37" s="269" t="s">
        <v>123</v>
      </c>
      <c r="M37" s="269" t="s">
        <v>2203</v>
      </c>
      <c r="N37" s="269" t="s">
        <v>479</v>
      </c>
      <c r="O37" s="269" t="s">
        <v>512</v>
      </c>
      <c r="P37" s="269" t="s">
        <v>75</v>
      </c>
      <c r="Q37" s="269" t="s">
        <v>37</v>
      </c>
      <c r="R37" s="269" t="s">
        <v>2207</v>
      </c>
      <c r="S37" s="252" t="s">
        <v>2938</v>
      </c>
      <c r="T37" s="5" t="s">
        <v>3567</v>
      </c>
      <c r="U37" s="252" t="s">
        <v>2940</v>
      </c>
      <c r="V37" s="252" t="s">
        <v>2208</v>
      </c>
      <c r="W37" s="252" t="s">
        <v>2338</v>
      </c>
      <c r="X37" s="252" t="s">
        <v>2338</v>
      </c>
      <c r="Y37" s="252" t="s">
        <v>2340</v>
      </c>
      <c r="Z37" s="5" t="s">
        <v>2942</v>
      </c>
      <c r="AA37" s="5" t="s">
        <v>2944</v>
      </c>
      <c r="AB37" s="5" t="s">
        <v>1229</v>
      </c>
      <c r="AC37" s="5" t="s">
        <v>1229</v>
      </c>
      <c r="AD37" s="5" t="s">
        <v>1229</v>
      </c>
      <c r="AE37" s="5" t="s">
        <v>1229</v>
      </c>
      <c r="AF37" s="5" t="s">
        <v>2947</v>
      </c>
      <c r="AG37" s="252" t="s">
        <v>2344</v>
      </c>
      <c r="AH37" s="5" t="s">
        <v>2948</v>
      </c>
      <c r="AI37" s="270" t="s">
        <v>2949</v>
      </c>
      <c r="AJ37" s="13"/>
      <c r="AK37" s="13"/>
    </row>
    <row r="38" ht="15.0" customHeight="1">
      <c r="A38" s="269" t="s">
        <v>2172</v>
      </c>
      <c r="B38" s="269" t="s">
        <v>2046</v>
      </c>
      <c r="C38" s="269" t="s">
        <v>3574</v>
      </c>
      <c r="D38" s="269" t="s">
        <v>802</v>
      </c>
      <c r="E38" s="269" t="str">
        <f t="array" ref="E38">IFERROR(INDEX(REF_CODES!$B$46:$B$50,MATCH($D38,REF_CODES!$C$46:$C$50,0)),"")</f>
        <v>NL-LOU</v>
      </c>
      <c r="F38" s="269" t="s">
        <v>3581</v>
      </c>
      <c r="G38" s="269" t="s">
        <v>2306</v>
      </c>
      <c r="H38" s="269" t="s">
        <v>3490</v>
      </c>
      <c r="I38" s="269" t="s">
        <v>3583</v>
      </c>
      <c r="J38" s="269" t="s">
        <v>3584</v>
      </c>
      <c r="K38" s="269" t="s">
        <v>202</v>
      </c>
      <c r="L38" s="269" t="s">
        <v>115</v>
      </c>
      <c r="M38" s="269" t="s">
        <v>2312</v>
      </c>
      <c r="N38" s="269" t="s">
        <v>487</v>
      </c>
      <c r="O38" s="269" t="s">
        <v>512</v>
      </c>
      <c r="P38" s="269" t="s">
        <v>99</v>
      </c>
      <c r="Q38" s="269" t="s">
        <v>37</v>
      </c>
      <c r="R38" s="269" t="s">
        <v>2207</v>
      </c>
      <c r="S38" s="252" t="s">
        <v>2938</v>
      </c>
      <c r="T38" s="5" t="s">
        <v>3586</v>
      </c>
      <c r="U38" s="252" t="s">
        <v>2940</v>
      </c>
      <c r="V38" s="252" t="s">
        <v>2208</v>
      </c>
      <c r="W38" s="252" t="s">
        <v>2338</v>
      </c>
      <c r="X38" s="252" t="s">
        <v>2338</v>
      </c>
      <c r="Y38" s="252" t="s">
        <v>2340</v>
      </c>
      <c r="Z38" s="5" t="s">
        <v>2942</v>
      </c>
      <c r="AA38" s="5" t="s">
        <v>2944</v>
      </c>
      <c r="AB38" s="5" t="s">
        <v>1229</v>
      </c>
      <c r="AC38" s="5" t="s">
        <v>1229</v>
      </c>
      <c r="AD38" s="5" t="s">
        <v>1229</v>
      </c>
      <c r="AE38" s="5" t="s">
        <v>1229</v>
      </c>
      <c r="AF38" s="5" t="s">
        <v>2947</v>
      </c>
      <c r="AG38" s="252" t="s">
        <v>2344</v>
      </c>
      <c r="AH38" s="5" t="s">
        <v>2948</v>
      </c>
      <c r="AI38" s="270" t="s">
        <v>2949</v>
      </c>
      <c r="AJ38" s="13"/>
      <c r="AK38" s="13"/>
    </row>
    <row r="39" ht="15.0" customHeight="1">
      <c r="A39" s="269" t="s">
        <v>2172</v>
      </c>
      <c r="B39" s="269" t="s">
        <v>2046</v>
      </c>
      <c r="C39" s="269" t="s">
        <v>3595</v>
      </c>
      <c r="D39" s="269" t="s">
        <v>802</v>
      </c>
      <c r="E39" s="269" t="str">
        <f t="array" ref="E39">IFERROR(INDEX(REF_CODES!$B$46:$B$50,MATCH($D39,REF_CODES!$C$46:$C$50,0)),"")</f>
        <v>NL-LOU</v>
      </c>
      <c r="F39" s="269" t="s">
        <v>3600</v>
      </c>
      <c r="G39" s="269" t="s">
        <v>2191</v>
      </c>
      <c r="H39" s="269" t="s">
        <v>3059</v>
      </c>
      <c r="I39" s="269" t="s">
        <v>3359</v>
      </c>
      <c r="J39" s="269" t="s">
        <v>3602</v>
      </c>
      <c r="K39" s="269" t="s">
        <v>195</v>
      </c>
      <c r="L39" s="269" t="s">
        <v>115</v>
      </c>
      <c r="M39" s="269" t="s">
        <v>2203</v>
      </c>
      <c r="N39" s="269" t="s">
        <v>479</v>
      </c>
      <c r="O39" s="269" t="s">
        <v>512</v>
      </c>
      <c r="P39" s="269" t="s">
        <v>29</v>
      </c>
      <c r="Q39" s="269" t="s">
        <v>31</v>
      </c>
      <c r="R39" s="269" t="s">
        <v>2207</v>
      </c>
      <c r="S39" s="252" t="s">
        <v>2938</v>
      </c>
      <c r="T39" s="5" t="s">
        <v>3603</v>
      </c>
      <c r="U39" s="252" t="s">
        <v>2940</v>
      </c>
      <c r="V39" s="252" t="s">
        <v>2208</v>
      </c>
      <c r="W39" s="252" t="s">
        <v>2338</v>
      </c>
      <c r="X39" s="252" t="s">
        <v>2338</v>
      </c>
      <c r="Y39" s="252" t="s">
        <v>2340</v>
      </c>
      <c r="Z39" s="5" t="s">
        <v>2942</v>
      </c>
      <c r="AA39" s="5" t="s">
        <v>2944</v>
      </c>
      <c r="AB39" s="5" t="s">
        <v>1229</v>
      </c>
      <c r="AC39" s="5" t="s">
        <v>1229</v>
      </c>
      <c r="AD39" s="5" t="s">
        <v>1229</v>
      </c>
      <c r="AE39" s="5" t="s">
        <v>1229</v>
      </c>
      <c r="AF39" s="5" t="s">
        <v>2947</v>
      </c>
      <c r="AG39" s="252" t="s">
        <v>2344</v>
      </c>
      <c r="AH39" s="5" t="s">
        <v>2948</v>
      </c>
      <c r="AI39" s="270" t="s">
        <v>2949</v>
      </c>
      <c r="AJ39" s="13"/>
      <c r="AK39" s="13"/>
    </row>
    <row r="40" ht="15.0" customHeight="1">
      <c r="A40" s="269" t="s">
        <v>2172</v>
      </c>
      <c r="B40" s="269" t="s">
        <v>2046</v>
      </c>
      <c r="C40" s="269" t="s">
        <v>3609</v>
      </c>
      <c r="D40" s="269" t="s">
        <v>817</v>
      </c>
      <c r="E40" s="269" t="str">
        <f t="array" ref="E40">IFERROR(INDEX(REF_CODES!$B$46:$B$50,MATCH($D40,REF_CODES!$C$46:$C$50,0)),"")</f>
        <v>NL-SHO</v>
      </c>
      <c r="F40" s="269" t="s">
        <v>3616</v>
      </c>
      <c r="G40" s="269" t="s">
        <v>2224</v>
      </c>
      <c r="H40" s="269" t="s">
        <v>3081</v>
      </c>
      <c r="I40" s="269" t="s">
        <v>3618</v>
      </c>
      <c r="J40" s="269" t="s">
        <v>3619</v>
      </c>
      <c r="K40" s="269" t="s">
        <v>202</v>
      </c>
      <c r="L40" s="269" t="s">
        <v>115</v>
      </c>
      <c r="M40" s="269" t="s">
        <v>2312</v>
      </c>
      <c r="N40" s="269" t="s">
        <v>487</v>
      </c>
      <c r="O40" s="269" t="s">
        <v>512</v>
      </c>
      <c r="P40" s="269" t="s">
        <v>91</v>
      </c>
      <c r="Q40" s="269" t="s">
        <v>31</v>
      </c>
      <c r="R40" s="269" t="s">
        <v>2207</v>
      </c>
      <c r="S40" s="252" t="s">
        <v>2938</v>
      </c>
      <c r="T40" s="5" t="s">
        <v>3620</v>
      </c>
      <c r="U40" s="252" t="s">
        <v>2940</v>
      </c>
      <c r="V40" s="252" t="s">
        <v>2208</v>
      </c>
      <c r="W40" s="252" t="s">
        <v>2338</v>
      </c>
      <c r="X40" s="252" t="s">
        <v>2338</v>
      </c>
      <c r="Y40" s="252" t="s">
        <v>2340</v>
      </c>
      <c r="Z40" s="5" t="s">
        <v>2942</v>
      </c>
      <c r="AA40" s="5" t="s">
        <v>2944</v>
      </c>
      <c r="AB40" s="5" t="s">
        <v>1229</v>
      </c>
      <c r="AC40" s="5" t="s">
        <v>1229</v>
      </c>
      <c r="AD40" s="5" t="s">
        <v>1229</v>
      </c>
      <c r="AE40" s="5" t="s">
        <v>1229</v>
      </c>
      <c r="AF40" s="5" t="s">
        <v>2947</v>
      </c>
      <c r="AG40" s="252" t="s">
        <v>2344</v>
      </c>
      <c r="AH40" s="5" t="s">
        <v>2948</v>
      </c>
      <c r="AI40" s="270" t="s">
        <v>2949</v>
      </c>
      <c r="AJ40" s="13"/>
      <c r="AK40" s="13"/>
    </row>
    <row r="41" ht="15.0" customHeight="1">
      <c r="A41" s="269" t="s">
        <v>2172</v>
      </c>
      <c r="B41" s="269" t="s">
        <v>2046</v>
      </c>
      <c r="C41" s="269" t="s">
        <v>3627</v>
      </c>
      <c r="D41" s="269" t="s">
        <v>817</v>
      </c>
      <c r="E41" s="269" t="str">
        <f t="array" ref="E41">IFERROR(INDEX(REF_CODES!$B$46:$B$50,MATCH($D41,REF_CODES!$C$46:$C$50,0)),"")</f>
        <v>NL-SHO</v>
      </c>
      <c r="F41" s="269" t="s">
        <v>3630</v>
      </c>
      <c r="G41" s="269" t="s">
        <v>2224</v>
      </c>
      <c r="H41" s="269" t="s">
        <v>2934</v>
      </c>
      <c r="I41" s="269" t="s">
        <v>3632</v>
      </c>
      <c r="J41" s="269" t="s">
        <v>3633</v>
      </c>
      <c r="K41" s="269" t="s">
        <v>202</v>
      </c>
      <c r="L41" s="269" t="s">
        <v>115</v>
      </c>
      <c r="M41" s="269" t="s">
        <v>2203</v>
      </c>
      <c r="N41" s="269" t="s">
        <v>487</v>
      </c>
      <c r="O41" s="269" t="s">
        <v>512</v>
      </c>
      <c r="P41" s="269" t="s">
        <v>99</v>
      </c>
      <c r="Q41" s="269" t="s">
        <v>31</v>
      </c>
      <c r="R41" s="269" t="s">
        <v>2207</v>
      </c>
      <c r="S41" s="252" t="s">
        <v>2938</v>
      </c>
      <c r="T41" s="5" t="s">
        <v>3635</v>
      </c>
      <c r="U41" s="252" t="s">
        <v>2940</v>
      </c>
      <c r="V41" s="252" t="s">
        <v>2208</v>
      </c>
      <c r="W41" s="252" t="s">
        <v>2338</v>
      </c>
      <c r="X41" s="252" t="s">
        <v>2338</v>
      </c>
      <c r="Y41" s="252" t="s">
        <v>2340</v>
      </c>
      <c r="Z41" s="5" t="s">
        <v>2942</v>
      </c>
      <c r="AA41" s="5" t="s">
        <v>2944</v>
      </c>
      <c r="AB41" s="5" t="s">
        <v>1229</v>
      </c>
      <c r="AC41" s="5" t="s">
        <v>1229</v>
      </c>
      <c r="AD41" s="5" t="s">
        <v>1229</v>
      </c>
      <c r="AE41" s="5" t="s">
        <v>1229</v>
      </c>
      <c r="AF41" s="5" t="s">
        <v>2947</v>
      </c>
      <c r="AG41" s="252" t="s">
        <v>2344</v>
      </c>
      <c r="AH41" s="5" t="s">
        <v>2948</v>
      </c>
      <c r="AI41" s="270" t="s">
        <v>2949</v>
      </c>
      <c r="AJ41" s="13"/>
      <c r="AK41" s="13"/>
    </row>
    <row r="42" ht="15.0" customHeight="1">
      <c r="A42" s="269" t="s">
        <v>2172</v>
      </c>
      <c r="B42" s="269" t="s">
        <v>2046</v>
      </c>
      <c r="C42" s="269" t="s">
        <v>3647</v>
      </c>
      <c r="D42" s="269" t="s">
        <v>817</v>
      </c>
      <c r="E42" s="269" t="str">
        <f t="array" ref="E42">IFERROR(INDEX(REF_CODES!$B$46:$B$50,MATCH($D42,REF_CODES!$C$46:$C$50,0)),"")</f>
        <v>NL-SHO</v>
      </c>
      <c r="F42" s="269" t="s">
        <v>3650</v>
      </c>
      <c r="G42" s="269" t="s">
        <v>3139</v>
      </c>
      <c r="H42" s="269" t="s">
        <v>2967</v>
      </c>
      <c r="I42" s="269" t="s">
        <v>3618</v>
      </c>
      <c r="J42" s="269" t="s">
        <v>3652</v>
      </c>
      <c r="K42" s="269" t="s">
        <v>202</v>
      </c>
      <c r="L42" s="269" t="s">
        <v>105</v>
      </c>
      <c r="M42" s="269" t="s">
        <v>2312</v>
      </c>
      <c r="N42" s="269" t="s">
        <v>487</v>
      </c>
      <c r="O42" s="269" t="s">
        <v>512</v>
      </c>
      <c r="P42" s="269" t="s">
        <v>91</v>
      </c>
      <c r="Q42" s="269" t="s">
        <v>52</v>
      </c>
      <c r="R42" s="269" t="s">
        <v>2207</v>
      </c>
      <c r="S42" s="252" t="s">
        <v>2938</v>
      </c>
      <c r="T42" s="5" t="s">
        <v>3653</v>
      </c>
      <c r="U42" s="252" t="s">
        <v>2940</v>
      </c>
      <c r="V42" s="252" t="s">
        <v>2208</v>
      </c>
      <c r="W42" s="252" t="s">
        <v>2338</v>
      </c>
      <c r="X42" s="252" t="s">
        <v>2338</v>
      </c>
      <c r="Y42" s="252" t="s">
        <v>2340</v>
      </c>
      <c r="Z42" s="5" t="s">
        <v>2942</v>
      </c>
      <c r="AA42" s="5" t="s">
        <v>2944</v>
      </c>
      <c r="AB42" s="5" t="s">
        <v>1229</v>
      </c>
      <c r="AC42" s="5" t="s">
        <v>1229</v>
      </c>
      <c r="AD42" s="5" t="s">
        <v>1229</v>
      </c>
      <c r="AE42" s="5" t="s">
        <v>1229</v>
      </c>
      <c r="AF42" s="5" t="s">
        <v>2947</v>
      </c>
      <c r="AG42" s="252" t="s">
        <v>2344</v>
      </c>
      <c r="AH42" s="5" t="s">
        <v>2948</v>
      </c>
      <c r="AI42" s="270" t="s">
        <v>2949</v>
      </c>
      <c r="AJ42" s="13"/>
      <c r="AK42" s="13"/>
    </row>
    <row r="43" ht="15.0" customHeight="1">
      <c r="A43" s="269" t="s">
        <v>2172</v>
      </c>
      <c r="B43" s="269" t="s">
        <v>2046</v>
      </c>
      <c r="C43" s="269" t="s">
        <v>3663</v>
      </c>
      <c r="D43" s="269" t="s">
        <v>841</v>
      </c>
      <c r="E43" s="269" t="str">
        <f t="array" ref="E43">IFERROR(INDEX(REF_CODES!$B$46:$B$50,MATCH($D43,REF_CODES!$C$46:$C$50,0)),"")</f>
        <v>NL-IMM</v>
      </c>
      <c r="F43" s="269" t="s">
        <v>3671</v>
      </c>
      <c r="G43" s="269" t="s">
        <v>2511</v>
      </c>
      <c r="H43" s="269" t="s">
        <v>2992</v>
      </c>
      <c r="I43" s="269" t="s">
        <v>3673</v>
      </c>
      <c r="J43" s="269" t="s">
        <v>3675</v>
      </c>
      <c r="K43" s="269" t="s">
        <v>195</v>
      </c>
      <c r="L43" s="269" t="s">
        <v>123</v>
      </c>
      <c r="M43" s="269" t="s">
        <v>2312</v>
      </c>
      <c r="N43" s="269" t="s">
        <v>479</v>
      </c>
      <c r="O43" s="269" t="s">
        <v>512</v>
      </c>
      <c r="P43" s="269" t="s">
        <v>75</v>
      </c>
      <c r="Q43" s="269" t="s">
        <v>43</v>
      </c>
      <c r="R43" s="269" t="s">
        <v>2207</v>
      </c>
      <c r="S43" s="252" t="s">
        <v>2938</v>
      </c>
      <c r="T43" s="5" t="s">
        <v>3578</v>
      </c>
      <c r="U43" s="252" t="s">
        <v>2940</v>
      </c>
      <c r="V43" s="252" t="s">
        <v>2208</v>
      </c>
      <c r="W43" s="252" t="s">
        <v>2338</v>
      </c>
      <c r="X43" s="252" t="s">
        <v>2338</v>
      </c>
      <c r="Y43" s="252" t="s">
        <v>2340</v>
      </c>
      <c r="Z43" s="5" t="s">
        <v>2942</v>
      </c>
      <c r="AA43" s="5" t="s">
        <v>2944</v>
      </c>
      <c r="AB43" s="5" t="s">
        <v>1229</v>
      </c>
      <c r="AC43" s="5" t="s">
        <v>1229</v>
      </c>
      <c r="AD43" s="5" t="s">
        <v>1229</v>
      </c>
      <c r="AE43" s="5" t="s">
        <v>1229</v>
      </c>
      <c r="AF43" s="5" t="s">
        <v>2947</v>
      </c>
      <c r="AG43" s="252" t="s">
        <v>2344</v>
      </c>
      <c r="AH43" s="5" t="s">
        <v>2948</v>
      </c>
      <c r="AI43" s="270" t="s">
        <v>2949</v>
      </c>
      <c r="AJ43" s="13"/>
      <c r="AK43" s="13"/>
    </row>
    <row r="44" ht="15.0" customHeight="1">
      <c r="A44" s="269" t="s">
        <v>3581</v>
      </c>
      <c r="B44" s="249" t="s">
        <v>2046</v>
      </c>
      <c r="C44" s="269" t="s">
        <v>3684</v>
      </c>
      <c r="D44" s="269" t="s">
        <v>802</v>
      </c>
      <c r="E44" s="269" t="str">
        <f t="array" ref="E44">IFERROR(INDEX(REF_CODES!$B$46:$B$50,MATCH($D44,REF_CODES!$C$46:$C$50,0)),"")</f>
        <v>NL-LOU</v>
      </c>
      <c r="F44" s="269" t="s">
        <v>2306</v>
      </c>
      <c r="G44" s="251" t="s">
        <v>1229</v>
      </c>
      <c r="H44" s="251" t="s">
        <v>1229</v>
      </c>
      <c r="I44" s="251" t="s">
        <v>1229</v>
      </c>
      <c r="J44" s="251" t="s">
        <v>1229</v>
      </c>
      <c r="K44" s="251" t="s">
        <v>1229</v>
      </c>
      <c r="L44" s="5" t="s">
        <v>1229</v>
      </c>
      <c r="M44" s="5"/>
      <c r="N44" s="5" t="s">
        <v>1229</v>
      </c>
      <c r="O44" s="5"/>
      <c r="P44" s="5" t="s">
        <v>1229</v>
      </c>
      <c r="Q44" s="5" t="s">
        <v>1229</v>
      </c>
      <c r="R44" s="5" t="s">
        <v>2207</v>
      </c>
      <c r="S44" s="252" t="s">
        <v>2938</v>
      </c>
      <c r="T44" s="275" t="s">
        <v>3695</v>
      </c>
      <c r="U44" s="252" t="s">
        <v>2940</v>
      </c>
      <c r="V44" s="252" t="s">
        <v>2208</v>
      </c>
      <c r="W44" s="252" t="s">
        <v>2338</v>
      </c>
      <c r="X44" s="252" t="s">
        <v>2338</v>
      </c>
      <c r="Y44" s="252" t="s">
        <v>2340</v>
      </c>
      <c r="Z44" s="5" t="s">
        <v>2942</v>
      </c>
      <c r="AA44" s="5" t="s">
        <v>2944</v>
      </c>
      <c r="AB44" s="5" t="s">
        <v>1229</v>
      </c>
      <c r="AC44" s="5" t="s">
        <v>1229</v>
      </c>
      <c r="AD44" s="5" t="s">
        <v>1229</v>
      </c>
      <c r="AE44" s="5" t="s">
        <v>1229</v>
      </c>
      <c r="AF44" s="5" t="s">
        <v>2947</v>
      </c>
      <c r="AG44" s="252" t="s">
        <v>2344</v>
      </c>
      <c r="AH44" s="5" t="s">
        <v>2948</v>
      </c>
      <c r="AI44" s="270" t="s">
        <v>2949</v>
      </c>
      <c r="AJ44" s="13"/>
      <c r="AK44" s="13"/>
    </row>
    <row r="45" ht="15.0" customHeight="1">
      <c r="A45" s="269" t="s">
        <v>2172</v>
      </c>
      <c r="B45" s="269" t="s">
        <v>1126</v>
      </c>
      <c r="C45" s="269" t="s">
        <v>3704</v>
      </c>
      <c r="D45" s="269" t="s">
        <v>817</v>
      </c>
      <c r="E45" s="269" t="str">
        <f t="array" ref="E45">IFERROR(INDEX(REF_CODES!$B$46:$B$50,MATCH($D45,REF_CODES!$C$46:$C$50,0)),"")</f>
        <v>NL-SHO</v>
      </c>
      <c r="F45" s="269" t="s">
        <v>2989</v>
      </c>
      <c r="G45" s="269" t="s">
        <v>2425</v>
      </c>
      <c r="H45" s="269"/>
      <c r="I45" s="269" t="s">
        <v>2993</v>
      </c>
      <c r="J45" s="269" t="s">
        <v>1229</v>
      </c>
      <c r="K45" s="269"/>
      <c r="L45" s="269"/>
      <c r="M45" s="269"/>
      <c r="N45" s="269"/>
      <c r="O45" s="269"/>
      <c r="P45" s="269"/>
      <c r="Q45" s="269"/>
      <c r="R45" s="269"/>
      <c r="S45" s="252"/>
      <c r="T45" s="5" t="s">
        <v>3713</v>
      </c>
      <c r="U45" s="252" t="s">
        <v>1229</v>
      </c>
      <c r="V45" s="252"/>
      <c r="W45" s="252"/>
      <c r="X45" s="252"/>
      <c r="Y45" s="252"/>
      <c r="Z45" s="5"/>
      <c r="AA45" s="5"/>
      <c r="AB45" s="5"/>
      <c r="AC45" s="5"/>
      <c r="AD45" s="5"/>
      <c r="AE45" s="5"/>
      <c r="AF45" s="5"/>
      <c r="AG45" s="252"/>
      <c r="AH45" s="5"/>
      <c r="AI45" s="270"/>
      <c r="AJ45" s="13"/>
      <c r="AK45" s="13"/>
    </row>
    <row r="46" ht="15.0" customHeight="1">
      <c r="A46" s="269" t="s">
        <v>2172</v>
      </c>
      <c r="B46" s="269" t="s">
        <v>1126</v>
      </c>
      <c r="C46" s="269" t="s">
        <v>3716</v>
      </c>
      <c r="D46" s="269" t="s">
        <v>817</v>
      </c>
      <c r="E46" s="269" t="str">
        <f t="array" ref="E46">IFERROR(INDEX(REF_CODES!$B$46:$B$50,MATCH($D46,REF_CODES!$C$46:$C$50,0)),"")</f>
        <v>NL-SHO</v>
      </c>
      <c r="F46" s="269" t="s">
        <v>3721</v>
      </c>
      <c r="G46" s="269" t="s">
        <v>3722</v>
      </c>
      <c r="H46" s="269"/>
      <c r="I46" s="269" t="s">
        <v>3724</v>
      </c>
      <c r="J46" s="269" t="s">
        <v>3726</v>
      </c>
      <c r="K46" s="269"/>
      <c r="L46" s="269"/>
      <c r="M46" s="269"/>
      <c r="N46" s="269"/>
      <c r="O46" s="269"/>
      <c r="P46" s="269"/>
      <c r="Q46" s="269"/>
      <c r="R46" s="269"/>
      <c r="S46" s="252"/>
      <c r="T46" s="5" t="s">
        <v>3728</v>
      </c>
      <c r="U46" s="252" t="s">
        <v>3726</v>
      </c>
      <c r="V46" s="252"/>
      <c r="W46" s="252"/>
      <c r="X46" s="252"/>
      <c r="Y46" s="252"/>
      <c r="Z46" s="5"/>
      <c r="AA46" s="5"/>
      <c r="AB46" s="5"/>
      <c r="AC46" s="5"/>
      <c r="AD46" s="5"/>
      <c r="AE46" s="5"/>
      <c r="AF46" s="5"/>
      <c r="AG46" s="252"/>
      <c r="AH46" s="5"/>
      <c r="AI46" s="270"/>
      <c r="AJ46" s="13"/>
      <c r="AK46" s="13"/>
    </row>
    <row r="47" ht="15.0" customHeight="1">
      <c r="A47" s="269" t="s">
        <v>2172</v>
      </c>
      <c r="B47" s="269" t="s">
        <v>1126</v>
      </c>
      <c r="C47" s="269" t="s">
        <v>3737</v>
      </c>
      <c r="D47" s="269" t="s">
        <v>817</v>
      </c>
      <c r="E47" s="269" t="str">
        <f t="array" ref="E47">IFERROR(INDEX(REF_CODES!$B$46:$B$50,MATCH($D47,REF_CODES!$C$46:$C$50,0)),"")</f>
        <v>NL-SHO</v>
      </c>
      <c r="F47" s="269" t="s">
        <v>3741</v>
      </c>
      <c r="G47" s="269" t="s">
        <v>3742</v>
      </c>
      <c r="H47" s="269"/>
      <c r="I47" s="269" t="s">
        <v>3744</v>
      </c>
      <c r="J47" s="269" t="s">
        <v>1229</v>
      </c>
      <c r="K47" s="269"/>
      <c r="L47" s="269"/>
      <c r="M47" s="269"/>
      <c r="N47" s="269"/>
      <c r="O47" s="269"/>
      <c r="P47" s="269"/>
      <c r="Q47" s="269"/>
      <c r="R47" s="269"/>
      <c r="S47" s="252"/>
      <c r="T47" s="5" t="s">
        <v>3746</v>
      </c>
      <c r="U47" s="252" t="s">
        <v>1229</v>
      </c>
      <c r="V47" s="252"/>
      <c r="W47" s="252"/>
      <c r="X47" s="252"/>
      <c r="Y47" s="252"/>
      <c r="Z47" s="5"/>
      <c r="AA47" s="5"/>
      <c r="AB47" s="5"/>
      <c r="AC47" s="5"/>
      <c r="AD47" s="5"/>
      <c r="AE47" s="5"/>
      <c r="AF47" s="5"/>
      <c r="AG47" s="252"/>
      <c r="AH47" s="5"/>
      <c r="AI47" s="270"/>
      <c r="AJ47" s="13"/>
      <c r="AK47" s="13"/>
    </row>
    <row r="48" ht="15.0" customHeight="1">
      <c r="A48" s="269" t="s">
        <v>2172</v>
      </c>
      <c r="B48" s="269" t="s">
        <v>1126</v>
      </c>
      <c r="C48" s="269" t="s">
        <v>3747</v>
      </c>
      <c r="D48" s="269" t="s">
        <v>817</v>
      </c>
      <c r="E48" s="269" t="str">
        <f t="array" ref="E48">IFERROR(INDEX(REF_CODES!$B$46:$B$50,MATCH($D48,REF_CODES!$C$46:$C$50,0)),"")</f>
        <v>NL-SHO</v>
      </c>
      <c r="F48" s="269" t="s">
        <v>3749</v>
      </c>
      <c r="G48" s="269" t="s">
        <v>3750</v>
      </c>
      <c r="H48" s="269"/>
      <c r="I48" s="269" t="s">
        <v>3751</v>
      </c>
      <c r="J48" s="269" t="s">
        <v>1229</v>
      </c>
      <c r="K48" s="269"/>
      <c r="L48" s="269"/>
      <c r="M48" s="269"/>
      <c r="N48" s="269"/>
      <c r="O48" s="269"/>
      <c r="P48" s="269"/>
      <c r="Q48" s="269"/>
      <c r="R48" s="269"/>
      <c r="S48" s="252"/>
      <c r="T48" s="5" t="s">
        <v>3756</v>
      </c>
      <c r="U48" s="252" t="s">
        <v>1229</v>
      </c>
      <c r="V48" s="252"/>
      <c r="W48" s="252"/>
      <c r="X48" s="252"/>
      <c r="Y48" s="252"/>
      <c r="Z48" s="5"/>
      <c r="AA48" s="5"/>
      <c r="AB48" s="5"/>
      <c r="AC48" s="5"/>
      <c r="AD48" s="5"/>
      <c r="AE48" s="5"/>
      <c r="AF48" s="5"/>
      <c r="AG48" s="252"/>
      <c r="AH48" s="5"/>
      <c r="AI48" s="270"/>
      <c r="AJ48" s="13"/>
      <c r="AK48" s="13"/>
    </row>
    <row r="49" ht="15.0" customHeight="1">
      <c r="A49" s="269" t="s">
        <v>2172</v>
      </c>
      <c r="B49" s="269" t="s">
        <v>1126</v>
      </c>
      <c r="C49" s="269" t="s">
        <v>3764</v>
      </c>
      <c r="D49" s="269" t="s">
        <v>817</v>
      </c>
      <c r="E49" s="269" t="str">
        <f t="array" ref="E49">IFERROR(INDEX(REF_CODES!$B$46:$B$50,MATCH($D49,REF_CODES!$C$46:$C$50,0)),"")</f>
        <v>NL-SHO</v>
      </c>
      <c r="F49" s="269" t="s">
        <v>3767</v>
      </c>
      <c r="G49" s="269" t="s">
        <v>3768</v>
      </c>
      <c r="H49" s="269"/>
      <c r="I49" s="269" t="s">
        <v>3769</v>
      </c>
      <c r="J49" s="269" t="s">
        <v>1229</v>
      </c>
      <c r="K49" s="269"/>
      <c r="L49" s="269"/>
      <c r="M49" s="269"/>
      <c r="N49" s="269"/>
      <c r="O49" s="269"/>
      <c r="P49" s="269"/>
      <c r="Q49" s="269"/>
      <c r="R49" s="269"/>
      <c r="S49" s="252"/>
      <c r="T49" s="5" t="s">
        <v>3770</v>
      </c>
      <c r="U49" s="252" t="s">
        <v>1229</v>
      </c>
      <c r="V49" s="252"/>
      <c r="W49" s="252"/>
      <c r="X49" s="252"/>
      <c r="Y49" s="252"/>
      <c r="Z49" s="5"/>
      <c r="AA49" s="5"/>
      <c r="AB49" s="5"/>
      <c r="AC49" s="5"/>
      <c r="AD49" s="5"/>
      <c r="AE49" s="5"/>
      <c r="AF49" s="5"/>
      <c r="AG49" s="252"/>
      <c r="AH49" s="5"/>
      <c r="AI49" s="270"/>
      <c r="AJ49" s="13"/>
      <c r="AK49" s="13"/>
    </row>
    <row r="50" ht="15.0" customHeight="1">
      <c r="A50" s="269" t="s">
        <v>2172</v>
      </c>
      <c r="B50" s="269" t="s">
        <v>1126</v>
      </c>
      <c r="C50" s="269" t="s">
        <v>3775</v>
      </c>
      <c r="D50" s="269" t="s">
        <v>817</v>
      </c>
      <c r="E50" s="269" t="str">
        <f t="array" ref="E50">IFERROR(INDEX(REF_CODES!$B$46:$B$50,MATCH($D50,REF_CODES!$C$46:$C$50,0)),"")</f>
        <v>NL-SHO</v>
      </c>
      <c r="F50" s="269" t="s">
        <v>3777</v>
      </c>
      <c r="G50" s="269" t="s">
        <v>3779</v>
      </c>
      <c r="H50" s="269"/>
      <c r="I50" s="269" t="s">
        <v>3744</v>
      </c>
      <c r="J50" s="269" t="s">
        <v>3726</v>
      </c>
      <c r="K50" s="269"/>
      <c r="L50" s="269"/>
      <c r="M50" s="269"/>
      <c r="N50" s="269"/>
      <c r="O50" s="269"/>
      <c r="P50" s="269"/>
      <c r="Q50" s="269"/>
      <c r="R50" s="269"/>
      <c r="S50" s="252"/>
      <c r="T50" s="5" t="s">
        <v>3786</v>
      </c>
      <c r="U50" s="252" t="s">
        <v>3726</v>
      </c>
      <c r="V50" s="252"/>
      <c r="W50" s="252"/>
      <c r="X50" s="252"/>
      <c r="Y50" s="252"/>
      <c r="Z50" s="5"/>
      <c r="AA50" s="5"/>
      <c r="AB50" s="5"/>
      <c r="AC50" s="5"/>
      <c r="AD50" s="5"/>
      <c r="AE50" s="5"/>
      <c r="AF50" s="5"/>
      <c r="AG50" s="252"/>
      <c r="AH50" s="5"/>
      <c r="AI50" s="270"/>
      <c r="AJ50" s="13"/>
      <c r="AK50" s="13"/>
    </row>
    <row r="51" ht="15.0" customHeight="1">
      <c r="A51" s="269" t="s">
        <v>2172</v>
      </c>
      <c r="B51" s="269" t="s">
        <v>1126</v>
      </c>
      <c r="C51" s="269" t="s">
        <v>3791</v>
      </c>
      <c r="D51" s="269" t="s">
        <v>802</v>
      </c>
      <c r="E51" s="269" t="str">
        <f t="array" ref="E51">IFERROR(INDEX(REF_CODES!$B$46:$B$50,MATCH($D51,REF_CODES!$C$46:$C$50,0)),"")</f>
        <v>NL-LOU</v>
      </c>
      <c r="F51" s="269" t="s">
        <v>3794</v>
      </c>
      <c r="G51" s="269" t="s">
        <v>3795</v>
      </c>
      <c r="H51" s="269"/>
      <c r="I51" s="269" t="s">
        <v>3359</v>
      </c>
      <c r="J51" s="269" t="s">
        <v>3797</v>
      </c>
      <c r="K51" s="269"/>
      <c r="L51" s="269"/>
      <c r="M51" s="269"/>
      <c r="N51" s="269"/>
      <c r="O51" s="269"/>
      <c r="P51" s="269"/>
      <c r="Q51" s="269"/>
      <c r="R51" s="269"/>
      <c r="S51" s="252"/>
      <c r="T51" s="5" t="s">
        <v>3799</v>
      </c>
      <c r="U51" s="252" t="s">
        <v>1229</v>
      </c>
      <c r="V51" s="252"/>
      <c r="W51" s="252"/>
      <c r="X51" s="252"/>
      <c r="Y51" s="252"/>
      <c r="Z51" s="5"/>
      <c r="AA51" s="5"/>
      <c r="AB51" s="5"/>
      <c r="AC51" s="5"/>
      <c r="AD51" s="5"/>
      <c r="AE51" s="5"/>
      <c r="AF51" s="5"/>
      <c r="AG51" s="252"/>
      <c r="AH51" s="5"/>
      <c r="AI51" s="270"/>
      <c r="AJ51" s="13"/>
      <c r="AK51" s="13"/>
    </row>
    <row r="52" ht="15.0" customHeight="1">
      <c r="A52" s="269" t="s">
        <v>2172</v>
      </c>
      <c r="B52" s="269" t="s">
        <v>1126</v>
      </c>
      <c r="C52" s="269" t="s">
        <v>3804</v>
      </c>
      <c r="D52" s="269" t="s">
        <v>802</v>
      </c>
      <c r="E52" s="269" t="str">
        <f t="array" ref="E52">IFERROR(INDEX(REF_CODES!$B$46:$B$50,MATCH($D52,REF_CODES!$C$46:$C$50,0)),"")</f>
        <v>NL-LOU</v>
      </c>
      <c r="F52" s="269" t="s">
        <v>3808</v>
      </c>
      <c r="G52" s="269" t="s">
        <v>3809</v>
      </c>
      <c r="H52" s="269"/>
      <c r="I52" s="269" t="s">
        <v>3810</v>
      </c>
      <c r="J52" s="269" t="s">
        <v>3811</v>
      </c>
      <c r="K52" s="269"/>
      <c r="L52" s="269"/>
      <c r="M52" s="269"/>
      <c r="N52" s="269"/>
      <c r="O52" s="269"/>
      <c r="P52" s="269"/>
      <c r="Q52" s="269"/>
      <c r="R52" s="269"/>
      <c r="S52" s="252"/>
      <c r="T52" s="5" t="s">
        <v>3814</v>
      </c>
      <c r="U52" s="252" t="s">
        <v>1229</v>
      </c>
      <c r="V52" s="252"/>
      <c r="W52" s="252"/>
      <c r="X52" s="252"/>
      <c r="Y52" s="252"/>
      <c r="Z52" s="5"/>
      <c r="AA52" s="5"/>
      <c r="AB52" s="5"/>
      <c r="AC52" s="5"/>
      <c r="AD52" s="5"/>
      <c r="AE52" s="5"/>
      <c r="AF52" s="5"/>
      <c r="AG52" s="252"/>
      <c r="AH52" s="5"/>
      <c r="AI52" s="270"/>
      <c r="AJ52" s="13"/>
      <c r="AK52" s="13"/>
    </row>
    <row r="53" ht="15.0" customHeight="1">
      <c r="A53" s="269" t="s">
        <v>2172</v>
      </c>
      <c r="B53" s="269" t="s">
        <v>1126</v>
      </c>
      <c r="C53" s="269" t="s">
        <v>3820</v>
      </c>
      <c r="D53" s="269" t="s">
        <v>802</v>
      </c>
      <c r="E53" s="269" t="str">
        <f t="array" ref="E53">IFERROR(INDEX(REF_CODES!$B$46:$B$50,MATCH($D53,REF_CODES!$C$46:$C$50,0)),"")</f>
        <v>NL-LOU</v>
      </c>
      <c r="F53" s="269" t="s">
        <v>3823</v>
      </c>
      <c r="G53" s="269" t="s">
        <v>3825</v>
      </c>
      <c r="H53" s="269"/>
      <c r="I53" s="269" t="s">
        <v>3359</v>
      </c>
      <c r="J53" s="269" t="s">
        <v>3827</v>
      </c>
      <c r="K53" s="269"/>
      <c r="L53" s="269"/>
      <c r="M53" s="269"/>
      <c r="N53" s="269"/>
      <c r="O53" s="269"/>
      <c r="P53" s="269"/>
      <c r="Q53" s="269"/>
      <c r="R53" s="269"/>
      <c r="S53" s="252"/>
      <c r="T53" s="5" t="s">
        <v>3830</v>
      </c>
      <c r="U53" s="252" t="s">
        <v>1229</v>
      </c>
      <c r="V53" s="252"/>
      <c r="W53" s="252"/>
      <c r="X53" s="252"/>
      <c r="Y53" s="252"/>
      <c r="Z53" s="5"/>
      <c r="AA53" s="5"/>
      <c r="AB53" s="5"/>
      <c r="AC53" s="5"/>
      <c r="AD53" s="5"/>
      <c r="AE53" s="5"/>
      <c r="AF53" s="5"/>
      <c r="AG53" s="252"/>
      <c r="AH53" s="5"/>
      <c r="AI53" s="270"/>
      <c r="AJ53" s="13"/>
      <c r="AK53" s="13"/>
    </row>
    <row r="54" ht="15.0" customHeight="1">
      <c r="A54" s="269" t="s">
        <v>2172</v>
      </c>
      <c r="B54" s="269" t="s">
        <v>1126</v>
      </c>
      <c r="C54" s="269" t="s">
        <v>3833</v>
      </c>
      <c r="D54" s="269" t="s">
        <v>802</v>
      </c>
      <c r="E54" s="269" t="str">
        <f t="array" ref="E54">IFERROR(INDEX(REF_CODES!$B$46:$B$50,MATCH($D54,REF_CODES!$C$46:$C$50,0)),"")</f>
        <v>NL-LOU</v>
      </c>
      <c r="F54" s="269" t="s">
        <v>3835</v>
      </c>
      <c r="G54" s="269" t="s">
        <v>3836</v>
      </c>
      <c r="H54" s="269"/>
      <c r="I54" s="269" t="s">
        <v>3838</v>
      </c>
      <c r="J54" s="269" t="s">
        <v>3839</v>
      </c>
      <c r="K54" s="269"/>
      <c r="L54" s="269"/>
      <c r="M54" s="269"/>
      <c r="N54" s="269"/>
      <c r="O54" s="269"/>
      <c r="P54" s="269"/>
      <c r="Q54" s="269"/>
      <c r="R54" s="269"/>
      <c r="S54" s="252"/>
      <c r="T54" s="5" t="s">
        <v>3840</v>
      </c>
      <c r="U54" s="252" t="s">
        <v>1229</v>
      </c>
      <c r="V54" s="252"/>
      <c r="W54" s="252"/>
      <c r="X54" s="252"/>
      <c r="Y54" s="252"/>
      <c r="Z54" s="5"/>
      <c r="AA54" s="5"/>
      <c r="AB54" s="5"/>
      <c r="AC54" s="5"/>
      <c r="AD54" s="5"/>
      <c r="AE54" s="5"/>
      <c r="AF54" s="5"/>
      <c r="AG54" s="252"/>
      <c r="AH54" s="5"/>
      <c r="AI54" s="270"/>
      <c r="AJ54" s="13"/>
      <c r="AK54" s="13"/>
    </row>
    <row r="55" ht="15.0" customHeight="1">
      <c r="A55" s="269" t="s">
        <v>2172</v>
      </c>
      <c r="B55" s="269" t="s">
        <v>1126</v>
      </c>
      <c r="C55" s="269" t="s">
        <v>3853</v>
      </c>
      <c r="D55" s="269" t="s">
        <v>802</v>
      </c>
      <c r="E55" s="269" t="str">
        <f t="array" ref="E55">IFERROR(INDEX(REF_CODES!$B$46:$B$50,MATCH($D55,REF_CODES!$C$46:$C$50,0)),"")</f>
        <v>NL-LOU</v>
      </c>
      <c r="F55" s="269" t="s">
        <v>3856</v>
      </c>
      <c r="G55" s="269" t="s">
        <v>3857</v>
      </c>
      <c r="H55" s="269"/>
      <c r="I55" s="269" t="s">
        <v>3060</v>
      </c>
      <c r="J55" s="269" t="s">
        <v>3858</v>
      </c>
      <c r="K55" s="269"/>
      <c r="L55" s="269"/>
      <c r="M55" s="269"/>
      <c r="N55" s="269"/>
      <c r="O55" s="269"/>
      <c r="P55" s="269"/>
      <c r="Q55" s="269"/>
      <c r="R55" s="269"/>
      <c r="S55" s="252"/>
      <c r="T55" s="5" t="s">
        <v>3860</v>
      </c>
      <c r="U55" s="252" t="s">
        <v>1229</v>
      </c>
      <c r="V55" s="252"/>
      <c r="W55" s="252"/>
      <c r="X55" s="252"/>
      <c r="Y55" s="252"/>
      <c r="Z55" s="5"/>
      <c r="AA55" s="5"/>
      <c r="AB55" s="5"/>
      <c r="AC55" s="5"/>
      <c r="AD55" s="5"/>
      <c r="AE55" s="5"/>
      <c r="AF55" s="5"/>
      <c r="AG55" s="252"/>
      <c r="AH55" s="5"/>
      <c r="AI55" s="270"/>
      <c r="AJ55" s="13"/>
      <c r="AK55" s="13"/>
    </row>
    <row r="56" ht="15.0" customHeight="1">
      <c r="A56" s="269" t="s">
        <v>2172</v>
      </c>
      <c r="B56" s="269" t="s">
        <v>1126</v>
      </c>
      <c r="C56" s="269" t="s">
        <v>3862</v>
      </c>
      <c r="D56" s="269" t="s">
        <v>802</v>
      </c>
      <c r="E56" s="269" t="str">
        <f t="array" ref="E56">IFERROR(INDEX(REF_CODES!$B$46:$B$50,MATCH($D56,REF_CODES!$C$46:$C$50,0)),"")</f>
        <v>NL-LOU</v>
      </c>
      <c r="F56" s="269" t="s">
        <v>3867</v>
      </c>
      <c r="G56" s="269" t="s">
        <v>3868</v>
      </c>
      <c r="H56" s="269"/>
      <c r="I56" s="269" t="s">
        <v>3113</v>
      </c>
      <c r="J56" s="269" t="s">
        <v>3869</v>
      </c>
      <c r="K56" s="269"/>
      <c r="L56" s="269"/>
      <c r="M56" s="269"/>
      <c r="N56" s="269"/>
      <c r="O56" s="269"/>
      <c r="P56" s="269"/>
      <c r="Q56" s="269"/>
      <c r="R56" s="269"/>
      <c r="S56" s="252"/>
      <c r="T56" s="5" t="s">
        <v>3870</v>
      </c>
      <c r="U56" s="252" t="s">
        <v>1229</v>
      </c>
      <c r="V56" s="252"/>
      <c r="W56" s="252"/>
      <c r="X56" s="252"/>
      <c r="Y56" s="252"/>
      <c r="Z56" s="5"/>
      <c r="AA56" s="5"/>
      <c r="AB56" s="5"/>
      <c r="AC56" s="5"/>
      <c r="AD56" s="5"/>
      <c r="AE56" s="5"/>
      <c r="AF56" s="5"/>
      <c r="AG56" s="252"/>
      <c r="AH56" s="5"/>
      <c r="AI56" s="270"/>
      <c r="AJ56" s="13"/>
      <c r="AK56" s="13"/>
    </row>
    <row r="57" ht="15.0" customHeight="1">
      <c r="A57" s="269" t="s">
        <v>2172</v>
      </c>
      <c r="B57" s="269" t="s">
        <v>1126</v>
      </c>
      <c r="C57" s="269" t="s">
        <v>3876</v>
      </c>
      <c r="D57" s="269" t="s">
        <v>802</v>
      </c>
      <c r="E57" s="269" t="str">
        <f t="array" ref="E57">IFERROR(INDEX(REF_CODES!$B$46:$B$50,MATCH($D57,REF_CODES!$C$46:$C$50,0)),"")</f>
        <v>NL-LOU</v>
      </c>
      <c r="F57" s="269" t="s">
        <v>3877</v>
      </c>
      <c r="G57" s="269" t="s">
        <v>2224</v>
      </c>
      <c r="H57" s="269"/>
      <c r="I57" s="269" t="s">
        <v>3879</v>
      </c>
      <c r="J57" s="269" t="s">
        <v>3839</v>
      </c>
      <c r="K57" s="269"/>
      <c r="L57" s="269"/>
      <c r="M57" s="269"/>
      <c r="N57" s="269"/>
      <c r="O57" s="269"/>
      <c r="P57" s="269"/>
      <c r="Q57" s="269"/>
      <c r="R57" s="269"/>
      <c r="S57" s="252"/>
      <c r="T57" s="5" t="s">
        <v>1229</v>
      </c>
      <c r="U57" s="252" t="s">
        <v>1229</v>
      </c>
      <c r="V57" s="252"/>
      <c r="W57" s="252"/>
      <c r="X57" s="252"/>
      <c r="Y57" s="252"/>
      <c r="Z57" s="5"/>
      <c r="AA57" s="5"/>
      <c r="AB57" s="5"/>
      <c r="AC57" s="5"/>
      <c r="AD57" s="5"/>
      <c r="AE57" s="5"/>
      <c r="AF57" s="5"/>
      <c r="AG57" s="252"/>
      <c r="AH57" s="5"/>
      <c r="AI57" s="270"/>
      <c r="AJ57" s="13"/>
      <c r="AK57" s="13"/>
    </row>
    <row r="58" ht="15.0" customHeight="1">
      <c r="A58" s="269" t="s">
        <v>2172</v>
      </c>
      <c r="B58" s="269" t="s">
        <v>1126</v>
      </c>
      <c r="C58" s="269" t="s">
        <v>3889</v>
      </c>
      <c r="D58" s="269" t="s">
        <v>802</v>
      </c>
      <c r="E58" s="269" t="str">
        <f t="array" ref="E58">IFERROR(INDEX(REF_CODES!$B$46:$B$50,MATCH($D58,REF_CODES!$C$46:$C$50,0)),"")</f>
        <v>NL-LOU</v>
      </c>
      <c r="F58" s="269" t="s">
        <v>3891</v>
      </c>
      <c r="G58" s="269" t="s">
        <v>2317</v>
      </c>
      <c r="H58" s="269"/>
      <c r="I58" s="269" t="s">
        <v>3381</v>
      </c>
      <c r="J58" s="269" t="s">
        <v>3892</v>
      </c>
      <c r="K58" s="269"/>
      <c r="L58" s="269"/>
      <c r="M58" s="269"/>
      <c r="N58" s="269"/>
      <c r="O58" s="269"/>
      <c r="P58" s="269"/>
      <c r="Q58" s="269"/>
      <c r="R58" s="269"/>
      <c r="S58" s="252"/>
      <c r="T58" s="5" t="s">
        <v>3893</v>
      </c>
      <c r="U58" s="252" t="s">
        <v>1229</v>
      </c>
      <c r="V58" s="252"/>
      <c r="W58" s="252"/>
      <c r="X58" s="252"/>
      <c r="Y58" s="252"/>
      <c r="Z58" s="5"/>
      <c r="AA58" s="5"/>
      <c r="AB58" s="5"/>
      <c r="AC58" s="5"/>
      <c r="AD58" s="5"/>
      <c r="AE58" s="5"/>
      <c r="AF58" s="5"/>
      <c r="AG58" s="252"/>
      <c r="AH58" s="5"/>
      <c r="AI58" s="270"/>
      <c r="AJ58" s="13"/>
      <c r="AK58" s="13"/>
    </row>
    <row r="59" ht="15.0" customHeight="1">
      <c r="A59" s="269" t="s">
        <v>2172</v>
      </c>
      <c r="B59" s="269" t="s">
        <v>1126</v>
      </c>
      <c r="C59" s="269" t="s">
        <v>3902</v>
      </c>
      <c r="D59" s="269" t="s">
        <v>802</v>
      </c>
      <c r="E59" s="269" t="str">
        <f t="array" ref="E59">IFERROR(INDEX(REF_CODES!$B$46:$B$50,MATCH($D59,REF_CODES!$C$46:$C$50,0)),"")</f>
        <v>NL-LOU</v>
      </c>
      <c r="F59" s="269" t="s">
        <v>3906</v>
      </c>
      <c r="G59" s="269" t="s">
        <v>3907</v>
      </c>
      <c r="H59" s="269"/>
      <c r="I59" s="269" t="s">
        <v>3359</v>
      </c>
      <c r="J59" s="269" t="s">
        <v>3909</v>
      </c>
      <c r="K59" s="269"/>
      <c r="L59" s="269"/>
      <c r="M59" s="269"/>
      <c r="N59" s="269"/>
      <c r="O59" s="269"/>
      <c r="P59" s="269"/>
      <c r="Q59" s="269"/>
      <c r="R59" s="269"/>
      <c r="S59" s="252"/>
      <c r="T59" s="5" t="s">
        <v>1229</v>
      </c>
      <c r="U59" s="252" t="s">
        <v>1229</v>
      </c>
      <c r="V59" s="252"/>
      <c r="W59" s="252"/>
      <c r="X59" s="252"/>
      <c r="Y59" s="252"/>
      <c r="Z59" s="5"/>
      <c r="AA59" s="5"/>
      <c r="AB59" s="5"/>
      <c r="AC59" s="5"/>
      <c r="AD59" s="5"/>
      <c r="AE59" s="5"/>
      <c r="AF59" s="5"/>
      <c r="AG59" s="252"/>
      <c r="AH59" s="5"/>
      <c r="AI59" s="270"/>
      <c r="AJ59" s="13"/>
      <c r="AK59" s="13"/>
    </row>
    <row r="60" ht="15.0" customHeight="1">
      <c r="A60" s="269" t="s">
        <v>2172</v>
      </c>
      <c r="B60" s="269" t="s">
        <v>1126</v>
      </c>
      <c r="C60" s="269" t="s">
        <v>3916</v>
      </c>
      <c r="D60" s="269" t="s">
        <v>792</v>
      </c>
      <c r="E60" s="269" t="str">
        <f t="array" ref="E60">IFERROR(INDEX(REF_CODES!$B$46:$B$50,MATCH($D60,REF_CODES!$C$46:$C$50,0)),"")</f>
        <v>NL-CLU</v>
      </c>
      <c r="F60" s="269" t="s">
        <v>3922</v>
      </c>
      <c r="G60" s="269" t="s">
        <v>3868</v>
      </c>
      <c r="H60" s="269"/>
      <c r="I60" s="269" t="s">
        <v>3751</v>
      </c>
      <c r="J60" s="269" t="s">
        <v>3923</v>
      </c>
      <c r="K60" s="269"/>
      <c r="L60" s="269"/>
      <c r="M60" s="269"/>
      <c r="N60" s="269"/>
      <c r="O60" s="269"/>
      <c r="P60" s="269"/>
      <c r="Q60" s="269"/>
      <c r="R60" s="269"/>
      <c r="S60" s="252"/>
      <c r="T60" s="5" t="s">
        <v>3870</v>
      </c>
      <c r="U60" s="252" t="s">
        <v>1229</v>
      </c>
      <c r="V60" s="252"/>
      <c r="W60" s="252"/>
      <c r="X60" s="252"/>
      <c r="Y60" s="252"/>
      <c r="Z60" s="5"/>
      <c r="AA60" s="5"/>
      <c r="AB60" s="5"/>
      <c r="AC60" s="5"/>
      <c r="AD60" s="5"/>
      <c r="AE60" s="5"/>
      <c r="AF60" s="5"/>
      <c r="AG60" s="252"/>
      <c r="AH60" s="5"/>
      <c r="AI60" s="270"/>
      <c r="AJ60" s="13"/>
      <c r="AK60" s="13"/>
    </row>
    <row r="61" ht="15.0" customHeight="1">
      <c r="A61" s="269" t="s">
        <v>2172</v>
      </c>
      <c r="B61" s="269" t="s">
        <v>1126</v>
      </c>
      <c r="C61" s="269" t="s">
        <v>3930</v>
      </c>
      <c r="D61" s="269" t="s">
        <v>792</v>
      </c>
      <c r="E61" s="269" t="str">
        <f t="array" ref="E61">IFERROR(INDEX(REF_CODES!$B$46:$B$50,MATCH($D61,REF_CODES!$C$46:$C$50,0)),"")</f>
        <v>NL-CLU</v>
      </c>
      <c r="F61" s="269" t="s">
        <v>3749</v>
      </c>
      <c r="G61" s="269" t="s">
        <v>3795</v>
      </c>
      <c r="H61" s="269"/>
      <c r="I61" s="269" t="s">
        <v>3751</v>
      </c>
      <c r="J61" s="269" t="s">
        <v>3938</v>
      </c>
      <c r="K61" s="269"/>
      <c r="L61" s="269"/>
      <c r="M61" s="269"/>
      <c r="N61" s="269"/>
      <c r="O61" s="269"/>
      <c r="P61" s="269"/>
      <c r="Q61" s="269"/>
      <c r="R61" s="269"/>
      <c r="S61" s="252"/>
      <c r="T61" s="5" t="s">
        <v>3756</v>
      </c>
      <c r="U61" s="252" t="s">
        <v>1229</v>
      </c>
      <c r="V61" s="252"/>
      <c r="W61" s="252"/>
      <c r="X61" s="252"/>
      <c r="Y61" s="252"/>
      <c r="Z61" s="5"/>
      <c r="AA61" s="5"/>
      <c r="AB61" s="5"/>
      <c r="AC61" s="5"/>
      <c r="AD61" s="5"/>
      <c r="AE61" s="5"/>
      <c r="AF61" s="5"/>
      <c r="AG61" s="252"/>
      <c r="AH61" s="5"/>
      <c r="AI61" s="270"/>
      <c r="AJ61" s="13"/>
      <c r="AK61" s="13"/>
    </row>
    <row r="62" ht="15.0" customHeight="1">
      <c r="A62" s="269" t="s">
        <v>2172</v>
      </c>
      <c r="B62" s="269" t="s">
        <v>1126</v>
      </c>
      <c r="C62" s="269" t="s">
        <v>3943</v>
      </c>
      <c r="D62" s="269" t="s">
        <v>792</v>
      </c>
      <c r="E62" s="269" t="str">
        <f t="array" ref="E62">IFERROR(INDEX(REF_CODES!$B$46:$B$50,MATCH($D62,REF_CODES!$C$46:$C$50,0)),"")</f>
        <v>NL-CLU</v>
      </c>
      <c r="F62" s="269" t="s">
        <v>3947</v>
      </c>
      <c r="G62" s="269" t="s">
        <v>3948</v>
      </c>
      <c r="H62" s="269"/>
      <c r="I62" s="269" t="s">
        <v>3751</v>
      </c>
      <c r="J62" s="269" t="s">
        <v>3950</v>
      </c>
      <c r="K62" s="269"/>
      <c r="L62" s="269"/>
      <c r="M62" s="269"/>
      <c r="N62" s="269"/>
      <c r="O62" s="269"/>
      <c r="P62" s="269"/>
      <c r="Q62" s="269"/>
      <c r="R62" s="269"/>
      <c r="S62" s="252"/>
      <c r="T62" s="5" t="s">
        <v>3952</v>
      </c>
      <c r="U62" s="252" t="s">
        <v>1229</v>
      </c>
      <c r="V62" s="252"/>
      <c r="W62" s="252"/>
      <c r="X62" s="252"/>
      <c r="Y62" s="252"/>
      <c r="Z62" s="5"/>
      <c r="AA62" s="5"/>
      <c r="AB62" s="5"/>
      <c r="AC62" s="5"/>
      <c r="AD62" s="5"/>
      <c r="AE62" s="5"/>
      <c r="AF62" s="5"/>
      <c r="AG62" s="252"/>
      <c r="AH62" s="5"/>
      <c r="AI62" s="270"/>
      <c r="AJ62" s="13"/>
      <c r="AK62" s="13"/>
    </row>
    <row r="63" ht="15.0" customHeight="1">
      <c r="A63" s="269" t="s">
        <v>2172</v>
      </c>
      <c r="B63" s="269" t="s">
        <v>1126</v>
      </c>
      <c r="C63" s="269" t="s">
        <v>3957</v>
      </c>
      <c r="D63" s="269" t="s">
        <v>792</v>
      </c>
      <c r="E63" s="269" t="str">
        <f t="array" ref="E63">IFERROR(INDEX(REF_CODES!$B$46:$B$50,MATCH($D63,REF_CODES!$C$46:$C$50,0)),"")</f>
        <v>NL-CLU</v>
      </c>
      <c r="F63" s="269" t="s">
        <v>3961</v>
      </c>
      <c r="G63" s="269" t="s">
        <v>2224</v>
      </c>
      <c r="H63" s="269"/>
      <c r="I63" s="269" t="s">
        <v>3962</v>
      </c>
      <c r="J63" s="269" t="s">
        <v>741</v>
      </c>
      <c r="K63" s="269"/>
      <c r="L63" s="269"/>
      <c r="M63" s="269"/>
      <c r="N63" s="269"/>
      <c r="O63" s="269"/>
      <c r="P63" s="269"/>
      <c r="Q63" s="269"/>
      <c r="R63" s="269"/>
      <c r="S63" s="252"/>
      <c r="T63" s="5" t="s">
        <v>3964</v>
      </c>
      <c r="U63" s="252" t="s">
        <v>1229</v>
      </c>
      <c r="V63" s="252"/>
      <c r="W63" s="252"/>
      <c r="X63" s="252"/>
      <c r="Y63" s="252"/>
      <c r="Z63" s="5"/>
      <c r="AA63" s="5"/>
      <c r="AB63" s="5"/>
      <c r="AC63" s="5"/>
      <c r="AD63" s="5"/>
      <c r="AE63" s="5"/>
      <c r="AF63" s="5"/>
      <c r="AG63" s="252"/>
      <c r="AH63" s="5"/>
      <c r="AI63" s="270"/>
      <c r="AJ63" s="13"/>
      <c r="AK63" s="13"/>
    </row>
    <row r="64" ht="15.0" customHeight="1">
      <c r="A64" s="269" t="s">
        <v>2172</v>
      </c>
      <c r="B64" s="269" t="s">
        <v>1126</v>
      </c>
      <c r="C64" s="269" t="s">
        <v>3971</v>
      </c>
      <c r="D64" s="269" t="s">
        <v>792</v>
      </c>
      <c r="E64" s="269" t="str">
        <f t="array" ref="E64">IFERROR(INDEX(REF_CODES!$B$46:$B$50,MATCH($D64,REF_CODES!$C$46:$C$50,0)),"")</f>
        <v>NL-CLU</v>
      </c>
      <c r="F64" s="269" t="s">
        <v>2989</v>
      </c>
      <c r="G64" s="269" t="s">
        <v>2425</v>
      </c>
      <c r="H64" s="269"/>
      <c r="I64" s="269" t="s">
        <v>3974</v>
      </c>
      <c r="J64" s="269" t="s">
        <v>3975</v>
      </c>
      <c r="K64" s="269"/>
      <c r="L64" s="269"/>
      <c r="M64" s="269"/>
      <c r="N64" s="269"/>
      <c r="O64" s="269"/>
      <c r="P64" s="269"/>
      <c r="Q64" s="269"/>
      <c r="R64" s="269"/>
      <c r="S64" s="252"/>
      <c r="T64" s="5" t="s">
        <v>3976</v>
      </c>
      <c r="U64" s="252" t="s">
        <v>1229</v>
      </c>
      <c r="V64" s="252"/>
      <c r="W64" s="252"/>
      <c r="X64" s="252"/>
      <c r="Y64" s="252"/>
      <c r="Z64" s="5"/>
      <c r="AA64" s="5"/>
      <c r="AB64" s="5"/>
      <c r="AC64" s="5"/>
      <c r="AD64" s="5"/>
      <c r="AE64" s="5"/>
      <c r="AF64" s="5"/>
      <c r="AG64" s="252"/>
      <c r="AH64" s="5"/>
      <c r="AI64" s="270"/>
      <c r="AJ64" s="13"/>
      <c r="AK64" s="13"/>
    </row>
    <row r="65" ht="15.0" customHeight="1">
      <c r="A65" s="269" t="s">
        <v>2172</v>
      </c>
      <c r="B65" s="269" t="s">
        <v>1126</v>
      </c>
      <c r="C65" s="269" t="s">
        <v>3980</v>
      </c>
      <c r="D65" s="269" t="s">
        <v>792</v>
      </c>
      <c r="E65" s="269" t="str">
        <f t="array" ref="E65">IFERROR(INDEX(REF_CODES!$B$46:$B$50,MATCH($D65,REF_CODES!$C$46:$C$50,0)),"")</f>
        <v>NL-CLU</v>
      </c>
      <c r="F65" s="269" t="s">
        <v>3986</v>
      </c>
      <c r="G65" s="269" t="s">
        <v>3825</v>
      </c>
      <c r="H65" s="269"/>
      <c r="I65" s="269" t="s">
        <v>2935</v>
      </c>
      <c r="J65" s="269" t="s">
        <v>3988</v>
      </c>
      <c r="K65" s="269"/>
      <c r="L65" s="269"/>
      <c r="M65" s="269"/>
      <c r="N65" s="269"/>
      <c r="O65" s="269"/>
      <c r="P65" s="269"/>
      <c r="Q65" s="269"/>
      <c r="R65" s="269"/>
      <c r="S65" s="252"/>
      <c r="T65" s="5" t="s">
        <v>3830</v>
      </c>
      <c r="U65" s="252" t="s">
        <v>1229</v>
      </c>
      <c r="V65" s="252"/>
      <c r="W65" s="252"/>
      <c r="X65" s="252"/>
      <c r="Y65" s="252"/>
      <c r="Z65" s="5"/>
      <c r="AA65" s="5"/>
      <c r="AB65" s="5"/>
      <c r="AC65" s="5"/>
      <c r="AD65" s="5"/>
      <c r="AE65" s="5"/>
      <c r="AF65" s="5"/>
      <c r="AG65" s="252"/>
      <c r="AH65" s="5"/>
      <c r="AI65" s="270"/>
      <c r="AJ65" s="13"/>
      <c r="AK65" s="13"/>
    </row>
    <row r="66" ht="15.0" customHeight="1">
      <c r="A66" s="269" t="s">
        <v>2172</v>
      </c>
      <c r="B66" s="269" t="s">
        <v>1126</v>
      </c>
      <c r="C66" s="269" t="s">
        <v>3993</v>
      </c>
      <c r="D66" s="269" t="s">
        <v>792</v>
      </c>
      <c r="E66" s="269" t="str">
        <f t="array" ref="E66">IFERROR(INDEX(REF_CODES!$B$46:$B$50,MATCH($D66,REF_CODES!$C$46:$C$50,0)),"")</f>
        <v>NL-CLU</v>
      </c>
      <c r="F66" s="269" t="s">
        <v>3997</v>
      </c>
      <c r="G66" s="269" t="s">
        <v>3998</v>
      </c>
      <c r="H66" s="269"/>
      <c r="I66" s="269" t="s">
        <v>2935</v>
      </c>
      <c r="J66" s="269" t="s">
        <v>3999</v>
      </c>
      <c r="K66" s="269"/>
      <c r="L66" s="269"/>
      <c r="M66" s="269"/>
      <c r="N66" s="269"/>
      <c r="O66" s="269"/>
      <c r="P66" s="269"/>
      <c r="Q66" s="269"/>
      <c r="R66" s="269"/>
      <c r="S66" s="252"/>
      <c r="T66" s="5" t="s">
        <v>3870</v>
      </c>
      <c r="U66" s="252" t="s">
        <v>1229</v>
      </c>
      <c r="V66" s="252"/>
      <c r="W66" s="252"/>
      <c r="X66" s="252"/>
      <c r="Y66" s="252"/>
      <c r="Z66" s="5"/>
      <c r="AA66" s="5"/>
      <c r="AB66" s="5"/>
      <c r="AC66" s="5"/>
      <c r="AD66" s="5"/>
      <c r="AE66" s="5"/>
      <c r="AF66" s="5"/>
      <c r="AG66" s="252"/>
      <c r="AH66" s="5"/>
      <c r="AI66" s="270"/>
      <c r="AJ66" s="13"/>
      <c r="AK66" s="13"/>
    </row>
    <row r="67" ht="15.0" customHeight="1">
      <c r="A67" s="269" t="s">
        <v>2172</v>
      </c>
      <c r="B67" s="269" t="s">
        <v>1126</v>
      </c>
      <c r="C67" s="269" t="s">
        <v>4007</v>
      </c>
      <c r="D67" s="269" t="s">
        <v>792</v>
      </c>
      <c r="E67" s="269" t="str">
        <f t="array" ref="E67">IFERROR(INDEX(REF_CODES!$B$46:$B$50,MATCH($D67,REF_CODES!$C$46:$C$50,0)),"")</f>
        <v>NL-CLU</v>
      </c>
      <c r="F67" s="269" t="s">
        <v>4008</v>
      </c>
      <c r="G67" s="269" t="s">
        <v>3948</v>
      </c>
      <c r="H67" s="269"/>
      <c r="I67" s="269" t="s">
        <v>3962</v>
      </c>
      <c r="J67" s="269" t="s">
        <v>4009</v>
      </c>
      <c r="K67" s="269"/>
      <c r="L67" s="269"/>
      <c r="M67" s="269"/>
      <c r="N67" s="269"/>
      <c r="O67" s="269"/>
      <c r="P67" s="269"/>
      <c r="Q67" s="269"/>
      <c r="R67" s="269"/>
      <c r="S67" s="252"/>
      <c r="T67" s="5" t="s">
        <v>4011</v>
      </c>
      <c r="U67" s="252" t="s">
        <v>1229</v>
      </c>
      <c r="V67" s="252"/>
      <c r="W67" s="252"/>
      <c r="X67" s="252"/>
      <c r="Y67" s="252"/>
      <c r="Z67" s="5"/>
      <c r="AA67" s="5"/>
      <c r="AB67" s="5"/>
      <c r="AC67" s="5"/>
      <c r="AD67" s="5"/>
      <c r="AE67" s="5"/>
      <c r="AF67" s="5"/>
      <c r="AG67" s="252"/>
      <c r="AH67" s="5"/>
      <c r="AI67" s="270"/>
      <c r="AJ67" s="13"/>
      <c r="AK67" s="13"/>
    </row>
    <row r="68" ht="15.0" customHeight="1">
      <c r="A68" s="269" t="s">
        <v>2172</v>
      </c>
      <c r="B68" s="269" t="s">
        <v>2046</v>
      </c>
      <c r="C68" s="269" t="s">
        <v>4017</v>
      </c>
      <c r="D68" s="269" t="s">
        <v>817</v>
      </c>
      <c r="E68" s="269" t="str">
        <f t="array" ref="E68">IFERROR(INDEX(REF_CODES!$B$46:$B$50,MATCH($D68,REF_CODES!$C$46:$C$50,0)),"")</f>
        <v>NL-SHO</v>
      </c>
      <c r="F68" s="269" t="s">
        <v>3235</v>
      </c>
      <c r="G68" s="269" t="s">
        <v>2511</v>
      </c>
      <c r="H68" s="269"/>
      <c r="I68" s="269" t="s">
        <v>4020</v>
      </c>
      <c r="J68" s="269"/>
      <c r="K68" s="269" t="s">
        <v>195</v>
      </c>
      <c r="L68" s="269"/>
      <c r="M68" s="269"/>
      <c r="N68" s="269"/>
      <c r="O68" s="269" t="s">
        <v>4022</v>
      </c>
      <c r="P68" s="269" t="s">
        <v>146</v>
      </c>
      <c r="Q68" s="269"/>
      <c r="R68" s="269"/>
      <c r="S68" s="252" t="s">
        <v>4024</v>
      </c>
      <c r="T68" s="5"/>
      <c r="U68" s="252"/>
      <c r="V68" s="252"/>
      <c r="W68" s="252"/>
      <c r="X68" s="252"/>
      <c r="Y68" s="252"/>
      <c r="Z68" s="5"/>
      <c r="AA68" s="5"/>
      <c r="AB68" s="5"/>
      <c r="AC68" s="5"/>
      <c r="AD68" s="5"/>
      <c r="AE68" s="5"/>
      <c r="AF68" s="5"/>
      <c r="AG68" s="252"/>
      <c r="AH68" s="5"/>
      <c r="AI68" s="270"/>
      <c r="AJ68" s="13"/>
      <c r="AK68" s="13"/>
    </row>
    <row r="69" ht="15.0" customHeight="1">
      <c r="A69" s="269" t="s">
        <v>2172</v>
      </c>
      <c r="B69" s="269" t="s">
        <v>2046</v>
      </c>
      <c r="C69" s="269" t="s">
        <v>4030</v>
      </c>
      <c r="D69" s="269" t="s">
        <v>817</v>
      </c>
      <c r="E69" s="269" t="str">
        <f t="array" ref="E69">IFERROR(INDEX(REF_CODES!$B$46:$B$50,MATCH($D69,REF_CODES!$C$46:$C$50,0)),"")</f>
        <v>NL-SHO</v>
      </c>
      <c r="F69" s="269" t="s">
        <v>3262</v>
      </c>
      <c r="G69" s="269" t="s">
        <v>4031</v>
      </c>
      <c r="H69" s="269"/>
      <c r="I69" s="269" t="s">
        <v>4032</v>
      </c>
      <c r="J69" s="269"/>
      <c r="K69" s="269" t="s">
        <v>195</v>
      </c>
      <c r="L69" s="269"/>
      <c r="M69" s="269"/>
      <c r="N69" s="269"/>
      <c r="O69" s="269" t="s">
        <v>4022</v>
      </c>
      <c r="P69" s="269" t="s">
        <v>146</v>
      </c>
      <c r="Q69" s="269"/>
      <c r="R69" s="269"/>
      <c r="S69" s="252" t="s">
        <v>4024</v>
      </c>
      <c r="T69" s="5"/>
      <c r="U69" s="252"/>
      <c r="V69" s="252"/>
      <c r="W69" s="252"/>
      <c r="X69" s="252"/>
      <c r="Y69" s="252"/>
      <c r="Z69" s="5"/>
      <c r="AA69" s="5"/>
      <c r="AB69" s="5"/>
      <c r="AC69" s="5"/>
      <c r="AD69" s="5"/>
      <c r="AE69" s="5"/>
      <c r="AF69" s="5"/>
      <c r="AG69" s="252"/>
      <c r="AH69" s="5"/>
      <c r="AI69" s="270"/>
      <c r="AJ69" s="13"/>
      <c r="AK69" s="13"/>
    </row>
    <row r="70" ht="15.0" customHeight="1">
      <c r="A70" s="249" t="s">
        <v>2172</v>
      </c>
      <c r="B70" s="249" t="s">
        <v>1126</v>
      </c>
      <c r="C70" s="249" t="s">
        <v>4039</v>
      </c>
      <c r="D70" s="249" t="s">
        <v>817</v>
      </c>
      <c r="E70" s="269" t="s">
        <v>405</v>
      </c>
      <c r="F70" s="249" t="s">
        <v>2379</v>
      </c>
      <c r="G70" s="249" t="s">
        <v>4041</v>
      </c>
      <c r="H70" s="249">
        <v>50.0</v>
      </c>
      <c r="I70" s="249"/>
      <c r="J70" s="249"/>
      <c r="K70" s="249" t="s">
        <v>195</v>
      </c>
      <c r="N70" s="269" t="s">
        <v>473</v>
      </c>
      <c r="O70" s="269" t="s">
        <v>503</v>
      </c>
      <c r="P70" s="269" t="s">
        <v>146</v>
      </c>
      <c r="S70" s="13"/>
      <c r="T70" s="275" t="s">
        <v>4042</v>
      </c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76"/>
      <c r="AJ70" s="13"/>
      <c r="AK70" s="13"/>
    </row>
    <row r="71" ht="15.0" customHeight="1">
      <c r="A71" s="249" t="s">
        <v>2172</v>
      </c>
      <c r="B71" s="249" t="s">
        <v>1126</v>
      </c>
      <c r="C71" s="249" t="s">
        <v>4045</v>
      </c>
      <c r="D71" s="249" t="s">
        <v>841</v>
      </c>
      <c r="E71" s="269" t="s">
        <v>412</v>
      </c>
      <c r="F71" s="249" t="s">
        <v>4046</v>
      </c>
      <c r="G71" s="249" t="s">
        <v>4047</v>
      </c>
      <c r="H71" s="249">
        <v>40.0</v>
      </c>
      <c r="I71" s="249"/>
      <c r="J71" s="249"/>
      <c r="K71" s="249" t="s">
        <v>188</v>
      </c>
      <c r="N71" s="269" t="s">
        <v>465</v>
      </c>
      <c r="O71" s="269" t="s">
        <v>503</v>
      </c>
      <c r="P71" s="269" t="s">
        <v>142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76"/>
      <c r="AJ71" s="13"/>
      <c r="AK71" s="13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K$2">
    <sortState ref="A2:AK2">
      <sortCondition ref="C2"/>
    </sortState>
  </autoFilter>
  <mergeCells count="1">
    <mergeCell ref="B1:K1"/>
  </mergeCells>
  <dataValidations>
    <dataValidation type="list" allowBlank="1" showErrorMessage="1" sqref="AK3:AK64">
      <formula1>POI_TAGS</formula1>
    </dataValidation>
    <dataValidation type="list" allowBlank="1" showErrorMessage="1" sqref="AJ3:AJ64">
      <formula1>ACC_TAGS</formula1>
    </dataValidation>
    <dataValidation type="list" allowBlank="1" showErrorMessage="1" sqref="D3:D64">
      <formula1>REF_CODES!$C$46:$C$50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3" width="17.75"/>
    <col customWidth="1" min="4" max="4" width="21.0"/>
    <col customWidth="1" min="5" max="7" width="17.75"/>
    <col customWidth="1" min="8" max="8" width="18.0"/>
    <col customWidth="1" min="9" max="9" width="27.0"/>
    <col customWidth="1" min="10" max="10" width="17.75"/>
    <col customWidth="1" min="11" max="11" width="30.0"/>
    <col customWidth="1" min="12" max="12" width="29.0"/>
    <col customWidth="1" min="13" max="13" width="30.0"/>
    <col customWidth="1" min="14" max="14" width="25.0"/>
    <col customWidth="1" min="15" max="15" width="27.0"/>
    <col customWidth="1" min="16" max="17" width="23.0"/>
    <col customWidth="1" min="18" max="18" width="24.0"/>
    <col customWidth="1" min="19" max="20" width="17.75"/>
    <col customWidth="1" min="21" max="27" width="20.0"/>
  </cols>
  <sheetData>
    <row r="1" ht="15.0" customHeight="1">
      <c r="A1" s="6"/>
      <c r="B1" s="230" t="s">
        <v>4681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6"/>
      <c r="V1" s="6"/>
      <c r="W1" s="6"/>
      <c r="X1" s="6"/>
      <c r="Y1" s="6"/>
      <c r="Z1" s="6"/>
      <c r="AA1" s="6"/>
    </row>
    <row r="2" ht="42.0" customHeight="1">
      <c r="A2" s="231" t="s">
        <v>2134</v>
      </c>
      <c r="B2" s="231" t="s">
        <v>2136</v>
      </c>
      <c r="C2" s="231" t="s">
        <v>2137</v>
      </c>
      <c r="D2" s="231" t="s">
        <v>2152</v>
      </c>
      <c r="E2" s="231" t="s">
        <v>8</v>
      </c>
      <c r="F2" s="231" t="s">
        <v>4693</v>
      </c>
      <c r="G2" s="231" t="s">
        <v>4695</v>
      </c>
      <c r="H2" s="231" t="s">
        <v>4697</v>
      </c>
      <c r="I2" s="231" t="s">
        <v>4698</v>
      </c>
      <c r="J2" s="231" t="s">
        <v>4700</v>
      </c>
      <c r="K2" s="231" t="s">
        <v>4701</v>
      </c>
      <c r="L2" s="231" t="s">
        <v>4705</v>
      </c>
      <c r="M2" s="231" t="s">
        <v>4706</v>
      </c>
      <c r="N2" s="231" t="s">
        <v>4707</v>
      </c>
      <c r="O2" s="231" t="s">
        <v>4708</v>
      </c>
      <c r="P2" s="231" t="s">
        <v>4709</v>
      </c>
      <c r="Q2" s="231" t="s">
        <v>4710</v>
      </c>
      <c r="R2" s="231" t="s">
        <v>4712</v>
      </c>
      <c r="S2" s="231" t="s">
        <v>4713</v>
      </c>
      <c r="T2" s="231" t="s">
        <v>2135</v>
      </c>
      <c r="U2" s="231" t="s">
        <v>2185</v>
      </c>
      <c r="V2" s="231" t="s">
        <v>4714</v>
      </c>
      <c r="W2" s="231" t="s">
        <v>2246</v>
      </c>
      <c r="X2" s="231" t="s">
        <v>2158</v>
      </c>
      <c r="Y2" s="231" t="s">
        <v>2159</v>
      </c>
      <c r="Z2" s="231" t="s">
        <v>27</v>
      </c>
      <c r="AA2" s="231" t="s">
        <v>2188</v>
      </c>
    </row>
    <row r="3" ht="14.25" customHeight="1">
      <c r="A3" s="5" t="s">
        <v>1919</v>
      </c>
      <c r="B3" s="5" t="s">
        <v>4717</v>
      </c>
      <c r="C3" s="5" t="s">
        <v>4718</v>
      </c>
      <c r="D3" s="5" t="s">
        <v>1344</v>
      </c>
      <c r="E3" s="5" t="str">
        <f t="array" ref="E3">IFERROR(INDEX(REF_CODES!$B$87:$B$132,MATCH($D3,REF_CODES!$C$87:$C$132,0)),"")</f>
        <v>EVT-WED</v>
      </c>
      <c r="F3" s="5" t="s">
        <v>4739</v>
      </c>
      <c r="G3" s="5" t="s">
        <v>4742</v>
      </c>
      <c r="H3" s="5" t="s">
        <v>4744</v>
      </c>
      <c r="I3" s="5" t="s">
        <v>4746</v>
      </c>
      <c r="J3" s="5" t="s">
        <v>4748</v>
      </c>
      <c r="K3" s="5" t="s">
        <v>4750</v>
      </c>
      <c r="L3" s="5" t="s">
        <v>2252</v>
      </c>
      <c r="M3" s="252" t="s">
        <v>4752</v>
      </c>
      <c r="N3" s="5" t="s">
        <v>3034</v>
      </c>
      <c r="O3" s="5" t="s">
        <v>3034</v>
      </c>
      <c r="P3" s="5" t="s">
        <v>3034</v>
      </c>
      <c r="Q3" s="5" t="s">
        <v>4754</v>
      </c>
      <c r="R3" s="5" t="s">
        <v>3320</v>
      </c>
      <c r="S3" s="5" t="s">
        <v>4756</v>
      </c>
      <c r="T3" s="5" t="s">
        <v>4758</v>
      </c>
      <c r="U3" s="5" t="s">
        <v>195</v>
      </c>
      <c r="V3" s="5" t="s">
        <v>4760</v>
      </c>
      <c r="W3" s="5" t="s">
        <v>1847</v>
      </c>
      <c r="X3" s="5" t="s">
        <v>469</v>
      </c>
      <c r="Y3" s="5" t="s">
        <v>503</v>
      </c>
      <c r="Z3" s="5" t="s">
        <v>4763</v>
      </c>
      <c r="AA3" s="5" t="s">
        <v>4765</v>
      </c>
    </row>
    <row r="4" ht="14.25" customHeight="1">
      <c r="A4" s="5" t="s">
        <v>1919</v>
      </c>
      <c r="B4" s="5" t="s">
        <v>4717</v>
      </c>
      <c r="C4" s="5" t="s">
        <v>4770</v>
      </c>
      <c r="D4" s="5" t="s">
        <v>1344</v>
      </c>
      <c r="E4" s="5" t="str">
        <f t="array" ref="E4">IFERROR(INDEX(REF_CODES!$B$87:$B$132,MATCH($D4,REF_CODES!$C$87:$C$132,0)),"")</f>
        <v>EVT-WED</v>
      </c>
      <c r="F4" s="5" t="s">
        <v>4781</v>
      </c>
      <c r="G4" s="5" t="s">
        <v>4782</v>
      </c>
      <c r="H4" s="252" t="s">
        <v>4783</v>
      </c>
      <c r="I4" s="5" t="s">
        <v>4785</v>
      </c>
      <c r="J4" s="252" t="s">
        <v>4783</v>
      </c>
      <c r="K4" s="5" t="s">
        <v>4787</v>
      </c>
      <c r="L4" s="5" t="s">
        <v>2252</v>
      </c>
      <c r="M4" s="252" t="s">
        <v>4752</v>
      </c>
      <c r="N4" s="5" t="s">
        <v>3034</v>
      </c>
      <c r="O4" s="5" t="s">
        <v>3034</v>
      </c>
      <c r="P4" s="5" t="s">
        <v>3034</v>
      </c>
      <c r="Q4" s="5" t="s">
        <v>4754</v>
      </c>
      <c r="R4" s="5" t="s">
        <v>3320</v>
      </c>
      <c r="S4" s="5" t="s">
        <v>4756</v>
      </c>
      <c r="T4" s="5" t="s">
        <v>4794</v>
      </c>
      <c r="U4" s="5" t="s">
        <v>195</v>
      </c>
      <c r="V4" s="5" t="s">
        <v>4797</v>
      </c>
      <c r="W4" s="5" t="s">
        <v>1847</v>
      </c>
      <c r="X4" s="5" t="s">
        <v>469</v>
      </c>
      <c r="Y4" s="5" t="s">
        <v>503</v>
      </c>
      <c r="Z4" s="5" t="s">
        <v>4800</v>
      </c>
      <c r="AA4" s="5" t="s">
        <v>4801</v>
      </c>
    </row>
    <row r="5" ht="14.25" customHeight="1">
      <c r="A5" s="5" t="s">
        <v>1919</v>
      </c>
      <c r="B5" s="5" t="s">
        <v>4717</v>
      </c>
      <c r="C5" s="5" t="s">
        <v>4803</v>
      </c>
      <c r="D5" s="5" t="s">
        <v>1363</v>
      </c>
      <c r="E5" s="5" t="str">
        <f t="array" ref="E5">IFERROR(INDEX(REF_CODES!$B$87:$B$132,MATCH($D5,REF_CODES!$C$87:$C$132,0)),"")</f>
        <v>EVT-COR</v>
      </c>
      <c r="F5" s="5" t="s">
        <v>4808</v>
      </c>
      <c r="G5" s="252" t="s">
        <v>4783</v>
      </c>
      <c r="H5" s="275" t="s">
        <v>4809</v>
      </c>
      <c r="I5" s="5" t="s">
        <v>4810</v>
      </c>
      <c r="J5" s="252" t="s">
        <v>4783</v>
      </c>
      <c r="K5" s="5" t="s">
        <v>4750</v>
      </c>
      <c r="L5" s="5" t="s">
        <v>2252</v>
      </c>
      <c r="M5" s="252" t="s">
        <v>4752</v>
      </c>
      <c r="N5" s="5" t="s">
        <v>3034</v>
      </c>
      <c r="O5" s="5" t="s">
        <v>3034</v>
      </c>
      <c r="P5" s="5" t="s">
        <v>3034</v>
      </c>
      <c r="Q5" s="5" t="s">
        <v>4754</v>
      </c>
      <c r="R5" s="5" t="s">
        <v>3320</v>
      </c>
      <c r="S5" s="5" t="s">
        <v>4817</v>
      </c>
      <c r="T5" s="5" t="s">
        <v>4820</v>
      </c>
      <c r="U5" s="5" t="s">
        <v>195</v>
      </c>
      <c r="V5" s="5" t="s">
        <v>4821</v>
      </c>
      <c r="W5" s="5" t="s">
        <v>1859</v>
      </c>
      <c r="X5" s="5" t="s">
        <v>469</v>
      </c>
      <c r="Y5" s="5" t="s">
        <v>503</v>
      </c>
      <c r="Z5" s="5" t="s">
        <v>4824</v>
      </c>
      <c r="AA5" s="5" t="s">
        <v>4825</v>
      </c>
    </row>
    <row r="6" ht="14.25" customHeight="1">
      <c r="A6" s="5" t="s">
        <v>1919</v>
      </c>
      <c r="B6" s="5" t="s">
        <v>4717</v>
      </c>
      <c r="C6" s="5" t="s">
        <v>4826</v>
      </c>
      <c r="D6" s="5" t="s">
        <v>1344</v>
      </c>
      <c r="E6" s="5" t="str">
        <f t="array" ref="E6">IFERROR(INDEX(REF_CODES!$B$87:$B$132,MATCH($D6,REF_CODES!$C$87:$C$132,0)),"")</f>
        <v>EVT-WED</v>
      </c>
      <c r="F6" s="5" t="s">
        <v>4838</v>
      </c>
      <c r="G6" s="5" t="s">
        <v>4840</v>
      </c>
      <c r="H6" s="5" t="s">
        <v>4841</v>
      </c>
      <c r="I6" s="5" t="s">
        <v>4843</v>
      </c>
      <c r="J6" s="252" t="s">
        <v>4783</v>
      </c>
      <c r="K6" s="5" t="s">
        <v>4787</v>
      </c>
      <c r="L6" s="5" t="s">
        <v>2252</v>
      </c>
      <c r="M6" s="252" t="s">
        <v>4752</v>
      </c>
      <c r="N6" s="5" t="s">
        <v>3034</v>
      </c>
      <c r="O6" s="5" t="s">
        <v>3034</v>
      </c>
      <c r="P6" s="5" t="s">
        <v>3034</v>
      </c>
      <c r="Q6" s="5" t="s">
        <v>4754</v>
      </c>
      <c r="R6" s="5" t="s">
        <v>3320</v>
      </c>
      <c r="S6" s="5" t="s">
        <v>4756</v>
      </c>
      <c r="T6" s="5" t="s">
        <v>4844</v>
      </c>
      <c r="U6" s="5" t="s">
        <v>195</v>
      </c>
      <c r="V6" s="5" t="s">
        <v>4846</v>
      </c>
      <c r="W6" s="5" t="s">
        <v>1847</v>
      </c>
      <c r="X6" s="5" t="s">
        <v>469</v>
      </c>
      <c r="Y6" s="5" t="s">
        <v>503</v>
      </c>
      <c r="Z6" s="5" t="s">
        <v>2205</v>
      </c>
      <c r="AA6" s="5" t="s">
        <v>4851</v>
      </c>
    </row>
    <row r="7" ht="14.25" customHeight="1">
      <c r="A7" s="5" t="s">
        <v>1919</v>
      </c>
      <c r="B7" s="5" t="s">
        <v>4717</v>
      </c>
      <c r="C7" s="5" t="s">
        <v>4852</v>
      </c>
      <c r="D7" s="5" t="s">
        <v>1344</v>
      </c>
      <c r="E7" s="5" t="str">
        <f t="array" ref="E7">IFERROR(INDEX(REF_CODES!$B$87:$B$132,MATCH($D7,REF_CODES!$C$87:$C$132,0)),"")</f>
        <v>EVT-WED</v>
      </c>
      <c r="F7" s="5" t="s">
        <v>4861</v>
      </c>
      <c r="G7" s="5" t="s">
        <v>4863</v>
      </c>
      <c r="H7" s="252" t="s">
        <v>4783</v>
      </c>
      <c r="I7" s="5" t="s">
        <v>4865</v>
      </c>
      <c r="J7" s="252" t="s">
        <v>4783</v>
      </c>
      <c r="K7" s="5" t="s">
        <v>4867</v>
      </c>
      <c r="L7" s="5" t="s">
        <v>2252</v>
      </c>
      <c r="M7" s="252" t="s">
        <v>4752</v>
      </c>
      <c r="N7" s="5" t="s">
        <v>3034</v>
      </c>
      <c r="O7" s="5" t="s">
        <v>3034</v>
      </c>
      <c r="P7" s="5" t="s">
        <v>3034</v>
      </c>
      <c r="Q7" s="5" t="s">
        <v>4754</v>
      </c>
      <c r="R7" s="5" t="s">
        <v>3320</v>
      </c>
      <c r="S7" s="5" t="s">
        <v>4756</v>
      </c>
      <c r="T7" s="5" t="s">
        <v>4871</v>
      </c>
      <c r="U7" s="5" t="s">
        <v>195</v>
      </c>
      <c r="V7" s="5" t="s">
        <v>4872</v>
      </c>
      <c r="W7" s="5" t="s">
        <v>1847</v>
      </c>
      <c r="X7" s="5" t="s">
        <v>469</v>
      </c>
      <c r="Y7" s="5" t="s">
        <v>503</v>
      </c>
      <c r="Z7" s="5" t="s">
        <v>2487</v>
      </c>
      <c r="AA7" s="5" t="s">
        <v>4879</v>
      </c>
    </row>
    <row r="8" ht="14.25" customHeight="1">
      <c r="A8" s="5" t="s">
        <v>1919</v>
      </c>
      <c r="B8" s="5" t="s">
        <v>4717</v>
      </c>
      <c r="C8" s="5" t="s">
        <v>4881</v>
      </c>
      <c r="D8" s="5" t="s">
        <v>1353</v>
      </c>
      <c r="E8" s="5" t="str">
        <f t="array" ref="E8">IFERROR(INDEX(REF_CODES!$B$87:$B$132,MATCH($D8,REF_CODES!$C$87:$C$132,0)),"")</f>
        <v>EVT-EVP</v>
      </c>
      <c r="F8" s="5" t="s">
        <v>4889</v>
      </c>
      <c r="G8" s="252" t="s">
        <v>4783</v>
      </c>
      <c r="H8" s="5" t="s">
        <v>4891</v>
      </c>
      <c r="I8" s="5" t="s">
        <v>4892</v>
      </c>
      <c r="J8" s="252" t="s">
        <v>4783</v>
      </c>
      <c r="K8" s="5" t="s">
        <v>4787</v>
      </c>
      <c r="L8" s="5" t="s">
        <v>2252</v>
      </c>
      <c r="M8" s="252" t="s">
        <v>4752</v>
      </c>
      <c r="N8" s="5" t="s">
        <v>3034</v>
      </c>
      <c r="O8" s="5" t="s">
        <v>3034</v>
      </c>
      <c r="P8" s="5" t="s">
        <v>3034</v>
      </c>
      <c r="Q8" s="5" t="s">
        <v>4754</v>
      </c>
      <c r="R8" s="5" t="s">
        <v>3320</v>
      </c>
      <c r="S8" s="5" t="s">
        <v>4896</v>
      </c>
      <c r="T8" s="5" t="s">
        <v>4897</v>
      </c>
      <c r="U8" s="5" t="s">
        <v>195</v>
      </c>
      <c r="V8" s="5" t="s">
        <v>4899</v>
      </c>
      <c r="W8" s="5" t="s">
        <v>1847</v>
      </c>
      <c r="X8" s="5" t="s">
        <v>469</v>
      </c>
      <c r="Y8" s="5" t="s">
        <v>503</v>
      </c>
      <c r="Z8" s="5" t="s">
        <v>52</v>
      </c>
      <c r="AA8" s="5" t="s">
        <v>4905</v>
      </c>
    </row>
    <row r="9" ht="14.25" customHeight="1">
      <c r="A9" s="5" t="s">
        <v>1919</v>
      </c>
      <c r="B9" s="5" t="s">
        <v>4717</v>
      </c>
      <c r="C9" s="5" t="s">
        <v>4909</v>
      </c>
      <c r="D9" s="5" t="s">
        <v>1344</v>
      </c>
      <c r="E9" s="5" t="str">
        <f t="array" ref="E9">IFERROR(INDEX(REF_CODES!$B$87:$B$132,MATCH($D9,REF_CODES!$C$87:$C$132,0)),"")</f>
        <v>EVT-WED</v>
      </c>
      <c r="F9" s="5" t="s">
        <v>4916</v>
      </c>
      <c r="G9" s="252" t="s">
        <v>4783</v>
      </c>
      <c r="H9" s="275" t="s">
        <v>4919</v>
      </c>
      <c r="I9" s="5" t="s">
        <v>4920</v>
      </c>
      <c r="J9" s="252" t="s">
        <v>4783</v>
      </c>
      <c r="K9" s="5" t="s">
        <v>4787</v>
      </c>
      <c r="L9" s="5" t="s">
        <v>2252</v>
      </c>
      <c r="M9" s="252" t="s">
        <v>4752</v>
      </c>
      <c r="N9" s="5" t="s">
        <v>3034</v>
      </c>
      <c r="O9" s="5" t="s">
        <v>3034</v>
      </c>
      <c r="P9" s="5" t="s">
        <v>3034</v>
      </c>
      <c r="Q9" s="5" t="s">
        <v>4754</v>
      </c>
      <c r="R9" s="5" t="s">
        <v>3320</v>
      </c>
      <c r="S9" s="5" t="s">
        <v>4756</v>
      </c>
      <c r="T9" s="5" t="s">
        <v>4925</v>
      </c>
      <c r="U9" s="5" t="s">
        <v>195</v>
      </c>
      <c r="V9" s="5" t="s">
        <v>1006</v>
      </c>
      <c r="W9" s="5" t="s">
        <v>1847</v>
      </c>
      <c r="X9" s="5" t="s">
        <v>469</v>
      </c>
      <c r="Y9" s="5" t="s">
        <v>503</v>
      </c>
      <c r="Z9" s="5" t="s">
        <v>2205</v>
      </c>
      <c r="AA9" s="5" t="s">
        <v>391</v>
      </c>
    </row>
    <row r="10" ht="14.25" customHeight="1">
      <c r="A10" s="5" t="s">
        <v>1919</v>
      </c>
      <c r="B10" s="5" t="s">
        <v>4717</v>
      </c>
      <c r="C10" s="5" t="s">
        <v>4929</v>
      </c>
      <c r="D10" s="5" t="s">
        <v>1363</v>
      </c>
      <c r="E10" s="5" t="str">
        <f t="array" ref="E10">IFERROR(INDEX(REF_CODES!$B$87:$B$132,MATCH($D10,REF_CODES!$C$87:$C$132,0)),"")</f>
        <v>EVT-COR</v>
      </c>
      <c r="F10" s="5" t="s">
        <v>4936</v>
      </c>
      <c r="G10" s="252" t="s">
        <v>4783</v>
      </c>
      <c r="H10" s="252" t="s">
        <v>4783</v>
      </c>
      <c r="I10" s="5" t="s">
        <v>1229</v>
      </c>
      <c r="J10" s="5" t="s">
        <v>4937</v>
      </c>
      <c r="K10" s="5" t="s">
        <v>4787</v>
      </c>
      <c r="L10" s="5" t="s">
        <v>2252</v>
      </c>
      <c r="M10" s="252" t="s">
        <v>4752</v>
      </c>
      <c r="N10" s="5" t="s">
        <v>3034</v>
      </c>
      <c r="O10" s="5" t="s">
        <v>3034</v>
      </c>
      <c r="P10" s="5" t="s">
        <v>3034</v>
      </c>
      <c r="Q10" s="5" t="s">
        <v>4754</v>
      </c>
      <c r="R10" s="5" t="s">
        <v>3320</v>
      </c>
      <c r="S10" s="5" t="s">
        <v>4756</v>
      </c>
      <c r="T10" s="5" t="s">
        <v>4942</v>
      </c>
      <c r="U10" s="5" t="s">
        <v>195</v>
      </c>
      <c r="V10" s="5" t="s">
        <v>4944</v>
      </c>
      <c r="W10" s="5" t="s">
        <v>1859</v>
      </c>
      <c r="X10" s="5" t="s">
        <v>469</v>
      </c>
      <c r="Y10" s="5" t="s">
        <v>503</v>
      </c>
      <c r="Z10" s="5" t="s">
        <v>4824</v>
      </c>
      <c r="AA10" s="5" t="s">
        <v>4947</v>
      </c>
    </row>
    <row r="11" ht="14.25" customHeight="1">
      <c r="A11" s="5" t="s">
        <v>1919</v>
      </c>
      <c r="B11" s="5" t="s">
        <v>4717</v>
      </c>
      <c r="C11" s="5" t="s">
        <v>4950</v>
      </c>
      <c r="D11" s="5" t="s">
        <v>1290</v>
      </c>
      <c r="E11" s="5" t="str">
        <f t="array" ref="E11">IFERROR(INDEX(REF_CODES!$B$87:$B$132,MATCH($D11,REF_CODES!$C$87:$C$132,0)),"")</f>
        <v>EVT-TRA</v>
      </c>
      <c r="F11" s="5" t="s">
        <v>4954</v>
      </c>
      <c r="G11" s="252" t="s">
        <v>4783</v>
      </c>
      <c r="H11" s="252" t="s">
        <v>4783</v>
      </c>
      <c r="I11" s="5" t="s">
        <v>1229</v>
      </c>
      <c r="J11" s="252" t="s">
        <v>4783</v>
      </c>
      <c r="K11" s="5" t="s">
        <v>4787</v>
      </c>
      <c r="L11" s="5" t="s">
        <v>2252</v>
      </c>
      <c r="M11" s="252" t="s">
        <v>4752</v>
      </c>
      <c r="N11" s="5" t="s">
        <v>3034</v>
      </c>
      <c r="O11" s="5" t="s">
        <v>3034</v>
      </c>
      <c r="P11" s="5" t="s">
        <v>3034</v>
      </c>
      <c r="Q11" s="5" t="s">
        <v>4754</v>
      </c>
      <c r="R11" s="5" t="s">
        <v>3320</v>
      </c>
      <c r="S11" s="5" t="s">
        <v>4756</v>
      </c>
      <c r="T11" s="5" t="s">
        <v>4960</v>
      </c>
      <c r="U11" s="5" t="s">
        <v>195</v>
      </c>
      <c r="V11" s="5" t="s">
        <v>4962</v>
      </c>
      <c r="W11" s="5" t="s">
        <v>1847</v>
      </c>
      <c r="X11" s="5" t="s">
        <v>469</v>
      </c>
      <c r="Y11" s="5" t="s">
        <v>503</v>
      </c>
      <c r="Z11" s="5" t="s">
        <v>2783</v>
      </c>
      <c r="AA11" s="5" t="s">
        <v>4963</v>
      </c>
    </row>
    <row r="12" ht="14.25" customHeight="1">
      <c r="A12" s="5" t="s">
        <v>1919</v>
      </c>
      <c r="B12" s="5" t="s">
        <v>4717</v>
      </c>
      <c r="C12" s="5" t="s">
        <v>4964</v>
      </c>
      <c r="D12" s="5" t="s">
        <v>1290</v>
      </c>
      <c r="E12" s="5" t="str">
        <f t="array" ref="E12">IFERROR(INDEX(REF_CODES!$B$87:$B$132,MATCH($D12,REF_CODES!$C$87:$C$132,0)),"")</f>
        <v>EVT-TRA</v>
      </c>
      <c r="F12" s="5" t="s">
        <v>4971</v>
      </c>
      <c r="G12" s="252" t="s">
        <v>4783</v>
      </c>
      <c r="H12" s="252" t="s">
        <v>4783</v>
      </c>
      <c r="I12" s="5" t="s">
        <v>4973</v>
      </c>
      <c r="J12" s="252" t="s">
        <v>4783</v>
      </c>
      <c r="K12" s="5" t="s">
        <v>4787</v>
      </c>
      <c r="L12" s="5" t="s">
        <v>2252</v>
      </c>
      <c r="M12" s="252" t="s">
        <v>4752</v>
      </c>
      <c r="N12" s="5" t="s">
        <v>3034</v>
      </c>
      <c r="O12" s="5" t="s">
        <v>3034</v>
      </c>
      <c r="P12" s="5" t="s">
        <v>3034</v>
      </c>
      <c r="Q12" s="5" t="s">
        <v>4754</v>
      </c>
      <c r="R12" s="5" t="s">
        <v>3320</v>
      </c>
      <c r="S12" s="5" t="s">
        <v>4817</v>
      </c>
      <c r="T12" s="5" t="s">
        <v>4974</v>
      </c>
      <c r="U12" s="5" t="s">
        <v>195</v>
      </c>
      <c r="V12" s="5" t="s">
        <v>4975</v>
      </c>
      <c r="W12" s="5" t="s">
        <v>1859</v>
      </c>
      <c r="X12" s="5" t="s">
        <v>469</v>
      </c>
      <c r="Y12" s="5" t="s">
        <v>503</v>
      </c>
      <c r="Z12" s="5" t="s">
        <v>2783</v>
      </c>
      <c r="AA12" s="5" t="s">
        <v>4979</v>
      </c>
    </row>
    <row r="13" ht="14.25" customHeight="1">
      <c r="A13" s="5" t="s">
        <v>1919</v>
      </c>
      <c r="B13" s="5" t="s">
        <v>4717</v>
      </c>
      <c r="C13" s="5" t="s">
        <v>4981</v>
      </c>
      <c r="D13" s="5" t="s">
        <v>1290</v>
      </c>
      <c r="E13" s="5" t="str">
        <f t="array" ref="E13">IFERROR(INDEX(REF_CODES!$B$87:$B$132,MATCH($D13,REF_CODES!$C$87:$C$132,0)),"")</f>
        <v>EVT-TRA</v>
      </c>
      <c r="F13" s="5" t="s">
        <v>4987</v>
      </c>
      <c r="G13" s="252" t="s">
        <v>4783</v>
      </c>
      <c r="H13" s="275" t="s">
        <v>4990</v>
      </c>
      <c r="I13" s="5" t="s">
        <v>4991</v>
      </c>
      <c r="J13" s="252" t="s">
        <v>4783</v>
      </c>
      <c r="K13" s="5" t="s">
        <v>4992</v>
      </c>
      <c r="L13" s="5" t="s">
        <v>2252</v>
      </c>
      <c r="M13" s="252" t="s">
        <v>4752</v>
      </c>
      <c r="N13" s="5" t="s">
        <v>3034</v>
      </c>
      <c r="O13" s="5" t="s">
        <v>3034</v>
      </c>
      <c r="P13" s="5" t="s">
        <v>3034</v>
      </c>
      <c r="Q13" s="5" t="s">
        <v>4754</v>
      </c>
      <c r="R13" s="5" t="s">
        <v>3320</v>
      </c>
      <c r="S13" s="5" t="s">
        <v>4756</v>
      </c>
      <c r="T13" s="5" t="s">
        <v>4993</v>
      </c>
      <c r="U13" s="5" t="s">
        <v>195</v>
      </c>
      <c r="V13" s="5" t="s">
        <v>4975</v>
      </c>
      <c r="W13" s="5" t="s">
        <v>1847</v>
      </c>
      <c r="X13" s="5" t="s">
        <v>469</v>
      </c>
      <c r="Y13" s="5" t="s">
        <v>503</v>
      </c>
      <c r="Z13" s="5" t="s">
        <v>4183</v>
      </c>
      <c r="AA13" s="5" t="s">
        <v>4979</v>
      </c>
    </row>
    <row r="14" ht="14.25" customHeight="1">
      <c r="A14" s="5" t="s">
        <v>1919</v>
      </c>
      <c r="B14" s="5" t="s">
        <v>4717</v>
      </c>
      <c r="C14" s="5" t="s">
        <v>4997</v>
      </c>
      <c r="D14" s="5" t="s">
        <v>1372</v>
      </c>
      <c r="E14" s="5" t="str">
        <f t="array" ref="E14">IFERROR(INDEX(REF_CODES!$B$87:$B$132,MATCH($D14,REF_CODES!$C$87:$C$132,0)),"")</f>
        <v>EVT-CON</v>
      </c>
      <c r="F14" s="5" t="s">
        <v>5004</v>
      </c>
      <c r="G14" s="252" t="s">
        <v>4783</v>
      </c>
      <c r="H14" s="275" t="s">
        <v>5005</v>
      </c>
      <c r="I14" s="5" t="s">
        <v>5006</v>
      </c>
      <c r="J14" s="252" t="s">
        <v>4783</v>
      </c>
      <c r="K14" s="5" t="s">
        <v>4787</v>
      </c>
      <c r="L14" s="5" t="s">
        <v>2252</v>
      </c>
      <c r="M14" s="252" t="s">
        <v>4752</v>
      </c>
      <c r="N14" s="5" t="s">
        <v>3034</v>
      </c>
      <c r="O14" s="5" t="s">
        <v>3034</v>
      </c>
      <c r="P14" s="5" t="s">
        <v>3034</v>
      </c>
      <c r="Q14" s="5" t="s">
        <v>4754</v>
      </c>
      <c r="R14" s="5" t="s">
        <v>3320</v>
      </c>
      <c r="S14" s="5" t="s">
        <v>4756</v>
      </c>
      <c r="T14" s="5" t="s">
        <v>5009</v>
      </c>
      <c r="U14" s="5" t="s">
        <v>195</v>
      </c>
      <c r="V14" s="5" t="s">
        <v>5011</v>
      </c>
      <c r="W14" s="5" t="s">
        <v>1859</v>
      </c>
      <c r="X14" s="5" t="s">
        <v>469</v>
      </c>
      <c r="Y14" s="5" t="s">
        <v>503</v>
      </c>
      <c r="Z14" s="5" t="s">
        <v>5014</v>
      </c>
      <c r="AA14" s="5" t="s">
        <v>5016</v>
      </c>
    </row>
    <row r="15" ht="14.25" customHeight="1">
      <c r="A15" s="5" t="s">
        <v>1919</v>
      </c>
      <c r="B15" s="5" t="s">
        <v>4717</v>
      </c>
      <c r="C15" s="5" t="s">
        <v>5018</v>
      </c>
      <c r="D15" s="5" t="s">
        <v>905</v>
      </c>
      <c r="E15" s="5" t="str">
        <f t="array" ref="E15">IFERROR(INDEX(REF_CODES!$B$87:$B$132,MATCH($D15,REF_CODES!$C$87:$C$132,0)),"")</f>
        <v>EVT-DJ</v>
      </c>
      <c r="F15" s="5" t="s">
        <v>5022</v>
      </c>
      <c r="G15" s="252" t="s">
        <v>4783</v>
      </c>
      <c r="H15" s="275" t="s">
        <v>5024</v>
      </c>
      <c r="I15" s="5" t="s">
        <v>5025</v>
      </c>
      <c r="J15" s="252" t="s">
        <v>4783</v>
      </c>
      <c r="K15" s="5" t="s">
        <v>5026</v>
      </c>
      <c r="L15" s="5" t="s">
        <v>2252</v>
      </c>
      <c r="M15" s="252" t="s">
        <v>4752</v>
      </c>
      <c r="N15" s="5" t="s">
        <v>3034</v>
      </c>
      <c r="O15" s="5" t="s">
        <v>3034</v>
      </c>
      <c r="P15" s="5" t="s">
        <v>3034</v>
      </c>
      <c r="Q15" s="5" t="s">
        <v>4754</v>
      </c>
      <c r="R15" s="5" t="s">
        <v>3320</v>
      </c>
      <c r="S15" s="5" t="s">
        <v>4756</v>
      </c>
      <c r="T15" s="5" t="s">
        <v>5028</v>
      </c>
      <c r="U15" s="5" t="s">
        <v>195</v>
      </c>
      <c r="V15" s="5" t="s">
        <v>5030</v>
      </c>
      <c r="W15" s="5" t="s">
        <v>1859</v>
      </c>
      <c r="X15" s="5" t="s">
        <v>469</v>
      </c>
      <c r="Y15" s="5" t="s">
        <v>503</v>
      </c>
      <c r="Z15" s="5" t="s">
        <v>5033</v>
      </c>
      <c r="AA15" s="5" t="s">
        <v>5034</v>
      </c>
    </row>
    <row r="16" ht="14.25" customHeight="1">
      <c r="A16" s="5" t="s">
        <v>1919</v>
      </c>
      <c r="B16" s="5" t="s">
        <v>4717</v>
      </c>
      <c r="C16" s="5" t="s">
        <v>5036</v>
      </c>
      <c r="D16" s="5" t="s">
        <v>905</v>
      </c>
      <c r="E16" s="5" t="str">
        <f t="array" ref="E16">IFERROR(INDEX(REF_CODES!$B$87:$B$132,MATCH($D16,REF_CODES!$C$87:$C$132,0)),"")</f>
        <v>EVT-DJ</v>
      </c>
      <c r="F16" s="5" t="s">
        <v>3686</v>
      </c>
      <c r="G16" s="5" t="s">
        <v>5039</v>
      </c>
      <c r="H16" s="275" t="s">
        <v>5040</v>
      </c>
      <c r="I16" s="5" t="s">
        <v>5041</v>
      </c>
      <c r="J16" s="5" t="s">
        <v>5042</v>
      </c>
      <c r="K16" s="5" t="s">
        <v>5026</v>
      </c>
      <c r="L16" s="5" t="s">
        <v>2252</v>
      </c>
      <c r="M16" s="252" t="s">
        <v>4752</v>
      </c>
      <c r="N16" s="5" t="s">
        <v>3034</v>
      </c>
      <c r="O16" s="5" t="s">
        <v>3034</v>
      </c>
      <c r="P16" s="5" t="s">
        <v>3034</v>
      </c>
      <c r="Q16" s="5" t="s">
        <v>4754</v>
      </c>
      <c r="R16" s="5" t="s">
        <v>3320</v>
      </c>
      <c r="S16" s="5" t="s">
        <v>4756</v>
      </c>
      <c r="T16" s="5" t="s">
        <v>5045</v>
      </c>
      <c r="U16" s="5" t="s">
        <v>188</v>
      </c>
      <c r="V16" s="5" t="s">
        <v>5047</v>
      </c>
      <c r="W16" s="5" t="s">
        <v>1859</v>
      </c>
      <c r="X16" s="5" t="s">
        <v>469</v>
      </c>
      <c r="Y16" s="5" t="s">
        <v>503</v>
      </c>
      <c r="Z16" s="5" t="s">
        <v>52</v>
      </c>
      <c r="AA16" s="5" t="s">
        <v>5048</v>
      </c>
    </row>
    <row r="17" ht="14.25" customHeight="1">
      <c r="A17" s="5" t="s">
        <v>1919</v>
      </c>
      <c r="B17" s="5" t="s">
        <v>4717</v>
      </c>
      <c r="C17" s="5" t="s">
        <v>5049</v>
      </c>
      <c r="D17" s="5" t="s">
        <v>905</v>
      </c>
      <c r="E17" s="5" t="str">
        <f t="array" ref="E17">IFERROR(INDEX(REF_CODES!$B$87:$B$132,MATCH($D17,REF_CODES!$C$87:$C$132,0)),"")</f>
        <v>EVT-DJ</v>
      </c>
      <c r="F17" s="5" t="s">
        <v>5053</v>
      </c>
      <c r="G17" s="252" t="s">
        <v>4783</v>
      </c>
      <c r="H17" s="5" t="s">
        <v>5055</v>
      </c>
      <c r="I17" s="252" t="s">
        <v>4783</v>
      </c>
      <c r="J17" s="252" t="s">
        <v>4783</v>
      </c>
      <c r="K17" s="5" t="s">
        <v>5026</v>
      </c>
      <c r="L17" s="5" t="s">
        <v>2252</v>
      </c>
      <c r="M17" s="252" t="s">
        <v>4752</v>
      </c>
      <c r="N17" s="5" t="s">
        <v>3034</v>
      </c>
      <c r="O17" s="5" t="s">
        <v>3034</v>
      </c>
      <c r="P17" s="5" t="s">
        <v>3034</v>
      </c>
      <c r="Q17" s="5" t="s">
        <v>4754</v>
      </c>
      <c r="R17" s="5" t="s">
        <v>3320</v>
      </c>
      <c r="S17" s="5" t="s">
        <v>4756</v>
      </c>
      <c r="T17" s="5" t="s">
        <v>5059</v>
      </c>
      <c r="U17" s="5" t="s">
        <v>188</v>
      </c>
      <c r="V17" s="5" t="s">
        <v>5060</v>
      </c>
      <c r="W17" s="5" t="s">
        <v>1847</v>
      </c>
      <c r="X17" s="5" t="s">
        <v>469</v>
      </c>
      <c r="Y17" s="5" t="s">
        <v>503</v>
      </c>
      <c r="Z17" s="5" t="s">
        <v>52</v>
      </c>
      <c r="AA17" s="5" t="s">
        <v>5063</v>
      </c>
    </row>
    <row r="18" ht="14.25" customHeight="1">
      <c r="A18" s="5" t="s">
        <v>1919</v>
      </c>
      <c r="B18" s="5" t="s">
        <v>4717</v>
      </c>
      <c r="C18" s="5" t="s">
        <v>5064</v>
      </c>
      <c r="D18" s="5" t="s">
        <v>1237</v>
      </c>
      <c r="E18" s="5" t="str">
        <f t="array" ref="E18">IFERROR(INDEX(REF_CODES!$B$87:$B$132,MATCH($D18,REF_CODES!$C$87:$C$132,0)),"")</f>
        <v>EVT-VID</v>
      </c>
      <c r="F18" s="5" t="s">
        <v>5067</v>
      </c>
      <c r="G18" s="252" t="s">
        <v>4783</v>
      </c>
      <c r="H18" s="252" t="s">
        <v>4783</v>
      </c>
      <c r="I18" s="5" t="s">
        <v>5068</v>
      </c>
      <c r="J18" s="252" t="s">
        <v>4783</v>
      </c>
      <c r="K18" s="5" t="s">
        <v>5026</v>
      </c>
      <c r="L18" s="5" t="s">
        <v>2252</v>
      </c>
      <c r="M18" s="252" t="s">
        <v>4752</v>
      </c>
      <c r="N18" s="5" t="s">
        <v>3034</v>
      </c>
      <c r="O18" s="5" t="s">
        <v>3034</v>
      </c>
      <c r="P18" s="5" t="s">
        <v>3034</v>
      </c>
      <c r="Q18" s="5" t="s">
        <v>4754</v>
      </c>
      <c r="R18" s="5" t="s">
        <v>3320</v>
      </c>
      <c r="S18" s="5" t="s">
        <v>4756</v>
      </c>
      <c r="T18" s="5" t="s">
        <v>5070</v>
      </c>
      <c r="U18" s="5" t="s">
        <v>195</v>
      </c>
      <c r="V18" s="5" t="s">
        <v>1006</v>
      </c>
      <c r="W18" s="5" t="s">
        <v>1847</v>
      </c>
      <c r="X18" s="5" t="s">
        <v>469</v>
      </c>
      <c r="Y18" s="5" t="s">
        <v>503</v>
      </c>
      <c r="Z18" s="5" t="s">
        <v>37</v>
      </c>
      <c r="AA18" s="5" t="s">
        <v>5073</v>
      </c>
    </row>
    <row r="19" ht="14.25" customHeight="1">
      <c r="A19" s="5" t="s">
        <v>1919</v>
      </c>
      <c r="B19" s="5" t="s">
        <v>4717</v>
      </c>
      <c r="C19" s="5" t="s">
        <v>5074</v>
      </c>
      <c r="D19" s="5" t="s">
        <v>1230</v>
      </c>
      <c r="E19" s="5" t="str">
        <f t="array" ref="E19">IFERROR(INDEX(REF_CODES!$B$87:$B$132,MATCH($D19,REF_CODES!$C$87:$C$132,0)),"")</f>
        <v>EVT-PHO</v>
      </c>
      <c r="F19" s="5" t="s">
        <v>5079</v>
      </c>
      <c r="G19" s="252" t="s">
        <v>4783</v>
      </c>
      <c r="H19" s="252" t="s">
        <v>4783</v>
      </c>
      <c r="I19" s="5" t="s">
        <v>5081</v>
      </c>
      <c r="J19" s="252" t="s">
        <v>4783</v>
      </c>
      <c r="K19" s="5" t="s">
        <v>5026</v>
      </c>
      <c r="L19" s="5" t="s">
        <v>2252</v>
      </c>
      <c r="M19" s="252" t="s">
        <v>4752</v>
      </c>
      <c r="N19" s="5" t="s">
        <v>3034</v>
      </c>
      <c r="O19" s="5" t="s">
        <v>3034</v>
      </c>
      <c r="P19" s="5" t="s">
        <v>3034</v>
      </c>
      <c r="Q19" s="5" t="s">
        <v>4754</v>
      </c>
      <c r="R19" s="5" t="s">
        <v>3320</v>
      </c>
      <c r="S19" s="5" t="s">
        <v>4756</v>
      </c>
      <c r="T19" s="5" t="s">
        <v>5083</v>
      </c>
      <c r="U19" s="5" t="s">
        <v>195</v>
      </c>
      <c r="V19" s="5" t="s">
        <v>1006</v>
      </c>
      <c r="W19" s="5" t="s">
        <v>1847</v>
      </c>
      <c r="X19" s="5" t="s">
        <v>469</v>
      </c>
      <c r="Y19" s="5" t="s">
        <v>503</v>
      </c>
      <c r="Z19" s="5" t="s">
        <v>37</v>
      </c>
      <c r="AA19" s="5" t="s">
        <v>5085</v>
      </c>
    </row>
    <row r="20" ht="14.25" customHeight="1">
      <c r="A20" s="5" t="s">
        <v>1919</v>
      </c>
      <c r="B20" s="5" t="s">
        <v>4717</v>
      </c>
      <c r="C20" s="5" t="s">
        <v>5087</v>
      </c>
      <c r="D20" s="5" t="s">
        <v>1237</v>
      </c>
      <c r="E20" s="5" t="str">
        <f t="array" ref="E20">IFERROR(INDEX(REF_CODES!$B$87:$B$132,MATCH($D20,REF_CODES!$C$87:$C$132,0)),"")</f>
        <v>EVT-VID</v>
      </c>
      <c r="F20" s="5" t="s">
        <v>5091</v>
      </c>
      <c r="G20" s="252" t="s">
        <v>4783</v>
      </c>
      <c r="H20" s="275" t="s">
        <v>5093</v>
      </c>
      <c r="I20" s="5" t="s">
        <v>5094</v>
      </c>
      <c r="J20" s="252" t="s">
        <v>4783</v>
      </c>
      <c r="K20" s="5" t="s">
        <v>5026</v>
      </c>
      <c r="L20" s="5" t="s">
        <v>2252</v>
      </c>
      <c r="M20" s="252" t="s">
        <v>4752</v>
      </c>
      <c r="N20" s="5" t="s">
        <v>3034</v>
      </c>
      <c r="O20" s="5" t="s">
        <v>3034</v>
      </c>
      <c r="P20" s="5" t="s">
        <v>3034</v>
      </c>
      <c r="Q20" s="5" t="s">
        <v>4754</v>
      </c>
      <c r="R20" s="5" t="s">
        <v>3320</v>
      </c>
      <c r="S20" s="5" t="s">
        <v>4756</v>
      </c>
      <c r="T20" s="5" t="s">
        <v>5096</v>
      </c>
      <c r="U20" s="5" t="s">
        <v>188</v>
      </c>
      <c r="V20" s="5" t="s">
        <v>1006</v>
      </c>
      <c r="W20" s="5" t="s">
        <v>1859</v>
      </c>
      <c r="X20" s="5" t="s">
        <v>469</v>
      </c>
      <c r="Y20" s="5" t="s">
        <v>503</v>
      </c>
      <c r="Z20" s="5" t="s">
        <v>2205</v>
      </c>
      <c r="AA20" s="5" t="s">
        <v>5097</v>
      </c>
    </row>
    <row r="21" ht="14.25" customHeight="1">
      <c r="A21" s="5" t="s">
        <v>1919</v>
      </c>
      <c r="B21" s="5" t="s">
        <v>4717</v>
      </c>
      <c r="C21" s="5" t="s">
        <v>5100</v>
      </c>
      <c r="D21" s="5" t="s">
        <v>1243</v>
      </c>
      <c r="E21" s="5" t="str">
        <f t="array" ref="E21">IFERROR(INDEX(REF_CODES!$B$87:$B$132,MATCH($D21,REF_CODES!$C$87:$C$132,0)),"")</f>
        <v>EVT-DRN</v>
      </c>
      <c r="F21" s="5" t="s">
        <v>5104</v>
      </c>
      <c r="G21" s="252" t="s">
        <v>4783</v>
      </c>
      <c r="H21" s="252" t="s">
        <v>4783</v>
      </c>
      <c r="I21" s="5" t="s">
        <v>5105</v>
      </c>
      <c r="J21" s="252" t="s">
        <v>4783</v>
      </c>
      <c r="K21" s="5" t="s">
        <v>5026</v>
      </c>
      <c r="L21" s="5" t="s">
        <v>2252</v>
      </c>
      <c r="M21" s="252" t="s">
        <v>4752</v>
      </c>
      <c r="N21" s="5" t="s">
        <v>3034</v>
      </c>
      <c r="O21" s="5" t="s">
        <v>3034</v>
      </c>
      <c r="P21" s="5" t="s">
        <v>3034</v>
      </c>
      <c r="Q21" s="5" t="s">
        <v>4754</v>
      </c>
      <c r="R21" s="5" t="s">
        <v>3320</v>
      </c>
      <c r="S21" s="5" t="s">
        <v>4756</v>
      </c>
      <c r="T21" s="5" t="s">
        <v>5108</v>
      </c>
      <c r="U21" s="5" t="s">
        <v>195</v>
      </c>
      <c r="V21" s="5" t="s">
        <v>5109</v>
      </c>
      <c r="W21" s="5" t="s">
        <v>1859</v>
      </c>
      <c r="X21" s="5" t="s">
        <v>469</v>
      </c>
      <c r="Y21" s="5" t="s">
        <v>503</v>
      </c>
      <c r="Z21" s="5" t="s">
        <v>2487</v>
      </c>
      <c r="AA21" s="5" t="s">
        <v>5111</v>
      </c>
    </row>
    <row r="22" ht="14.25" customHeight="1">
      <c r="A22" s="5" t="s">
        <v>1919</v>
      </c>
      <c r="B22" s="5" t="s">
        <v>4717</v>
      </c>
      <c r="C22" s="5" t="s">
        <v>5112</v>
      </c>
      <c r="D22" s="5" t="s">
        <v>1230</v>
      </c>
      <c r="E22" s="5" t="str">
        <f t="array" ref="E22">IFERROR(INDEX(REF_CODES!$B$87:$B$132,MATCH($D22,REF_CODES!$C$87:$C$132,0)),"")</f>
        <v>EVT-PHO</v>
      </c>
      <c r="F22" s="5" t="s">
        <v>5116</v>
      </c>
      <c r="G22" s="252" t="s">
        <v>4783</v>
      </c>
      <c r="H22" s="275" t="s">
        <v>5117</v>
      </c>
      <c r="I22" s="5" t="s">
        <v>5119</v>
      </c>
      <c r="J22" s="252" t="s">
        <v>4783</v>
      </c>
      <c r="K22" s="5" t="s">
        <v>5026</v>
      </c>
      <c r="L22" s="5" t="s">
        <v>2252</v>
      </c>
      <c r="M22" s="252" t="s">
        <v>4752</v>
      </c>
      <c r="N22" s="5" t="s">
        <v>3034</v>
      </c>
      <c r="O22" s="5" t="s">
        <v>3034</v>
      </c>
      <c r="P22" s="5" t="s">
        <v>3034</v>
      </c>
      <c r="Q22" s="5" t="s">
        <v>4754</v>
      </c>
      <c r="R22" s="5" t="s">
        <v>3320</v>
      </c>
      <c r="S22" s="5" t="s">
        <v>4756</v>
      </c>
      <c r="T22" s="5" t="s">
        <v>5121</v>
      </c>
      <c r="U22" s="5" t="s">
        <v>195</v>
      </c>
      <c r="V22" s="5" t="s">
        <v>1006</v>
      </c>
      <c r="W22" s="5" t="s">
        <v>1847</v>
      </c>
      <c r="X22" s="5" t="s">
        <v>469</v>
      </c>
      <c r="Y22" s="5" t="s">
        <v>503</v>
      </c>
      <c r="Z22" s="5" t="s">
        <v>37</v>
      </c>
      <c r="AA22" s="5" t="s">
        <v>5126</v>
      </c>
    </row>
    <row r="23" ht="14.25" customHeight="1">
      <c r="A23" s="5" t="s">
        <v>1919</v>
      </c>
      <c r="B23" s="5" t="s">
        <v>4717</v>
      </c>
      <c r="C23" s="5" t="s">
        <v>5128</v>
      </c>
      <c r="D23" s="5" t="s">
        <v>1230</v>
      </c>
      <c r="E23" s="5" t="str">
        <f t="array" ref="E23">IFERROR(INDEX(REF_CODES!$B$87:$B$132,MATCH($D23,REF_CODES!$C$87:$C$132,0)),"")</f>
        <v>EVT-PHO</v>
      </c>
      <c r="F23" s="5" t="s">
        <v>5131</v>
      </c>
      <c r="G23" s="252" t="s">
        <v>4783</v>
      </c>
      <c r="H23" s="252" t="s">
        <v>4783</v>
      </c>
      <c r="I23" s="5" t="s">
        <v>5132</v>
      </c>
      <c r="J23" s="252" t="s">
        <v>4783</v>
      </c>
      <c r="K23" s="5" t="s">
        <v>5026</v>
      </c>
      <c r="L23" s="5" t="s">
        <v>2252</v>
      </c>
      <c r="M23" s="252" t="s">
        <v>4752</v>
      </c>
      <c r="N23" s="5" t="s">
        <v>3034</v>
      </c>
      <c r="O23" s="5" t="s">
        <v>3034</v>
      </c>
      <c r="P23" s="5" t="s">
        <v>3034</v>
      </c>
      <c r="Q23" s="5" t="s">
        <v>4754</v>
      </c>
      <c r="R23" s="5" t="s">
        <v>3320</v>
      </c>
      <c r="S23" s="5" t="s">
        <v>4756</v>
      </c>
      <c r="T23" s="5" t="s">
        <v>5135</v>
      </c>
      <c r="U23" s="5" t="s">
        <v>195</v>
      </c>
      <c r="V23" s="5" t="s">
        <v>1006</v>
      </c>
      <c r="W23" s="5" t="s">
        <v>1847</v>
      </c>
      <c r="X23" s="5" t="s">
        <v>469</v>
      </c>
      <c r="Y23" s="5" t="s">
        <v>503</v>
      </c>
      <c r="Z23" s="5" t="s">
        <v>37</v>
      </c>
      <c r="AA23" s="5" t="s">
        <v>5136</v>
      </c>
    </row>
    <row r="24" ht="14.25" customHeight="1">
      <c r="A24" s="5" t="s">
        <v>1919</v>
      </c>
      <c r="B24" s="5" t="s">
        <v>4717</v>
      </c>
      <c r="C24" s="5" t="s">
        <v>5138</v>
      </c>
      <c r="D24" s="5" t="s">
        <v>1159</v>
      </c>
      <c r="E24" s="5" t="str">
        <f t="array" ref="E24">IFERROR(INDEX(REF_CODES!$B$87:$B$132,MATCH($D24,REF_CODES!$C$87:$C$132,0)),"")</f>
        <v>EVT-FLO</v>
      </c>
      <c r="F24" s="5" t="s">
        <v>5143</v>
      </c>
      <c r="G24" s="252" t="s">
        <v>4783</v>
      </c>
      <c r="H24" s="5" t="s">
        <v>5144</v>
      </c>
      <c r="I24" s="5" t="s">
        <v>5145</v>
      </c>
      <c r="J24" s="252" t="s">
        <v>4783</v>
      </c>
      <c r="K24" s="5" t="s">
        <v>5026</v>
      </c>
      <c r="L24" s="5" t="s">
        <v>2252</v>
      </c>
      <c r="M24" s="252" t="s">
        <v>4752</v>
      </c>
      <c r="N24" s="5" t="s">
        <v>3034</v>
      </c>
      <c r="O24" s="5" t="s">
        <v>3034</v>
      </c>
      <c r="P24" s="5" t="s">
        <v>3034</v>
      </c>
      <c r="Q24" s="5" t="s">
        <v>4754</v>
      </c>
      <c r="R24" s="5" t="s">
        <v>3320</v>
      </c>
      <c r="S24" s="5" t="s">
        <v>4756</v>
      </c>
      <c r="T24" s="5" t="s">
        <v>5147</v>
      </c>
      <c r="U24" s="5" t="s">
        <v>195</v>
      </c>
      <c r="V24" s="5" t="s">
        <v>5060</v>
      </c>
      <c r="W24" s="5" t="s">
        <v>1859</v>
      </c>
      <c r="X24" s="5" t="s">
        <v>469</v>
      </c>
      <c r="Y24" s="5" t="s">
        <v>503</v>
      </c>
      <c r="Z24" s="5" t="s">
        <v>2205</v>
      </c>
      <c r="AA24" s="5" t="s">
        <v>5150</v>
      </c>
    </row>
    <row r="25" ht="14.25" customHeight="1">
      <c r="A25" s="5" t="s">
        <v>1919</v>
      </c>
      <c r="B25" s="5" t="s">
        <v>4717</v>
      </c>
      <c r="C25" s="5" t="s">
        <v>5151</v>
      </c>
      <c r="D25" s="5" t="s">
        <v>1159</v>
      </c>
      <c r="E25" s="5" t="str">
        <f t="array" ref="E25">IFERROR(INDEX(REF_CODES!$B$87:$B$132,MATCH($D25,REF_CODES!$C$87:$C$132,0)),"")</f>
        <v>EVT-FLO</v>
      </c>
      <c r="F25" s="5" t="s">
        <v>5154</v>
      </c>
      <c r="G25" s="5" t="s">
        <v>5155</v>
      </c>
      <c r="H25" s="5" t="s">
        <v>5156</v>
      </c>
      <c r="I25" s="5" t="s">
        <v>5157</v>
      </c>
      <c r="J25" s="252" t="s">
        <v>4783</v>
      </c>
      <c r="K25" s="5" t="s">
        <v>5026</v>
      </c>
      <c r="L25" s="5" t="s">
        <v>2252</v>
      </c>
      <c r="M25" s="252" t="s">
        <v>4752</v>
      </c>
      <c r="N25" s="5" t="s">
        <v>3034</v>
      </c>
      <c r="O25" s="5" t="s">
        <v>3034</v>
      </c>
      <c r="P25" s="5" t="s">
        <v>3034</v>
      </c>
      <c r="Q25" s="5" t="s">
        <v>4754</v>
      </c>
      <c r="R25" s="5" t="s">
        <v>3320</v>
      </c>
      <c r="S25" s="5" t="s">
        <v>4756</v>
      </c>
      <c r="T25" s="5" t="s">
        <v>5160</v>
      </c>
      <c r="U25" s="5" t="s">
        <v>195</v>
      </c>
      <c r="V25" s="5" t="s">
        <v>1006</v>
      </c>
      <c r="W25" s="5" t="s">
        <v>1859</v>
      </c>
      <c r="X25" s="5" t="s">
        <v>469</v>
      </c>
      <c r="Y25" s="5" t="s">
        <v>503</v>
      </c>
      <c r="Z25" s="5" t="s">
        <v>2205</v>
      </c>
      <c r="AA25" s="5" t="s">
        <v>5161</v>
      </c>
    </row>
    <row r="26" ht="14.25" customHeight="1">
      <c r="A26" s="5" t="s">
        <v>1919</v>
      </c>
      <c r="B26" s="5" t="s">
        <v>4717</v>
      </c>
      <c r="C26" s="5" t="s">
        <v>5163</v>
      </c>
      <c r="D26" s="5" t="s">
        <v>1159</v>
      </c>
      <c r="E26" s="5" t="str">
        <f t="array" ref="E26">IFERROR(INDEX(REF_CODES!$B$87:$B$132,MATCH($D26,REF_CODES!$C$87:$C$132,0)),"")</f>
        <v>EVT-FLO</v>
      </c>
      <c r="F26" s="5" t="s">
        <v>5167</v>
      </c>
      <c r="G26" s="252" t="s">
        <v>4783</v>
      </c>
      <c r="H26" s="275" t="s">
        <v>5168</v>
      </c>
      <c r="I26" s="5" t="s">
        <v>5169</v>
      </c>
      <c r="J26" s="252" t="s">
        <v>4783</v>
      </c>
      <c r="K26" s="5" t="s">
        <v>5026</v>
      </c>
      <c r="L26" s="5" t="s">
        <v>2252</v>
      </c>
      <c r="M26" s="252" t="s">
        <v>4752</v>
      </c>
      <c r="N26" s="5" t="s">
        <v>3034</v>
      </c>
      <c r="O26" s="5" t="s">
        <v>3034</v>
      </c>
      <c r="P26" s="5" t="s">
        <v>3034</v>
      </c>
      <c r="Q26" s="5" t="s">
        <v>4754</v>
      </c>
      <c r="R26" s="5" t="s">
        <v>3320</v>
      </c>
      <c r="S26" s="5" t="s">
        <v>4756</v>
      </c>
      <c r="T26" s="5" t="s">
        <v>5173</v>
      </c>
      <c r="U26" s="5" t="s">
        <v>188</v>
      </c>
      <c r="V26" s="5" t="s">
        <v>1006</v>
      </c>
      <c r="W26" s="5" t="s">
        <v>1847</v>
      </c>
      <c r="X26" s="5" t="s">
        <v>469</v>
      </c>
      <c r="Y26" s="5" t="s">
        <v>503</v>
      </c>
      <c r="Z26" s="5" t="s">
        <v>2434</v>
      </c>
      <c r="AA26" s="5" t="s">
        <v>5174</v>
      </c>
    </row>
    <row r="27" ht="14.25" customHeight="1">
      <c r="A27" s="5" t="s">
        <v>1919</v>
      </c>
      <c r="B27" s="5" t="s">
        <v>4717</v>
      </c>
      <c r="C27" s="5" t="s">
        <v>5178</v>
      </c>
      <c r="D27" s="5" t="s">
        <v>1159</v>
      </c>
      <c r="E27" s="5" t="str">
        <f t="array" ref="E27">IFERROR(INDEX(REF_CODES!$B$87:$B$132,MATCH($D27,REF_CODES!$C$87:$C$132,0)),"")</f>
        <v>EVT-FLO</v>
      </c>
      <c r="F27" s="5" t="s">
        <v>5180</v>
      </c>
      <c r="G27" s="252" t="s">
        <v>4783</v>
      </c>
      <c r="H27" s="275" t="s">
        <v>5181</v>
      </c>
      <c r="I27" s="5" t="s">
        <v>5183</v>
      </c>
      <c r="J27" s="252" t="s">
        <v>4783</v>
      </c>
      <c r="K27" s="5" t="s">
        <v>5026</v>
      </c>
      <c r="L27" s="5" t="s">
        <v>2252</v>
      </c>
      <c r="M27" s="252" t="s">
        <v>4752</v>
      </c>
      <c r="N27" s="5" t="s">
        <v>3034</v>
      </c>
      <c r="O27" s="5" t="s">
        <v>3034</v>
      </c>
      <c r="P27" s="5" t="s">
        <v>3034</v>
      </c>
      <c r="Q27" s="5" t="s">
        <v>4754</v>
      </c>
      <c r="R27" s="5" t="s">
        <v>3320</v>
      </c>
      <c r="S27" s="5" t="s">
        <v>4756</v>
      </c>
      <c r="T27" s="5" t="s">
        <v>5186</v>
      </c>
      <c r="U27" s="5" t="s">
        <v>188</v>
      </c>
      <c r="V27" s="5" t="s">
        <v>5060</v>
      </c>
      <c r="W27" s="5" t="s">
        <v>1859</v>
      </c>
      <c r="X27" s="5" t="s">
        <v>469</v>
      </c>
      <c r="Y27" s="5" t="s">
        <v>503</v>
      </c>
      <c r="Z27" s="5" t="s">
        <v>2205</v>
      </c>
      <c r="AA27" s="5" t="s">
        <v>5150</v>
      </c>
    </row>
    <row r="28" ht="14.25" customHeight="1">
      <c r="A28" s="261" t="s">
        <v>2172</v>
      </c>
      <c r="B28" s="261" t="s">
        <v>4717</v>
      </c>
      <c r="C28" s="261" t="s">
        <v>5191</v>
      </c>
      <c r="D28" s="261" t="s">
        <v>1344</v>
      </c>
      <c r="E28" s="261" t="str">
        <f t="array" ref="E28">IFERROR(INDEX(REF_CODES!$B$87:$B$132,MATCH($D28,REF_CODES!$C$87:$C$132,0)),"")</f>
        <v>EVT-WED</v>
      </c>
      <c r="F28" s="261" t="s">
        <v>4808</v>
      </c>
      <c r="G28" s="261" t="s">
        <v>2208</v>
      </c>
      <c r="H28" s="275" t="s">
        <v>4809</v>
      </c>
      <c r="I28" s="261" t="s">
        <v>4810</v>
      </c>
      <c r="J28" s="261" t="s">
        <v>2208</v>
      </c>
      <c r="K28" s="261" t="s">
        <v>1919</v>
      </c>
      <c r="L28" s="261" t="s">
        <v>2208</v>
      </c>
      <c r="M28" s="261" t="s">
        <v>2208</v>
      </c>
      <c r="N28" s="261" t="s">
        <v>2208</v>
      </c>
      <c r="O28" s="261" t="s">
        <v>2208</v>
      </c>
      <c r="P28" s="261" t="s">
        <v>2208</v>
      </c>
      <c r="Q28" s="261" t="s">
        <v>2208</v>
      </c>
      <c r="R28" s="261" t="s">
        <v>2208</v>
      </c>
      <c r="S28" s="13" t="s">
        <v>4817</v>
      </c>
      <c r="T28" s="261" t="s">
        <v>5194</v>
      </c>
      <c r="U28" s="261" t="s">
        <v>195</v>
      </c>
      <c r="V28" s="261" t="s">
        <v>5195</v>
      </c>
      <c r="W28" s="261" t="s">
        <v>4024</v>
      </c>
      <c r="X28" s="261" t="s">
        <v>5195</v>
      </c>
      <c r="Y28" s="261" t="s">
        <v>502</v>
      </c>
      <c r="Z28" s="261" t="s">
        <v>5197</v>
      </c>
      <c r="AA28" s="261" t="s">
        <v>534</v>
      </c>
    </row>
    <row r="29" ht="14.25" customHeight="1">
      <c r="A29" s="261" t="s">
        <v>2172</v>
      </c>
      <c r="B29" s="261" t="s">
        <v>4717</v>
      </c>
      <c r="C29" s="261" t="s">
        <v>5198</v>
      </c>
      <c r="D29" s="261" t="s">
        <v>1344</v>
      </c>
      <c r="E29" s="261" t="str">
        <f t="array" ref="E29">IFERROR(INDEX(REF_CODES!$B$87:$B$132,MATCH($D29,REF_CODES!$C$87:$C$132,0)),"")</f>
        <v>EVT-WED</v>
      </c>
      <c r="F29" s="261" t="s">
        <v>5199</v>
      </c>
      <c r="G29" s="261" t="s">
        <v>2208</v>
      </c>
      <c r="H29" s="275" t="s">
        <v>5200</v>
      </c>
      <c r="I29" s="261" t="s">
        <v>5201</v>
      </c>
      <c r="J29" s="261" t="s">
        <v>2208</v>
      </c>
      <c r="K29" s="261" t="s">
        <v>1919</v>
      </c>
      <c r="L29" s="261" t="s">
        <v>2208</v>
      </c>
      <c r="M29" s="261" t="s">
        <v>2208</v>
      </c>
      <c r="N29" s="261" t="s">
        <v>2208</v>
      </c>
      <c r="O29" s="261" t="s">
        <v>2208</v>
      </c>
      <c r="P29" s="261" t="s">
        <v>2208</v>
      </c>
      <c r="Q29" s="261" t="s">
        <v>2208</v>
      </c>
      <c r="R29" s="261" t="s">
        <v>2208</v>
      </c>
      <c r="S29" s="13" t="s">
        <v>4817</v>
      </c>
      <c r="T29" s="261" t="s">
        <v>5194</v>
      </c>
      <c r="U29" s="261" t="s">
        <v>195</v>
      </c>
      <c r="V29" s="261" t="s">
        <v>5195</v>
      </c>
      <c r="W29" s="261" t="s">
        <v>4024</v>
      </c>
      <c r="X29" s="261" t="s">
        <v>5195</v>
      </c>
      <c r="Y29" s="261" t="s">
        <v>502</v>
      </c>
      <c r="Z29" s="261" t="s">
        <v>5197</v>
      </c>
      <c r="AA29" s="261" t="s">
        <v>534</v>
      </c>
    </row>
    <row r="30" ht="14.25" customHeight="1">
      <c r="A30" s="261" t="s">
        <v>2172</v>
      </c>
      <c r="B30" s="261" t="s">
        <v>4717</v>
      </c>
      <c r="C30" s="261" t="s">
        <v>5203</v>
      </c>
      <c r="D30" s="261" t="s">
        <v>1344</v>
      </c>
      <c r="E30" s="261" t="str">
        <f t="array" ref="E30">IFERROR(INDEX(REF_CODES!$B$87:$B$132,MATCH($D30,REF_CODES!$C$87:$C$132,0)),"")</f>
        <v>EVT-WED</v>
      </c>
      <c r="F30" s="261" t="s">
        <v>4916</v>
      </c>
      <c r="G30" s="261" t="s">
        <v>2208</v>
      </c>
      <c r="H30" s="275" t="s">
        <v>4919</v>
      </c>
      <c r="I30" s="261" t="s">
        <v>4920</v>
      </c>
      <c r="J30" s="261" t="s">
        <v>2208</v>
      </c>
      <c r="K30" s="261" t="s">
        <v>1919</v>
      </c>
      <c r="L30" s="261" t="s">
        <v>2208</v>
      </c>
      <c r="M30" s="261" t="s">
        <v>2208</v>
      </c>
      <c r="N30" s="261" t="s">
        <v>2208</v>
      </c>
      <c r="O30" s="261" t="s">
        <v>2208</v>
      </c>
      <c r="P30" s="261" t="s">
        <v>2208</v>
      </c>
      <c r="Q30" s="261" t="s">
        <v>2208</v>
      </c>
      <c r="R30" s="261" t="s">
        <v>2208</v>
      </c>
      <c r="S30" s="13" t="s">
        <v>4756</v>
      </c>
      <c r="T30" s="261" t="s">
        <v>5206</v>
      </c>
      <c r="U30" s="261" t="s">
        <v>195</v>
      </c>
      <c r="V30" s="261" t="s">
        <v>5195</v>
      </c>
      <c r="W30" s="261" t="s">
        <v>4024</v>
      </c>
      <c r="X30" s="261" t="s">
        <v>5195</v>
      </c>
      <c r="Y30" s="261" t="s">
        <v>502</v>
      </c>
      <c r="Z30" s="261" t="s">
        <v>5197</v>
      </c>
      <c r="AA30" s="261" t="s">
        <v>534</v>
      </c>
    </row>
    <row r="31" ht="14.25" customHeight="1">
      <c r="A31" s="261" t="s">
        <v>2172</v>
      </c>
      <c r="B31" s="261" t="s">
        <v>4717</v>
      </c>
      <c r="C31" s="261" t="s">
        <v>5207</v>
      </c>
      <c r="D31" s="261" t="s">
        <v>1344</v>
      </c>
      <c r="E31" s="261" t="str">
        <f t="array" ref="E31">IFERROR(INDEX(REF_CODES!$B$87:$B$132,MATCH($D31,REF_CODES!$C$87:$C$132,0)),"")</f>
        <v>EVT-WED</v>
      </c>
      <c r="F31" s="261" t="s">
        <v>5209</v>
      </c>
      <c r="G31" s="261" t="s">
        <v>5210</v>
      </c>
      <c r="H31" s="261" t="s">
        <v>5211</v>
      </c>
      <c r="I31" s="261" t="s">
        <v>5212</v>
      </c>
      <c r="J31" s="261" t="s">
        <v>2208</v>
      </c>
      <c r="K31" s="261" t="s">
        <v>1919</v>
      </c>
      <c r="L31" s="261" t="s">
        <v>2208</v>
      </c>
      <c r="M31" s="261" t="s">
        <v>2208</v>
      </c>
      <c r="N31" s="261" t="s">
        <v>2208</v>
      </c>
      <c r="O31" s="261" t="s">
        <v>2208</v>
      </c>
      <c r="P31" s="261" t="s">
        <v>2208</v>
      </c>
      <c r="Q31" s="261" t="s">
        <v>2208</v>
      </c>
      <c r="R31" s="261" t="s">
        <v>2208</v>
      </c>
      <c r="S31" s="13" t="s">
        <v>5214</v>
      </c>
      <c r="T31" s="261" t="s">
        <v>5215</v>
      </c>
      <c r="U31" s="261" t="s">
        <v>195</v>
      </c>
      <c r="V31" s="261" t="s">
        <v>5195</v>
      </c>
      <c r="W31" s="261" t="s">
        <v>4024</v>
      </c>
      <c r="X31" s="261" t="s">
        <v>5195</v>
      </c>
      <c r="Y31" s="261" t="s">
        <v>502</v>
      </c>
      <c r="Z31" s="261" t="s">
        <v>5197</v>
      </c>
      <c r="AA31" s="261" t="s">
        <v>534</v>
      </c>
    </row>
    <row r="32" ht="14.25" customHeight="1">
      <c r="A32" s="261" t="s">
        <v>2172</v>
      </c>
      <c r="B32" s="261" t="s">
        <v>4717</v>
      </c>
      <c r="C32" s="261" t="s">
        <v>5216</v>
      </c>
      <c r="D32" s="261" t="s">
        <v>1344</v>
      </c>
      <c r="E32" s="261" t="str">
        <f t="array" ref="E32">IFERROR(INDEX(REF_CODES!$B$87:$B$132,MATCH($D32,REF_CODES!$C$87:$C$132,0)),"")</f>
        <v>EVT-WED</v>
      </c>
      <c r="F32" s="261" t="s">
        <v>5217</v>
      </c>
      <c r="G32" s="261" t="s">
        <v>5218</v>
      </c>
      <c r="H32" s="261" t="s">
        <v>5219</v>
      </c>
      <c r="I32" s="261" t="s">
        <v>5220</v>
      </c>
      <c r="J32" s="261" t="s">
        <v>2208</v>
      </c>
      <c r="K32" s="261" t="s">
        <v>1919</v>
      </c>
      <c r="L32" s="261" t="s">
        <v>2208</v>
      </c>
      <c r="M32" s="261" t="s">
        <v>2208</v>
      </c>
      <c r="N32" s="261" t="s">
        <v>2208</v>
      </c>
      <c r="O32" s="261" t="s">
        <v>2208</v>
      </c>
      <c r="P32" s="261" t="s">
        <v>2208</v>
      </c>
      <c r="Q32" s="261" t="s">
        <v>2208</v>
      </c>
      <c r="R32" s="261" t="s">
        <v>2208</v>
      </c>
      <c r="S32" s="13" t="s">
        <v>5214</v>
      </c>
      <c r="T32" s="261" t="s">
        <v>5222</v>
      </c>
      <c r="U32" s="261" t="s">
        <v>195</v>
      </c>
      <c r="V32" s="261" t="s">
        <v>5195</v>
      </c>
      <c r="W32" s="261" t="s">
        <v>4024</v>
      </c>
      <c r="X32" s="261" t="s">
        <v>5195</v>
      </c>
      <c r="Y32" s="261" t="s">
        <v>502</v>
      </c>
      <c r="Z32" s="261" t="s">
        <v>5197</v>
      </c>
      <c r="AA32" s="261" t="s">
        <v>534</v>
      </c>
    </row>
    <row r="33" ht="14.25" customHeight="1">
      <c r="A33" s="261" t="s">
        <v>2172</v>
      </c>
      <c r="B33" s="261" t="s">
        <v>4717</v>
      </c>
      <c r="C33" s="261" t="s">
        <v>5223</v>
      </c>
      <c r="D33" s="261" t="s">
        <v>1344</v>
      </c>
      <c r="E33" s="261" t="str">
        <f t="array" ref="E33">IFERROR(INDEX(REF_CODES!$B$87:$B$132,MATCH($D33,REF_CODES!$C$87:$C$132,0)),"")</f>
        <v>EVT-WED</v>
      </c>
      <c r="F33" s="261" t="s">
        <v>5225</v>
      </c>
      <c r="G33" s="261" t="s">
        <v>5226</v>
      </c>
      <c r="H33" s="261" t="s">
        <v>5227</v>
      </c>
      <c r="I33" s="261" t="s">
        <v>5228</v>
      </c>
      <c r="J33" s="261" t="s">
        <v>2208</v>
      </c>
      <c r="K33" s="261" t="s">
        <v>1919</v>
      </c>
      <c r="L33" s="261" t="s">
        <v>2208</v>
      </c>
      <c r="M33" s="261" t="s">
        <v>2208</v>
      </c>
      <c r="N33" s="261" t="s">
        <v>2208</v>
      </c>
      <c r="O33" s="261" t="s">
        <v>2208</v>
      </c>
      <c r="P33" s="261" t="s">
        <v>2208</v>
      </c>
      <c r="Q33" s="261" t="s">
        <v>2208</v>
      </c>
      <c r="R33" s="261" t="s">
        <v>2208</v>
      </c>
      <c r="S33" s="13" t="s">
        <v>5214</v>
      </c>
      <c r="T33" s="261" t="s">
        <v>5229</v>
      </c>
      <c r="U33" s="261" t="s">
        <v>195</v>
      </c>
      <c r="V33" s="261" t="s">
        <v>5195</v>
      </c>
      <c r="W33" s="261" t="s">
        <v>4024</v>
      </c>
      <c r="X33" s="261" t="s">
        <v>5195</v>
      </c>
      <c r="Y33" s="261" t="s">
        <v>502</v>
      </c>
      <c r="Z33" s="261" t="s">
        <v>5197</v>
      </c>
      <c r="AA33" s="261" t="s">
        <v>534</v>
      </c>
    </row>
    <row r="34" ht="14.25" customHeight="1">
      <c r="A34" s="261" t="s">
        <v>2172</v>
      </c>
      <c r="B34" s="261" t="s">
        <v>4717</v>
      </c>
      <c r="C34" s="261" t="s">
        <v>5230</v>
      </c>
      <c r="D34" s="261" t="s">
        <v>1344</v>
      </c>
      <c r="E34" s="261" t="str">
        <f t="array" ref="E34">IFERROR(INDEX(REF_CODES!$B$87:$B$132,MATCH($D34,REF_CODES!$C$87:$C$132,0)),"")</f>
        <v>EVT-WED</v>
      </c>
      <c r="F34" s="261" t="s">
        <v>4739</v>
      </c>
      <c r="G34" s="261" t="s">
        <v>2208</v>
      </c>
      <c r="H34" s="275" t="s">
        <v>5234</v>
      </c>
      <c r="I34" s="261" t="s">
        <v>4746</v>
      </c>
      <c r="J34" s="261" t="s">
        <v>2208</v>
      </c>
      <c r="K34" s="261" t="s">
        <v>1919</v>
      </c>
      <c r="L34" s="261" t="s">
        <v>2208</v>
      </c>
      <c r="M34" s="261" t="s">
        <v>2208</v>
      </c>
      <c r="N34" s="261" t="s">
        <v>2208</v>
      </c>
      <c r="O34" s="261" t="s">
        <v>2208</v>
      </c>
      <c r="P34" s="261" t="s">
        <v>2208</v>
      </c>
      <c r="Q34" s="261" t="s">
        <v>2208</v>
      </c>
      <c r="R34" s="261" t="s">
        <v>2208</v>
      </c>
      <c r="S34" s="13" t="s">
        <v>4756</v>
      </c>
      <c r="T34" s="261" t="s">
        <v>5235</v>
      </c>
      <c r="U34" s="261" t="s">
        <v>195</v>
      </c>
      <c r="V34" s="261" t="s">
        <v>5195</v>
      </c>
      <c r="W34" s="261" t="s">
        <v>4024</v>
      </c>
      <c r="X34" s="261" t="s">
        <v>5195</v>
      </c>
      <c r="Y34" s="261" t="s">
        <v>502</v>
      </c>
      <c r="Z34" s="261" t="s">
        <v>5197</v>
      </c>
      <c r="AA34" s="261" t="s">
        <v>534</v>
      </c>
    </row>
    <row r="35" ht="14.25" customHeight="1">
      <c r="A35" s="261" t="s">
        <v>2172</v>
      </c>
      <c r="B35" s="261" t="s">
        <v>4717</v>
      </c>
      <c r="C35" s="261" t="s">
        <v>5236</v>
      </c>
      <c r="D35" s="261" t="s">
        <v>1363</v>
      </c>
      <c r="E35" s="261" t="str">
        <f t="array" ref="E35">IFERROR(INDEX(REF_CODES!$B$87:$B$132,MATCH($D35,REF_CODES!$C$87:$C$132,0)),"")</f>
        <v>EVT-COR</v>
      </c>
      <c r="F35" s="261" t="s">
        <v>5225</v>
      </c>
      <c r="G35" s="261" t="s">
        <v>5226</v>
      </c>
      <c r="H35" s="261" t="s">
        <v>5227</v>
      </c>
      <c r="I35" s="261" t="s">
        <v>5228</v>
      </c>
      <c r="J35" s="261" t="s">
        <v>2208</v>
      </c>
      <c r="K35" s="261" t="s">
        <v>1919</v>
      </c>
      <c r="L35" s="261" t="s">
        <v>2208</v>
      </c>
      <c r="M35" s="261" t="s">
        <v>2208</v>
      </c>
      <c r="N35" s="261" t="s">
        <v>2208</v>
      </c>
      <c r="O35" s="261" t="s">
        <v>2208</v>
      </c>
      <c r="P35" s="261" t="s">
        <v>2208</v>
      </c>
      <c r="Q35" s="261" t="s">
        <v>2208</v>
      </c>
      <c r="R35" s="261" t="s">
        <v>2208</v>
      </c>
      <c r="S35" s="13" t="s">
        <v>5214</v>
      </c>
      <c r="T35" s="261" t="s">
        <v>5241</v>
      </c>
      <c r="U35" s="261" t="s">
        <v>195</v>
      </c>
      <c r="V35" s="261" t="s">
        <v>5195</v>
      </c>
      <c r="W35" s="261" t="s">
        <v>4024</v>
      </c>
      <c r="X35" s="261" t="s">
        <v>5195</v>
      </c>
      <c r="Y35" s="261" t="s">
        <v>502</v>
      </c>
      <c r="Z35" s="261" t="s">
        <v>5197</v>
      </c>
      <c r="AA35" s="261" t="s">
        <v>534</v>
      </c>
    </row>
    <row r="36" ht="14.25" customHeight="1">
      <c r="A36" s="261" t="s">
        <v>2172</v>
      </c>
      <c r="B36" s="261" t="s">
        <v>4717</v>
      </c>
      <c r="C36" s="261" t="s">
        <v>5242</v>
      </c>
      <c r="D36" s="261" t="s">
        <v>1363</v>
      </c>
      <c r="E36" s="261" t="str">
        <f t="array" ref="E36">IFERROR(INDEX(REF_CODES!$B$87:$B$132,MATCH($D36,REF_CODES!$C$87:$C$132,0)),"")</f>
        <v>EVT-COR</v>
      </c>
      <c r="F36" s="261" t="s">
        <v>4808</v>
      </c>
      <c r="G36" s="261" t="s">
        <v>2208</v>
      </c>
      <c r="H36" s="275" t="s">
        <v>4809</v>
      </c>
      <c r="I36" s="261" t="s">
        <v>4810</v>
      </c>
      <c r="J36" s="261" t="s">
        <v>2208</v>
      </c>
      <c r="K36" s="261" t="s">
        <v>1919</v>
      </c>
      <c r="L36" s="261" t="s">
        <v>2208</v>
      </c>
      <c r="M36" s="261" t="s">
        <v>2208</v>
      </c>
      <c r="N36" s="261" t="s">
        <v>2208</v>
      </c>
      <c r="O36" s="261" t="s">
        <v>2208</v>
      </c>
      <c r="P36" s="261" t="s">
        <v>2208</v>
      </c>
      <c r="Q36" s="261" t="s">
        <v>2208</v>
      </c>
      <c r="R36" s="261" t="s">
        <v>2208</v>
      </c>
      <c r="S36" s="13" t="s">
        <v>4817</v>
      </c>
      <c r="T36" s="261" t="s">
        <v>5245</v>
      </c>
      <c r="U36" s="261" t="s">
        <v>195</v>
      </c>
      <c r="V36" s="261" t="s">
        <v>5195</v>
      </c>
      <c r="W36" s="261" t="s">
        <v>4024</v>
      </c>
      <c r="X36" s="261" t="s">
        <v>5195</v>
      </c>
      <c r="Y36" s="261" t="s">
        <v>502</v>
      </c>
      <c r="Z36" s="261" t="s">
        <v>5197</v>
      </c>
      <c r="AA36" s="261" t="s">
        <v>534</v>
      </c>
    </row>
    <row r="37" ht="14.25" customHeight="1">
      <c r="A37" s="261" t="s">
        <v>2172</v>
      </c>
      <c r="B37" s="261" t="s">
        <v>4717</v>
      </c>
      <c r="C37" s="261" t="s">
        <v>5246</v>
      </c>
      <c r="D37" s="261" t="s">
        <v>1363</v>
      </c>
      <c r="E37" s="261" t="str">
        <f t="array" ref="E37">IFERROR(INDEX(REF_CODES!$B$87:$B$132,MATCH($D37,REF_CODES!$C$87:$C$132,0)),"")</f>
        <v>EVT-COR</v>
      </c>
      <c r="F37" s="261" t="s">
        <v>4916</v>
      </c>
      <c r="G37" s="261" t="s">
        <v>2208</v>
      </c>
      <c r="H37" s="275" t="s">
        <v>4919</v>
      </c>
      <c r="I37" s="261" t="s">
        <v>4920</v>
      </c>
      <c r="J37" s="261" t="s">
        <v>2208</v>
      </c>
      <c r="K37" s="261" t="s">
        <v>1919</v>
      </c>
      <c r="L37" s="261" t="s">
        <v>2208</v>
      </c>
      <c r="M37" s="261" t="s">
        <v>2208</v>
      </c>
      <c r="N37" s="261" t="s">
        <v>2208</v>
      </c>
      <c r="O37" s="261" t="s">
        <v>2208</v>
      </c>
      <c r="P37" s="261" t="s">
        <v>2208</v>
      </c>
      <c r="Q37" s="261" t="s">
        <v>2208</v>
      </c>
      <c r="R37" s="261" t="s">
        <v>2208</v>
      </c>
      <c r="S37" s="13" t="s">
        <v>4756</v>
      </c>
      <c r="T37" s="261" t="s">
        <v>5249</v>
      </c>
      <c r="U37" s="261" t="s">
        <v>195</v>
      </c>
      <c r="V37" s="261" t="s">
        <v>5195</v>
      </c>
      <c r="W37" s="261" t="s">
        <v>4024</v>
      </c>
      <c r="X37" s="261" t="s">
        <v>5195</v>
      </c>
      <c r="Y37" s="261" t="s">
        <v>502</v>
      </c>
      <c r="Z37" s="261" t="s">
        <v>5197</v>
      </c>
      <c r="AA37" s="261" t="s">
        <v>534</v>
      </c>
    </row>
    <row r="38" ht="14.25" customHeight="1">
      <c r="A38" s="261" t="s">
        <v>2172</v>
      </c>
      <c r="B38" s="261" t="s">
        <v>4717</v>
      </c>
      <c r="C38" s="261" t="s">
        <v>5250</v>
      </c>
      <c r="D38" s="261" t="s">
        <v>1363</v>
      </c>
      <c r="E38" s="261" t="str">
        <f t="array" ref="E38">IFERROR(INDEX(REF_CODES!$B$87:$B$132,MATCH($D38,REF_CODES!$C$87:$C$132,0)),"")</f>
        <v>EVT-COR</v>
      </c>
      <c r="F38" s="261" t="s">
        <v>5209</v>
      </c>
      <c r="G38" s="261" t="s">
        <v>5210</v>
      </c>
      <c r="H38" s="261" t="s">
        <v>5211</v>
      </c>
      <c r="I38" s="261" t="s">
        <v>5212</v>
      </c>
      <c r="J38" s="261" t="s">
        <v>2208</v>
      </c>
      <c r="K38" s="261" t="s">
        <v>1919</v>
      </c>
      <c r="L38" s="261" t="s">
        <v>2208</v>
      </c>
      <c r="M38" s="261" t="s">
        <v>2208</v>
      </c>
      <c r="N38" s="261" t="s">
        <v>2208</v>
      </c>
      <c r="O38" s="261" t="s">
        <v>2208</v>
      </c>
      <c r="P38" s="261" t="s">
        <v>2208</v>
      </c>
      <c r="Q38" s="261" t="s">
        <v>2208</v>
      </c>
      <c r="R38" s="261" t="s">
        <v>2208</v>
      </c>
      <c r="S38" s="13" t="s">
        <v>5214</v>
      </c>
      <c r="T38" s="261" t="s">
        <v>5253</v>
      </c>
      <c r="U38" s="261" t="s">
        <v>195</v>
      </c>
      <c r="V38" s="261" t="s">
        <v>5195</v>
      </c>
      <c r="W38" s="261" t="s">
        <v>4024</v>
      </c>
      <c r="X38" s="261" t="s">
        <v>5195</v>
      </c>
      <c r="Y38" s="261" t="s">
        <v>502</v>
      </c>
      <c r="Z38" s="261" t="s">
        <v>5197</v>
      </c>
      <c r="AA38" s="261" t="s">
        <v>534</v>
      </c>
    </row>
    <row r="39" ht="14.25" customHeight="1">
      <c r="A39" s="261" t="s">
        <v>2172</v>
      </c>
      <c r="B39" s="261" t="s">
        <v>4717</v>
      </c>
      <c r="C39" s="261" t="s">
        <v>5255</v>
      </c>
      <c r="D39" s="261" t="s">
        <v>1363</v>
      </c>
      <c r="E39" s="261" t="str">
        <f t="array" ref="E39">IFERROR(INDEX(REF_CODES!$B$87:$B$132,MATCH($D39,REF_CODES!$C$87:$C$132,0)),"")</f>
        <v>EVT-COR</v>
      </c>
      <c r="F39" s="261" t="s">
        <v>5217</v>
      </c>
      <c r="G39" s="261" t="s">
        <v>5218</v>
      </c>
      <c r="H39" s="261" t="s">
        <v>5219</v>
      </c>
      <c r="I39" s="261" t="s">
        <v>5220</v>
      </c>
      <c r="J39" s="261" t="s">
        <v>2208</v>
      </c>
      <c r="K39" s="261" t="s">
        <v>1919</v>
      </c>
      <c r="L39" s="261" t="s">
        <v>2208</v>
      </c>
      <c r="M39" s="261" t="s">
        <v>2208</v>
      </c>
      <c r="N39" s="261" t="s">
        <v>2208</v>
      </c>
      <c r="O39" s="261" t="s">
        <v>2208</v>
      </c>
      <c r="P39" s="261" t="s">
        <v>2208</v>
      </c>
      <c r="Q39" s="261" t="s">
        <v>2208</v>
      </c>
      <c r="R39" s="261" t="s">
        <v>2208</v>
      </c>
      <c r="S39" s="13" t="s">
        <v>5214</v>
      </c>
      <c r="T39" s="261" t="s">
        <v>5256</v>
      </c>
      <c r="U39" s="261" t="s">
        <v>195</v>
      </c>
      <c r="V39" s="261" t="s">
        <v>5195</v>
      </c>
      <c r="W39" s="261" t="s">
        <v>4024</v>
      </c>
      <c r="X39" s="261" t="s">
        <v>5195</v>
      </c>
      <c r="Y39" s="261" t="s">
        <v>502</v>
      </c>
      <c r="Z39" s="261" t="s">
        <v>5197</v>
      </c>
      <c r="AA39" s="261" t="s">
        <v>534</v>
      </c>
    </row>
    <row r="40" ht="14.25" customHeight="1">
      <c r="A40" s="261" t="s">
        <v>2172</v>
      </c>
      <c r="B40" s="261" t="s">
        <v>4717</v>
      </c>
      <c r="C40" s="261" t="s">
        <v>5258</v>
      </c>
      <c r="D40" s="261" t="s">
        <v>1353</v>
      </c>
      <c r="E40" s="261" t="str">
        <f t="array" ref="E40">IFERROR(INDEX(REF_CODES!$B$87:$B$132,MATCH($D40,REF_CODES!$C$87:$C$132,0)),"")</f>
        <v>EVT-EVP</v>
      </c>
      <c r="F40" s="261" t="s">
        <v>4739</v>
      </c>
      <c r="G40" s="261" t="s">
        <v>2208</v>
      </c>
      <c r="H40" s="275" t="s">
        <v>5234</v>
      </c>
      <c r="I40" s="261" t="s">
        <v>4746</v>
      </c>
      <c r="J40" s="261" t="s">
        <v>2208</v>
      </c>
      <c r="K40" s="261" t="s">
        <v>1919</v>
      </c>
      <c r="L40" s="261" t="s">
        <v>2208</v>
      </c>
      <c r="M40" s="261" t="s">
        <v>2208</v>
      </c>
      <c r="N40" s="261" t="s">
        <v>2208</v>
      </c>
      <c r="O40" s="261" t="s">
        <v>2208</v>
      </c>
      <c r="P40" s="261" t="s">
        <v>2208</v>
      </c>
      <c r="Q40" s="261" t="s">
        <v>2208</v>
      </c>
      <c r="R40" s="261" t="s">
        <v>2208</v>
      </c>
      <c r="S40" s="13" t="s">
        <v>4756</v>
      </c>
      <c r="T40" s="261" t="s">
        <v>5261</v>
      </c>
      <c r="U40" s="261" t="s">
        <v>195</v>
      </c>
      <c r="V40" s="261" t="s">
        <v>5195</v>
      </c>
      <c r="W40" s="261" t="s">
        <v>4024</v>
      </c>
      <c r="X40" s="261" t="s">
        <v>5195</v>
      </c>
      <c r="Y40" s="261" t="s">
        <v>502</v>
      </c>
      <c r="Z40" s="261" t="s">
        <v>5197</v>
      </c>
      <c r="AA40" s="261" t="s">
        <v>534</v>
      </c>
    </row>
    <row r="41" ht="14.25" customHeight="1">
      <c r="A41" s="261" t="s">
        <v>2172</v>
      </c>
      <c r="B41" s="261" t="s">
        <v>4717</v>
      </c>
      <c r="C41" s="261" t="s">
        <v>5262</v>
      </c>
      <c r="D41" s="261" t="s">
        <v>1353</v>
      </c>
      <c r="E41" s="261" t="str">
        <f t="array" ref="E41">IFERROR(INDEX(REF_CODES!$B$87:$B$132,MATCH($D41,REF_CODES!$C$87:$C$132,0)),"")</f>
        <v>EVT-EVP</v>
      </c>
      <c r="F41" s="261" t="s">
        <v>5217</v>
      </c>
      <c r="G41" s="261" t="s">
        <v>5218</v>
      </c>
      <c r="H41" s="261" t="s">
        <v>5219</v>
      </c>
      <c r="I41" s="261" t="s">
        <v>5220</v>
      </c>
      <c r="J41" s="261" t="s">
        <v>2208</v>
      </c>
      <c r="K41" s="261" t="s">
        <v>1919</v>
      </c>
      <c r="L41" s="261" t="s">
        <v>2208</v>
      </c>
      <c r="M41" s="261" t="s">
        <v>2208</v>
      </c>
      <c r="N41" s="261" t="s">
        <v>2208</v>
      </c>
      <c r="O41" s="261" t="s">
        <v>2208</v>
      </c>
      <c r="P41" s="261" t="s">
        <v>2208</v>
      </c>
      <c r="Q41" s="261" t="s">
        <v>2208</v>
      </c>
      <c r="R41" s="261" t="s">
        <v>2208</v>
      </c>
      <c r="S41" s="13" t="s">
        <v>5214</v>
      </c>
      <c r="T41" s="261" t="s">
        <v>5267</v>
      </c>
      <c r="U41" s="261" t="s">
        <v>195</v>
      </c>
      <c r="V41" s="261" t="s">
        <v>5195</v>
      </c>
      <c r="W41" s="261" t="s">
        <v>4024</v>
      </c>
      <c r="X41" s="261" t="s">
        <v>5195</v>
      </c>
      <c r="Y41" s="261" t="s">
        <v>502</v>
      </c>
      <c r="Z41" s="261" t="s">
        <v>5197</v>
      </c>
      <c r="AA41" s="261" t="s">
        <v>534</v>
      </c>
    </row>
    <row r="42" ht="14.25" customHeight="1">
      <c r="A42" s="261" t="s">
        <v>2172</v>
      </c>
      <c r="B42" s="261" t="s">
        <v>4717</v>
      </c>
      <c r="C42" s="261" t="s">
        <v>5269</v>
      </c>
      <c r="D42" s="261" t="s">
        <v>1353</v>
      </c>
      <c r="E42" s="261" t="str">
        <f t="array" ref="E42">IFERROR(INDEX(REF_CODES!$B$87:$B$132,MATCH($D42,REF_CODES!$C$87:$C$132,0)),"")</f>
        <v>EVT-EVP</v>
      </c>
      <c r="F42" s="261" t="s">
        <v>5225</v>
      </c>
      <c r="G42" s="261" t="s">
        <v>5226</v>
      </c>
      <c r="H42" s="261" t="s">
        <v>5227</v>
      </c>
      <c r="I42" s="261" t="s">
        <v>5228</v>
      </c>
      <c r="J42" s="261" t="s">
        <v>2208</v>
      </c>
      <c r="K42" s="261" t="s">
        <v>1919</v>
      </c>
      <c r="L42" s="261" t="s">
        <v>2208</v>
      </c>
      <c r="M42" s="261" t="s">
        <v>2208</v>
      </c>
      <c r="N42" s="261" t="s">
        <v>2208</v>
      </c>
      <c r="O42" s="261" t="s">
        <v>2208</v>
      </c>
      <c r="P42" s="261" t="s">
        <v>2208</v>
      </c>
      <c r="Q42" s="261" t="s">
        <v>2208</v>
      </c>
      <c r="R42" s="261" t="s">
        <v>2208</v>
      </c>
      <c r="S42" s="13" t="s">
        <v>5214</v>
      </c>
      <c r="T42" s="261" t="s">
        <v>5271</v>
      </c>
      <c r="U42" s="261" t="s">
        <v>195</v>
      </c>
      <c r="V42" s="261" t="s">
        <v>5195</v>
      </c>
      <c r="W42" s="261" t="s">
        <v>4024</v>
      </c>
      <c r="X42" s="261" t="s">
        <v>5195</v>
      </c>
      <c r="Y42" s="261" t="s">
        <v>502</v>
      </c>
      <c r="Z42" s="261" t="s">
        <v>5197</v>
      </c>
      <c r="AA42" s="261" t="s">
        <v>534</v>
      </c>
    </row>
    <row r="43" ht="14.25" customHeight="1">
      <c r="A43" s="261" t="s">
        <v>2172</v>
      </c>
      <c r="B43" s="261" t="s">
        <v>4717</v>
      </c>
      <c r="C43" s="261" t="s">
        <v>5274</v>
      </c>
      <c r="D43" s="261" t="s">
        <v>1372</v>
      </c>
      <c r="E43" s="261" t="str">
        <f t="array" ref="E43">IFERROR(INDEX(REF_CODES!$B$87:$B$132,MATCH($D43,REF_CODES!$C$87:$C$132,0)),"")</f>
        <v>EVT-CON</v>
      </c>
      <c r="F43" s="261" t="s">
        <v>5225</v>
      </c>
      <c r="G43" s="261" t="s">
        <v>5226</v>
      </c>
      <c r="H43" s="261" t="s">
        <v>5227</v>
      </c>
      <c r="I43" s="261" t="s">
        <v>5228</v>
      </c>
      <c r="J43" s="261" t="s">
        <v>2208</v>
      </c>
      <c r="K43" s="261" t="s">
        <v>1919</v>
      </c>
      <c r="L43" s="261" t="s">
        <v>2208</v>
      </c>
      <c r="M43" s="261" t="s">
        <v>2208</v>
      </c>
      <c r="N43" s="261" t="s">
        <v>2208</v>
      </c>
      <c r="O43" s="261" t="s">
        <v>2208</v>
      </c>
      <c r="P43" s="261" t="s">
        <v>2208</v>
      </c>
      <c r="Q43" s="261" t="s">
        <v>2208</v>
      </c>
      <c r="R43" s="261" t="s">
        <v>2208</v>
      </c>
      <c r="S43" s="13" t="s">
        <v>5214</v>
      </c>
      <c r="T43" s="261" t="s">
        <v>5279</v>
      </c>
      <c r="U43" s="261" t="s">
        <v>195</v>
      </c>
      <c r="V43" s="261" t="s">
        <v>5195</v>
      </c>
      <c r="W43" s="261" t="s">
        <v>4024</v>
      </c>
      <c r="X43" s="261" t="s">
        <v>5195</v>
      </c>
      <c r="Y43" s="261" t="s">
        <v>502</v>
      </c>
      <c r="Z43" s="261" t="s">
        <v>5197</v>
      </c>
      <c r="AA43" s="261" t="s">
        <v>534</v>
      </c>
    </row>
    <row r="44" ht="14.25" customHeight="1">
      <c r="A44" s="261" t="s">
        <v>2172</v>
      </c>
      <c r="B44" s="261" t="s">
        <v>4717</v>
      </c>
      <c r="C44" s="261" t="s">
        <v>5281</v>
      </c>
      <c r="D44" s="261" t="s">
        <v>1372</v>
      </c>
      <c r="E44" s="261" t="str">
        <f t="array" ref="E44">IFERROR(INDEX(REF_CODES!$B$87:$B$132,MATCH($D44,REF_CODES!$C$87:$C$132,0)),"")</f>
        <v>EVT-CON</v>
      </c>
      <c r="F44" s="261" t="s">
        <v>4808</v>
      </c>
      <c r="G44" s="261" t="s">
        <v>2208</v>
      </c>
      <c r="H44" s="275" t="s">
        <v>4809</v>
      </c>
      <c r="I44" s="261" t="s">
        <v>4810</v>
      </c>
      <c r="J44" s="261" t="s">
        <v>2208</v>
      </c>
      <c r="K44" s="261" t="s">
        <v>1919</v>
      </c>
      <c r="L44" s="261" t="s">
        <v>2208</v>
      </c>
      <c r="M44" s="261" t="s">
        <v>2208</v>
      </c>
      <c r="N44" s="261" t="s">
        <v>2208</v>
      </c>
      <c r="O44" s="261" t="s">
        <v>2208</v>
      </c>
      <c r="P44" s="261" t="s">
        <v>2208</v>
      </c>
      <c r="Q44" s="261" t="s">
        <v>2208</v>
      </c>
      <c r="R44" s="261" t="s">
        <v>2208</v>
      </c>
      <c r="S44" s="13" t="s">
        <v>4817</v>
      </c>
      <c r="T44" s="261" t="s">
        <v>5283</v>
      </c>
      <c r="U44" s="261" t="s">
        <v>195</v>
      </c>
      <c r="V44" s="261" t="s">
        <v>5195</v>
      </c>
      <c r="W44" s="261" t="s">
        <v>4024</v>
      </c>
      <c r="X44" s="261" t="s">
        <v>5195</v>
      </c>
      <c r="Y44" s="261" t="s">
        <v>502</v>
      </c>
      <c r="Z44" s="261" t="s">
        <v>5197</v>
      </c>
      <c r="AA44" s="261" t="s">
        <v>534</v>
      </c>
    </row>
    <row r="45" ht="14.25" customHeight="1">
      <c r="A45" s="261" t="s">
        <v>2172</v>
      </c>
      <c r="B45" s="261" t="s">
        <v>4717</v>
      </c>
      <c r="C45" s="261" t="s">
        <v>5284</v>
      </c>
      <c r="D45" s="261" t="s">
        <v>1280</v>
      </c>
      <c r="E45" s="261" t="str">
        <f t="array" ref="E45">IFERROR(INDEX(REF_CODES!$B$87:$B$132,MATCH($D45,REF_CODES!$C$87:$C$132,0)),"")</f>
        <v>EVT-HAM</v>
      </c>
      <c r="F45" s="261" t="s">
        <v>2719</v>
      </c>
      <c r="G45" s="261" t="s">
        <v>2208</v>
      </c>
      <c r="H45" s="275" t="s">
        <v>5287</v>
      </c>
      <c r="I45" s="261" t="s">
        <v>5288</v>
      </c>
      <c r="J45" s="261" t="s">
        <v>2208</v>
      </c>
      <c r="K45" s="261" t="s">
        <v>1919</v>
      </c>
      <c r="L45" s="261" t="s">
        <v>2208</v>
      </c>
      <c r="M45" s="261" t="s">
        <v>2208</v>
      </c>
      <c r="N45" s="261" t="s">
        <v>2208</v>
      </c>
      <c r="O45" s="261" t="s">
        <v>2208</v>
      </c>
      <c r="P45" s="261" t="s">
        <v>2208</v>
      </c>
      <c r="Q45" s="261" t="s">
        <v>2208</v>
      </c>
      <c r="R45" s="261" t="s">
        <v>2208</v>
      </c>
      <c r="S45" s="13" t="s">
        <v>4756</v>
      </c>
      <c r="T45" s="261" t="s">
        <v>5290</v>
      </c>
      <c r="U45" s="261" t="s">
        <v>195</v>
      </c>
      <c r="V45" s="261" t="s">
        <v>5195</v>
      </c>
      <c r="W45" s="261" t="s">
        <v>4024</v>
      </c>
      <c r="X45" s="261" t="s">
        <v>5195</v>
      </c>
      <c r="Y45" s="261" t="s">
        <v>502</v>
      </c>
      <c r="Z45" s="261" t="s">
        <v>5197</v>
      </c>
      <c r="AA45" s="261" t="s">
        <v>534</v>
      </c>
    </row>
    <row r="46" ht="14.25" customHeight="1">
      <c r="A46" s="261" t="s">
        <v>2172</v>
      </c>
      <c r="B46" s="261" t="s">
        <v>4717</v>
      </c>
      <c r="C46" s="261" t="s">
        <v>5291</v>
      </c>
      <c r="D46" s="261" t="s">
        <v>1280</v>
      </c>
      <c r="E46" s="261" t="str">
        <f t="array" ref="E46">IFERROR(INDEX(REF_CODES!$B$87:$B$132,MATCH($D46,REF_CODES!$C$87:$C$132,0)),"")</f>
        <v>EVT-HAM</v>
      </c>
      <c r="F46" s="261" t="s">
        <v>5295</v>
      </c>
      <c r="G46" s="261" t="s">
        <v>2208</v>
      </c>
      <c r="H46" s="275" t="s">
        <v>5296</v>
      </c>
      <c r="I46" s="261" t="s">
        <v>5297</v>
      </c>
      <c r="J46" s="261" t="s">
        <v>2208</v>
      </c>
      <c r="K46" s="261" t="s">
        <v>1919</v>
      </c>
      <c r="L46" s="261" t="s">
        <v>2208</v>
      </c>
      <c r="M46" s="261" t="s">
        <v>2208</v>
      </c>
      <c r="N46" s="261" t="s">
        <v>2208</v>
      </c>
      <c r="O46" s="261" t="s">
        <v>2208</v>
      </c>
      <c r="P46" s="261" t="s">
        <v>2208</v>
      </c>
      <c r="Q46" s="261" t="s">
        <v>2208</v>
      </c>
      <c r="R46" s="261" t="s">
        <v>2208</v>
      </c>
      <c r="S46" s="13" t="s">
        <v>4756</v>
      </c>
      <c r="T46" s="261" t="s">
        <v>5298</v>
      </c>
      <c r="U46" s="261" t="s">
        <v>195</v>
      </c>
      <c r="V46" s="261" t="s">
        <v>5195</v>
      </c>
      <c r="W46" s="261" t="s">
        <v>4024</v>
      </c>
      <c r="X46" s="261" t="s">
        <v>5195</v>
      </c>
      <c r="Y46" s="261" t="s">
        <v>502</v>
      </c>
      <c r="Z46" s="261" t="s">
        <v>5197</v>
      </c>
      <c r="AA46" s="261" t="s">
        <v>534</v>
      </c>
    </row>
    <row r="47" ht="14.25" customHeight="1">
      <c r="A47" s="261" t="s">
        <v>2172</v>
      </c>
      <c r="B47" s="261" t="s">
        <v>4717</v>
      </c>
      <c r="C47" s="261" t="s">
        <v>5301</v>
      </c>
      <c r="D47" s="261" t="s">
        <v>1280</v>
      </c>
      <c r="E47" s="261" t="str">
        <f t="array" ref="E47">IFERROR(INDEX(REF_CODES!$B$87:$B$132,MATCH($D47,REF_CODES!$C$87:$C$132,0)),"")</f>
        <v>EVT-HAM</v>
      </c>
      <c r="F47" s="261" t="s">
        <v>5302</v>
      </c>
      <c r="G47" s="261" t="s">
        <v>2208</v>
      </c>
      <c r="H47" s="275" t="s">
        <v>5076</v>
      </c>
      <c r="I47" s="261" t="s">
        <v>5303</v>
      </c>
      <c r="J47" s="261" t="s">
        <v>2208</v>
      </c>
      <c r="K47" s="261" t="s">
        <v>1919</v>
      </c>
      <c r="L47" s="261" t="s">
        <v>2208</v>
      </c>
      <c r="M47" s="261" t="s">
        <v>2208</v>
      </c>
      <c r="N47" s="261" t="s">
        <v>2208</v>
      </c>
      <c r="O47" s="261" t="s">
        <v>2208</v>
      </c>
      <c r="P47" s="261" t="s">
        <v>2208</v>
      </c>
      <c r="Q47" s="261" t="s">
        <v>2208</v>
      </c>
      <c r="R47" s="261" t="s">
        <v>2208</v>
      </c>
      <c r="S47" s="13" t="s">
        <v>4756</v>
      </c>
      <c r="T47" s="261" t="s">
        <v>5304</v>
      </c>
      <c r="U47" s="261" t="s">
        <v>195</v>
      </c>
      <c r="V47" s="261" t="s">
        <v>5195</v>
      </c>
      <c r="W47" s="261" t="s">
        <v>4024</v>
      </c>
      <c r="X47" s="261" t="s">
        <v>5195</v>
      </c>
      <c r="Y47" s="261" t="s">
        <v>502</v>
      </c>
      <c r="Z47" s="261" t="s">
        <v>5197</v>
      </c>
      <c r="AA47" s="261" t="s">
        <v>534</v>
      </c>
    </row>
    <row r="48" ht="14.25" customHeight="1">
      <c r="A48" s="261" t="s">
        <v>2172</v>
      </c>
      <c r="B48" s="261" t="s">
        <v>4717</v>
      </c>
      <c r="C48" s="261" t="s">
        <v>5307</v>
      </c>
      <c r="D48" s="261" t="s">
        <v>1280</v>
      </c>
      <c r="E48" s="261" t="str">
        <f t="array" ref="E48">IFERROR(INDEX(REF_CODES!$B$87:$B$132,MATCH($D48,REF_CODES!$C$87:$C$132,0)),"")</f>
        <v>EVT-HAM</v>
      </c>
      <c r="F48" s="261" t="s">
        <v>5308</v>
      </c>
      <c r="G48" s="261" t="s">
        <v>2208</v>
      </c>
      <c r="H48" s="275" t="s">
        <v>2710</v>
      </c>
      <c r="I48" s="261" t="s">
        <v>5309</v>
      </c>
      <c r="J48" s="261" t="s">
        <v>2208</v>
      </c>
      <c r="K48" s="261" t="s">
        <v>1919</v>
      </c>
      <c r="L48" s="261" t="s">
        <v>2208</v>
      </c>
      <c r="M48" s="261" t="s">
        <v>2208</v>
      </c>
      <c r="N48" s="261" t="s">
        <v>2208</v>
      </c>
      <c r="O48" s="261" t="s">
        <v>2208</v>
      </c>
      <c r="P48" s="261" t="s">
        <v>2208</v>
      </c>
      <c r="Q48" s="261" t="s">
        <v>2208</v>
      </c>
      <c r="R48" s="261" t="s">
        <v>2208</v>
      </c>
      <c r="S48" s="13" t="s">
        <v>4756</v>
      </c>
      <c r="T48" s="261" t="s">
        <v>5312</v>
      </c>
      <c r="U48" s="261" t="s">
        <v>195</v>
      </c>
      <c r="V48" s="261" t="s">
        <v>5195</v>
      </c>
      <c r="W48" s="261" t="s">
        <v>4024</v>
      </c>
      <c r="X48" s="261" t="s">
        <v>5195</v>
      </c>
      <c r="Y48" s="261" t="s">
        <v>502</v>
      </c>
      <c r="Z48" s="261" t="s">
        <v>5197</v>
      </c>
      <c r="AA48" s="261" t="s">
        <v>534</v>
      </c>
    </row>
    <row r="49" ht="14.25" customHeight="1">
      <c r="A49" s="261" t="s">
        <v>2172</v>
      </c>
      <c r="B49" s="261" t="s">
        <v>4717</v>
      </c>
      <c r="C49" s="261" t="s">
        <v>5315</v>
      </c>
      <c r="D49" s="261" t="s">
        <v>1280</v>
      </c>
      <c r="E49" s="261" t="str">
        <f t="array" ref="E49">IFERROR(INDEX(REF_CODES!$B$87:$B$132,MATCH($D49,REF_CODES!$C$87:$C$132,0)),"")</f>
        <v>EVT-HAM</v>
      </c>
      <c r="F49" s="261" t="s">
        <v>5317</v>
      </c>
      <c r="G49" s="261" t="s">
        <v>2208</v>
      </c>
      <c r="H49" s="275" t="s">
        <v>5319</v>
      </c>
      <c r="I49" s="261" t="s">
        <v>2208</v>
      </c>
      <c r="J49" s="261" t="s">
        <v>2208</v>
      </c>
      <c r="K49" s="261" t="s">
        <v>1919</v>
      </c>
      <c r="L49" s="261" t="s">
        <v>2208</v>
      </c>
      <c r="M49" s="261" t="s">
        <v>2208</v>
      </c>
      <c r="N49" s="261" t="s">
        <v>2208</v>
      </c>
      <c r="O49" s="261" t="s">
        <v>2208</v>
      </c>
      <c r="P49" s="261" t="s">
        <v>2208</v>
      </c>
      <c r="Q49" s="261" t="s">
        <v>2208</v>
      </c>
      <c r="R49" s="261" t="s">
        <v>2208</v>
      </c>
      <c r="S49" s="13" t="s">
        <v>4756</v>
      </c>
      <c r="T49" s="261" t="s">
        <v>5320</v>
      </c>
      <c r="U49" s="261" t="s">
        <v>195</v>
      </c>
      <c r="V49" s="261" t="s">
        <v>5195</v>
      </c>
      <c r="W49" s="261" t="s">
        <v>4024</v>
      </c>
      <c r="X49" s="261" t="s">
        <v>5195</v>
      </c>
      <c r="Y49" s="261" t="s">
        <v>502</v>
      </c>
      <c r="Z49" s="261" t="s">
        <v>5197</v>
      </c>
      <c r="AA49" s="261" t="s">
        <v>534</v>
      </c>
    </row>
    <row r="50" ht="14.25" customHeight="1">
      <c r="A50" s="261" t="s">
        <v>2172</v>
      </c>
      <c r="B50" s="261" t="s">
        <v>4717</v>
      </c>
      <c r="C50" s="261" t="s">
        <v>5323</v>
      </c>
      <c r="D50" s="261" t="s">
        <v>1280</v>
      </c>
      <c r="E50" s="261" t="str">
        <f t="array" ref="E50">IFERROR(INDEX(REF_CODES!$B$87:$B$132,MATCH($D50,REF_CODES!$C$87:$C$132,0)),"")</f>
        <v>EVT-HAM</v>
      </c>
      <c r="F50" s="261" t="s">
        <v>5325</v>
      </c>
      <c r="G50" s="261" t="s">
        <v>2208</v>
      </c>
      <c r="H50" s="275" t="s">
        <v>5327</v>
      </c>
      <c r="I50" s="261" t="s">
        <v>2208</v>
      </c>
      <c r="J50" s="261" t="s">
        <v>2208</v>
      </c>
      <c r="K50" s="261" t="s">
        <v>1919</v>
      </c>
      <c r="L50" s="261" t="s">
        <v>2208</v>
      </c>
      <c r="M50" s="261" t="s">
        <v>2208</v>
      </c>
      <c r="N50" s="261" t="s">
        <v>2208</v>
      </c>
      <c r="O50" s="261" t="s">
        <v>2208</v>
      </c>
      <c r="P50" s="261" t="s">
        <v>2208</v>
      </c>
      <c r="Q50" s="261" t="s">
        <v>2208</v>
      </c>
      <c r="R50" s="261" t="s">
        <v>2208</v>
      </c>
      <c r="S50" s="13" t="s">
        <v>4756</v>
      </c>
      <c r="T50" s="261" t="s">
        <v>5328</v>
      </c>
      <c r="U50" s="261" t="s">
        <v>195</v>
      </c>
      <c r="V50" s="261" t="s">
        <v>5195</v>
      </c>
      <c r="W50" s="261" t="s">
        <v>4024</v>
      </c>
      <c r="X50" s="261" t="s">
        <v>5195</v>
      </c>
      <c r="Y50" s="261" t="s">
        <v>502</v>
      </c>
      <c r="Z50" s="261" t="s">
        <v>5197</v>
      </c>
      <c r="AA50" s="261" t="s">
        <v>534</v>
      </c>
    </row>
    <row r="51" ht="14.25" customHeight="1">
      <c r="A51" s="261" t="s">
        <v>2172</v>
      </c>
      <c r="B51" s="261" t="s">
        <v>4717</v>
      </c>
      <c r="C51" s="261" t="s">
        <v>5329</v>
      </c>
      <c r="D51" s="261" t="s">
        <v>1230</v>
      </c>
      <c r="E51" s="261" t="str">
        <f t="array" ref="E51">IFERROR(INDEX(REF_CODES!$B$87:$B$132,MATCH($D51,REF_CODES!$C$87:$C$132,0)),"")</f>
        <v>EVT-PHO</v>
      </c>
      <c r="F51" s="261" t="s">
        <v>5332</v>
      </c>
      <c r="G51" s="261" t="s">
        <v>2208</v>
      </c>
      <c r="H51" s="285" t="s">
        <v>5333</v>
      </c>
      <c r="I51" s="261" t="s">
        <v>2208</v>
      </c>
      <c r="J51" s="261" t="s">
        <v>5334</v>
      </c>
      <c r="K51" s="261" t="s">
        <v>1919</v>
      </c>
      <c r="L51" s="261" t="s">
        <v>2208</v>
      </c>
      <c r="M51" s="261" t="s">
        <v>2208</v>
      </c>
      <c r="N51" s="261" t="s">
        <v>2208</v>
      </c>
      <c r="O51" s="261" t="s">
        <v>2208</v>
      </c>
      <c r="P51" s="261" t="s">
        <v>2208</v>
      </c>
      <c r="Q51" s="261" t="s">
        <v>2208</v>
      </c>
      <c r="R51" s="261" t="s">
        <v>2208</v>
      </c>
      <c r="S51" s="13" t="s">
        <v>4756</v>
      </c>
      <c r="T51" s="261" t="s">
        <v>5335</v>
      </c>
      <c r="U51" s="261" t="s">
        <v>195</v>
      </c>
      <c r="V51" s="261" t="s">
        <v>5195</v>
      </c>
      <c r="W51" s="261" t="s">
        <v>4024</v>
      </c>
      <c r="X51" s="261" t="s">
        <v>5195</v>
      </c>
      <c r="Y51" s="261" t="s">
        <v>502</v>
      </c>
      <c r="Z51" s="261" t="s">
        <v>5197</v>
      </c>
      <c r="AA51" s="261" t="s">
        <v>534</v>
      </c>
    </row>
    <row r="52" ht="14.25" customHeight="1">
      <c r="A52" s="261" t="s">
        <v>2172</v>
      </c>
      <c r="B52" s="261" t="s">
        <v>4717</v>
      </c>
      <c r="C52" s="261" t="s">
        <v>5338</v>
      </c>
      <c r="D52" s="261" t="s">
        <v>1230</v>
      </c>
      <c r="E52" s="261" t="str">
        <f t="array" ref="E52">IFERROR(INDEX(REF_CODES!$B$87:$B$132,MATCH($D52,REF_CODES!$C$87:$C$132,0)),"")</f>
        <v>EVT-PHO</v>
      </c>
      <c r="F52" s="261" t="s">
        <v>5341</v>
      </c>
      <c r="G52" s="261" t="s">
        <v>5342</v>
      </c>
      <c r="H52" s="261" t="s">
        <v>2208</v>
      </c>
      <c r="I52" s="261" t="s">
        <v>2208</v>
      </c>
      <c r="J52" s="261" t="s">
        <v>5343</v>
      </c>
      <c r="K52" s="261" t="s">
        <v>1919</v>
      </c>
      <c r="L52" s="261" t="s">
        <v>2208</v>
      </c>
      <c r="M52" s="261" t="s">
        <v>2208</v>
      </c>
      <c r="N52" s="261" t="s">
        <v>2208</v>
      </c>
      <c r="O52" s="261" t="s">
        <v>2208</v>
      </c>
      <c r="P52" s="261" t="s">
        <v>2208</v>
      </c>
      <c r="Q52" s="261" t="s">
        <v>2208</v>
      </c>
      <c r="R52" s="261" t="s">
        <v>2208</v>
      </c>
      <c r="S52" s="13" t="s">
        <v>4756</v>
      </c>
      <c r="T52" s="261" t="s">
        <v>5345</v>
      </c>
      <c r="U52" s="261" t="s">
        <v>195</v>
      </c>
      <c r="V52" s="261" t="s">
        <v>5195</v>
      </c>
      <c r="W52" s="261" t="s">
        <v>4024</v>
      </c>
      <c r="X52" s="261" t="s">
        <v>5195</v>
      </c>
      <c r="Y52" s="261" t="s">
        <v>502</v>
      </c>
      <c r="Z52" s="261" t="s">
        <v>5197</v>
      </c>
      <c r="AA52" s="261" t="s">
        <v>534</v>
      </c>
    </row>
    <row r="53" ht="14.25" customHeight="1">
      <c r="A53" s="261" t="s">
        <v>2172</v>
      </c>
      <c r="B53" s="261" t="s">
        <v>4717</v>
      </c>
      <c r="C53" s="261" t="s">
        <v>5348</v>
      </c>
      <c r="D53" s="261" t="s">
        <v>1230</v>
      </c>
      <c r="E53" s="261" t="str">
        <f t="array" ref="E53">IFERROR(INDEX(REF_CODES!$B$87:$B$132,MATCH($D53,REF_CODES!$C$87:$C$132,0)),"")</f>
        <v>EVT-PHO</v>
      </c>
      <c r="F53" s="261" t="s">
        <v>5350</v>
      </c>
      <c r="G53" s="261" t="s">
        <v>2208</v>
      </c>
      <c r="H53" s="285" t="s">
        <v>5351</v>
      </c>
      <c r="I53" s="261" t="s">
        <v>2208</v>
      </c>
      <c r="J53" s="261" t="s">
        <v>5352</v>
      </c>
      <c r="K53" s="261" t="s">
        <v>1919</v>
      </c>
      <c r="L53" s="261" t="s">
        <v>2208</v>
      </c>
      <c r="M53" s="261" t="s">
        <v>2208</v>
      </c>
      <c r="N53" s="261" t="s">
        <v>2208</v>
      </c>
      <c r="O53" s="261" t="s">
        <v>2208</v>
      </c>
      <c r="P53" s="261" t="s">
        <v>2208</v>
      </c>
      <c r="Q53" s="261" t="s">
        <v>2208</v>
      </c>
      <c r="R53" s="261" t="s">
        <v>2208</v>
      </c>
      <c r="S53" s="13" t="s">
        <v>4756</v>
      </c>
      <c r="T53" s="261" t="s">
        <v>5354</v>
      </c>
      <c r="U53" s="261" t="s">
        <v>195</v>
      </c>
      <c r="V53" s="261" t="s">
        <v>5195</v>
      </c>
      <c r="W53" s="261" t="s">
        <v>4024</v>
      </c>
      <c r="X53" s="261" t="s">
        <v>5195</v>
      </c>
      <c r="Y53" s="261" t="s">
        <v>502</v>
      </c>
      <c r="Z53" s="261" t="s">
        <v>5197</v>
      </c>
      <c r="AA53" s="261" t="s">
        <v>534</v>
      </c>
    </row>
    <row r="54" ht="14.25" customHeight="1">
      <c r="A54" s="261" t="s">
        <v>2172</v>
      </c>
      <c r="B54" s="261" t="s">
        <v>4717</v>
      </c>
      <c r="C54" s="261" t="s">
        <v>5356</v>
      </c>
      <c r="D54" s="261" t="s">
        <v>1230</v>
      </c>
      <c r="E54" s="261" t="str">
        <f t="array" ref="E54">IFERROR(INDEX(REF_CODES!$B$87:$B$132,MATCH($D54,REF_CODES!$C$87:$C$132,0)),"")</f>
        <v>EVT-PHO</v>
      </c>
      <c r="F54" s="261" t="s">
        <v>5357</v>
      </c>
      <c r="G54" s="261" t="s">
        <v>2208</v>
      </c>
      <c r="H54" s="261" t="s">
        <v>2208</v>
      </c>
      <c r="I54" s="261" t="s">
        <v>5358</v>
      </c>
      <c r="J54" s="261" t="s">
        <v>2208</v>
      </c>
      <c r="K54" s="261" t="s">
        <v>1919</v>
      </c>
      <c r="L54" s="261" t="s">
        <v>2208</v>
      </c>
      <c r="M54" s="261" t="s">
        <v>2208</v>
      </c>
      <c r="N54" s="261" t="s">
        <v>2208</v>
      </c>
      <c r="O54" s="261" t="s">
        <v>2208</v>
      </c>
      <c r="P54" s="261" t="s">
        <v>2208</v>
      </c>
      <c r="Q54" s="261" t="s">
        <v>2208</v>
      </c>
      <c r="R54" s="261" t="s">
        <v>2208</v>
      </c>
      <c r="S54" s="13" t="s">
        <v>4756</v>
      </c>
      <c r="T54" s="261" t="s">
        <v>5360</v>
      </c>
      <c r="U54" s="261" t="s">
        <v>195</v>
      </c>
      <c r="V54" s="261" t="s">
        <v>5195</v>
      </c>
      <c r="W54" s="261" t="s">
        <v>4024</v>
      </c>
      <c r="X54" s="261" t="s">
        <v>5195</v>
      </c>
      <c r="Y54" s="261" t="s">
        <v>502</v>
      </c>
      <c r="Z54" s="261" t="s">
        <v>5197</v>
      </c>
      <c r="AA54" s="261" t="s">
        <v>534</v>
      </c>
    </row>
    <row r="55" ht="14.25" customHeight="1">
      <c r="A55" s="261" t="s">
        <v>2172</v>
      </c>
      <c r="B55" s="261" t="s">
        <v>4717</v>
      </c>
      <c r="C55" s="261" t="s">
        <v>5362</v>
      </c>
      <c r="D55" s="261" t="s">
        <v>1230</v>
      </c>
      <c r="E55" s="261" t="str">
        <f t="array" ref="E55">IFERROR(INDEX(REF_CODES!$B$87:$B$132,MATCH($D55,REF_CODES!$C$87:$C$132,0)),"")</f>
        <v>EVT-PHO</v>
      </c>
      <c r="F55" s="261" t="s">
        <v>5365</v>
      </c>
      <c r="G55" s="261" t="s">
        <v>2208</v>
      </c>
      <c r="H55" s="261" t="s">
        <v>2208</v>
      </c>
      <c r="I55" s="261" t="s">
        <v>5367</v>
      </c>
      <c r="J55" s="261" t="s">
        <v>2208</v>
      </c>
      <c r="K55" s="261" t="s">
        <v>1919</v>
      </c>
      <c r="L55" s="261" t="s">
        <v>2208</v>
      </c>
      <c r="M55" s="261" t="s">
        <v>2208</v>
      </c>
      <c r="N55" s="261" t="s">
        <v>2208</v>
      </c>
      <c r="O55" s="261" t="s">
        <v>2208</v>
      </c>
      <c r="P55" s="261" t="s">
        <v>2208</v>
      </c>
      <c r="Q55" s="261" t="s">
        <v>2208</v>
      </c>
      <c r="R55" s="261" t="s">
        <v>2208</v>
      </c>
      <c r="S55" s="13" t="s">
        <v>4756</v>
      </c>
      <c r="T55" s="261" t="s">
        <v>5368</v>
      </c>
      <c r="U55" s="261" t="s">
        <v>195</v>
      </c>
      <c r="V55" s="261" t="s">
        <v>5195</v>
      </c>
      <c r="W55" s="261" t="s">
        <v>4024</v>
      </c>
      <c r="X55" s="261" t="s">
        <v>5195</v>
      </c>
      <c r="Y55" s="261" t="s">
        <v>502</v>
      </c>
      <c r="Z55" s="261" t="s">
        <v>5197</v>
      </c>
      <c r="AA55" s="261" t="s">
        <v>534</v>
      </c>
    </row>
    <row r="56" ht="14.25" customHeight="1">
      <c r="A56" s="261" t="s">
        <v>2172</v>
      </c>
      <c r="B56" s="261" t="s">
        <v>4717</v>
      </c>
      <c r="C56" s="261" t="s">
        <v>5370</v>
      </c>
      <c r="D56" s="261" t="s">
        <v>1230</v>
      </c>
      <c r="E56" s="261" t="str">
        <f t="array" ref="E56">IFERROR(INDEX(REF_CODES!$B$87:$B$132,MATCH($D56,REF_CODES!$C$87:$C$132,0)),"")</f>
        <v>EVT-PHO</v>
      </c>
      <c r="F56" s="261" t="s">
        <v>5371</v>
      </c>
      <c r="G56" s="261" t="s">
        <v>2208</v>
      </c>
      <c r="H56" s="261" t="s">
        <v>2208</v>
      </c>
      <c r="I56" s="261" t="s">
        <v>5374</v>
      </c>
      <c r="J56" s="261" t="s">
        <v>2208</v>
      </c>
      <c r="K56" s="261" t="s">
        <v>1919</v>
      </c>
      <c r="L56" s="261" t="s">
        <v>2208</v>
      </c>
      <c r="M56" s="261" t="s">
        <v>2208</v>
      </c>
      <c r="N56" s="261" t="s">
        <v>2208</v>
      </c>
      <c r="O56" s="261" t="s">
        <v>2208</v>
      </c>
      <c r="P56" s="261" t="s">
        <v>2208</v>
      </c>
      <c r="Q56" s="261" t="s">
        <v>2208</v>
      </c>
      <c r="R56" s="261" t="s">
        <v>2208</v>
      </c>
      <c r="S56" s="13" t="s">
        <v>4756</v>
      </c>
      <c r="T56" s="261" t="s">
        <v>5376</v>
      </c>
      <c r="U56" s="261" t="s">
        <v>195</v>
      </c>
      <c r="V56" s="261" t="s">
        <v>5195</v>
      </c>
      <c r="W56" s="261" t="s">
        <v>4024</v>
      </c>
      <c r="X56" s="261" t="s">
        <v>5195</v>
      </c>
      <c r="Y56" s="261" t="s">
        <v>502</v>
      </c>
      <c r="Z56" s="261" t="s">
        <v>5197</v>
      </c>
      <c r="AA56" s="261" t="s">
        <v>534</v>
      </c>
    </row>
    <row r="57" ht="14.25" customHeight="1">
      <c r="A57" s="261" t="s">
        <v>2172</v>
      </c>
      <c r="B57" s="261" t="s">
        <v>4717</v>
      </c>
      <c r="C57" s="261" t="s">
        <v>5377</v>
      </c>
      <c r="D57" s="261" t="s">
        <v>1237</v>
      </c>
      <c r="E57" s="261" t="str">
        <f t="array" ref="E57">IFERROR(INDEX(REF_CODES!$B$87:$B$132,MATCH($D57,REF_CODES!$C$87:$C$132,0)),"")</f>
        <v>EVT-VID</v>
      </c>
      <c r="F57" s="261" t="s">
        <v>5379</v>
      </c>
      <c r="G57" s="261" t="s">
        <v>2208</v>
      </c>
      <c r="H57" s="261" t="s">
        <v>2208</v>
      </c>
      <c r="I57" s="261" t="s">
        <v>5380</v>
      </c>
      <c r="J57" s="261" t="s">
        <v>2208</v>
      </c>
      <c r="K57" s="261" t="s">
        <v>1919</v>
      </c>
      <c r="L57" s="261" t="s">
        <v>2208</v>
      </c>
      <c r="M57" s="261" t="s">
        <v>2208</v>
      </c>
      <c r="N57" s="261" t="s">
        <v>2208</v>
      </c>
      <c r="O57" s="261" t="s">
        <v>2208</v>
      </c>
      <c r="P57" s="261" t="s">
        <v>2208</v>
      </c>
      <c r="Q57" s="261" t="s">
        <v>2208</v>
      </c>
      <c r="R57" s="261" t="s">
        <v>2208</v>
      </c>
      <c r="S57" s="13" t="s">
        <v>4756</v>
      </c>
      <c r="T57" s="261" t="s">
        <v>5383</v>
      </c>
      <c r="U57" s="261" t="s">
        <v>195</v>
      </c>
      <c r="V57" s="261" t="s">
        <v>5195</v>
      </c>
      <c r="W57" s="261" t="s">
        <v>4024</v>
      </c>
      <c r="X57" s="261" t="s">
        <v>5195</v>
      </c>
      <c r="Y57" s="261" t="s">
        <v>502</v>
      </c>
      <c r="Z57" s="261" t="s">
        <v>5197</v>
      </c>
      <c r="AA57" s="261" t="s">
        <v>534</v>
      </c>
    </row>
    <row r="58" ht="14.25" customHeight="1">
      <c r="A58" s="261" t="s">
        <v>2172</v>
      </c>
      <c r="B58" s="261" t="s">
        <v>4717</v>
      </c>
      <c r="C58" s="261" t="s">
        <v>5385</v>
      </c>
      <c r="D58" s="261" t="s">
        <v>1237</v>
      </c>
      <c r="E58" s="261" t="str">
        <f t="array" ref="E58">IFERROR(INDEX(REF_CODES!$B$87:$B$132,MATCH($D58,REF_CODES!$C$87:$C$132,0)),"")</f>
        <v>EVT-VID</v>
      </c>
      <c r="F58" s="261" t="s">
        <v>5386</v>
      </c>
      <c r="G58" s="261" t="s">
        <v>2208</v>
      </c>
      <c r="H58" s="261" t="s">
        <v>2208</v>
      </c>
      <c r="I58" s="261" t="s">
        <v>5387</v>
      </c>
      <c r="J58" s="261" t="s">
        <v>2208</v>
      </c>
      <c r="K58" s="261" t="s">
        <v>1919</v>
      </c>
      <c r="L58" s="261" t="s">
        <v>2208</v>
      </c>
      <c r="M58" s="261" t="s">
        <v>2208</v>
      </c>
      <c r="N58" s="261" t="s">
        <v>2208</v>
      </c>
      <c r="O58" s="261" t="s">
        <v>2208</v>
      </c>
      <c r="P58" s="261" t="s">
        <v>2208</v>
      </c>
      <c r="Q58" s="261" t="s">
        <v>2208</v>
      </c>
      <c r="R58" s="261" t="s">
        <v>2208</v>
      </c>
      <c r="S58" s="13" t="s">
        <v>4756</v>
      </c>
      <c r="T58" s="261" t="s">
        <v>5389</v>
      </c>
      <c r="U58" s="261" t="s">
        <v>195</v>
      </c>
      <c r="V58" s="261" t="s">
        <v>5195</v>
      </c>
      <c r="W58" s="261" t="s">
        <v>4024</v>
      </c>
      <c r="X58" s="261" t="s">
        <v>5195</v>
      </c>
      <c r="Y58" s="261" t="s">
        <v>502</v>
      </c>
      <c r="Z58" s="261" t="s">
        <v>5197</v>
      </c>
      <c r="AA58" s="261" t="s">
        <v>534</v>
      </c>
    </row>
    <row r="59" ht="14.25" customHeight="1">
      <c r="A59" s="261" t="s">
        <v>2172</v>
      </c>
      <c r="B59" s="261" t="s">
        <v>4717</v>
      </c>
      <c r="C59" s="261" t="s">
        <v>5391</v>
      </c>
      <c r="D59" s="261" t="s">
        <v>1237</v>
      </c>
      <c r="E59" s="261" t="str">
        <f t="array" ref="E59">IFERROR(INDEX(REF_CODES!$B$87:$B$132,MATCH($D59,REF_CODES!$C$87:$C$132,0)),"")</f>
        <v>EVT-VID</v>
      </c>
      <c r="F59" s="261" t="s">
        <v>5392</v>
      </c>
      <c r="G59" s="261" t="s">
        <v>2208</v>
      </c>
      <c r="H59" s="261" t="s">
        <v>2208</v>
      </c>
      <c r="I59" s="261" t="s">
        <v>5393</v>
      </c>
      <c r="J59" s="261" t="s">
        <v>2208</v>
      </c>
      <c r="K59" s="261" t="s">
        <v>1919</v>
      </c>
      <c r="L59" s="261" t="s">
        <v>2208</v>
      </c>
      <c r="M59" s="261" t="s">
        <v>2208</v>
      </c>
      <c r="N59" s="261" t="s">
        <v>2208</v>
      </c>
      <c r="O59" s="261" t="s">
        <v>2208</v>
      </c>
      <c r="P59" s="261" t="s">
        <v>2208</v>
      </c>
      <c r="Q59" s="261" t="s">
        <v>2208</v>
      </c>
      <c r="R59" s="261" t="s">
        <v>2208</v>
      </c>
      <c r="S59" s="13" t="s">
        <v>4756</v>
      </c>
      <c r="T59" s="261" t="s">
        <v>5395</v>
      </c>
      <c r="U59" s="261" t="s">
        <v>195</v>
      </c>
      <c r="V59" s="261" t="s">
        <v>5195</v>
      </c>
      <c r="W59" s="261" t="s">
        <v>4024</v>
      </c>
      <c r="X59" s="261" t="s">
        <v>5195</v>
      </c>
      <c r="Y59" s="261" t="s">
        <v>502</v>
      </c>
      <c r="Z59" s="261" t="s">
        <v>5197</v>
      </c>
      <c r="AA59" s="261" t="s">
        <v>534</v>
      </c>
    </row>
    <row r="60" ht="14.25" customHeight="1">
      <c r="A60" s="261" t="s">
        <v>2172</v>
      </c>
      <c r="B60" s="261" t="s">
        <v>4717</v>
      </c>
      <c r="C60" s="261" t="s">
        <v>5400</v>
      </c>
      <c r="D60" s="261" t="s">
        <v>1237</v>
      </c>
      <c r="E60" s="261" t="str">
        <f t="array" ref="E60">IFERROR(INDEX(REF_CODES!$B$87:$B$132,MATCH($D60,REF_CODES!$C$87:$C$132,0)),"")</f>
        <v>EVT-VID</v>
      </c>
      <c r="F60" s="261" t="s">
        <v>5401</v>
      </c>
      <c r="G60" s="261" t="s">
        <v>2208</v>
      </c>
      <c r="H60" s="261" t="s">
        <v>2208</v>
      </c>
      <c r="I60" s="261" t="s">
        <v>5105</v>
      </c>
      <c r="J60" s="261" t="s">
        <v>2208</v>
      </c>
      <c r="K60" s="261" t="s">
        <v>1919</v>
      </c>
      <c r="L60" s="261" t="s">
        <v>2208</v>
      </c>
      <c r="M60" s="261" t="s">
        <v>2208</v>
      </c>
      <c r="N60" s="261" t="s">
        <v>2208</v>
      </c>
      <c r="O60" s="261" t="s">
        <v>2208</v>
      </c>
      <c r="P60" s="261" t="s">
        <v>2208</v>
      </c>
      <c r="Q60" s="261" t="s">
        <v>2208</v>
      </c>
      <c r="R60" s="261" t="s">
        <v>2208</v>
      </c>
      <c r="S60" s="13" t="s">
        <v>4756</v>
      </c>
      <c r="T60" s="261" t="s">
        <v>5403</v>
      </c>
      <c r="U60" s="261" t="s">
        <v>195</v>
      </c>
      <c r="V60" s="261" t="s">
        <v>5195</v>
      </c>
      <c r="W60" s="261" t="s">
        <v>4024</v>
      </c>
      <c r="X60" s="261" t="s">
        <v>5195</v>
      </c>
      <c r="Y60" s="261" t="s">
        <v>502</v>
      </c>
      <c r="Z60" s="261" t="s">
        <v>5197</v>
      </c>
      <c r="AA60" s="261" t="s">
        <v>534</v>
      </c>
    </row>
    <row r="61" ht="14.25" customHeight="1">
      <c r="A61" s="261" t="s">
        <v>2172</v>
      </c>
      <c r="B61" s="261" t="s">
        <v>4717</v>
      </c>
      <c r="C61" s="261" t="s">
        <v>5404</v>
      </c>
      <c r="D61" s="261" t="s">
        <v>1243</v>
      </c>
      <c r="E61" s="261" t="str">
        <f t="array" ref="E61">IFERROR(INDEX(REF_CODES!$B$87:$B$132,MATCH($D61,REF_CODES!$C$87:$C$132,0)),"")</f>
        <v>EVT-DRN</v>
      </c>
      <c r="F61" s="261" t="s">
        <v>5401</v>
      </c>
      <c r="G61" s="261" t="s">
        <v>2208</v>
      </c>
      <c r="H61" s="261" t="s">
        <v>2208</v>
      </c>
      <c r="I61" s="261" t="s">
        <v>5105</v>
      </c>
      <c r="J61" s="261" t="s">
        <v>2208</v>
      </c>
      <c r="K61" s="261" t="s">
        <v>1919</v>
      </c>
      <c r="L61" s="261" t="s">
        <v>2208</v>
      </c>
      <c r="M61" s="261" t="s">
        <v>2208</v>
      </c>
      <c r="N61" s="261" t="s">
        <v>2208</v>
      </c>
      <c r="O61" s="261" t="s">
        <v>2208</v>
      </c>
      <c r="P61" s="261" t="s">
        <v>2208</v>
      </c>
      <c r="Q61" s="261" t="s">
        <v>2208</v>
      </c>
      <c r="R61" s="261" t="s">
        <v>2208</v>
      </c>
      <c r="S61" s="13" t="s">
        <v>4756</v>
      </c>
      <c r="T61" s="261" t="s">
        <v>5406</v>
      </c>
      <c r="U61" s="261" t="s">
        <v>195</v>
      </c>
      <c r="V61" s="261" t="s">
        <v>5195</v>
      </c>
      <c r="W61" s="261" t="s">
        <v>4024</v>
      </c>
      <c r="X61" s="261" t="s">
        <v>5195</v>
      </c>
      <c r="Y61" s="261" t="s">
        <v>502</v>
      </c>
      <c r="Z61" s="261" t="s">
        <v>5197</v>
      </c>
      <c r="AA61" s="261" t="s">
        <v>534</v>
      </c>
    </row>
    <row r="62" ht="14.25" customHeight="1">
      <c r="A62" s="261" t="s">
        <v>2172</v>
      </c>
      <c r="B62" s="261" t="s">
        <v>4717</v>
      </c>
      <c r="C62" s="261" t="s">
        <v>5407</v>
      </c>
      <c r="D62" s="261" t="s">
        <v>1290</v>
      </c>
      <c r="E62" s="261" t="str">
        <f t="array" ref="E62">IFERROR(INDEX(REF_CODES!$B$87:$B$132,MATCH($D62,REF_CODES!$C$87:$C$132,0)),"")</f>
        <v>EVT-TRA</v>
      </c>
      <c r="F62" s="261" t="s">
        <v>5408</v>
      </c>
      <c r="G62" s="261" t="s">
        <v>2208</v>
      </c>
      <c r="H62" s="261" t="s">
        <v>2208</v>
      </c>
      <c r="I62" s="261" t="s">
        <v>5409</v>
      </c>
      <c r="J62" s="261" t="s">
        <v>2208</v>
      </c>
      <c r="K62" s="261" t="s">
        <v>1919</v>
      </c>
      <c r="L62" s="261" t="s">
        <v>2208</v>
      </c>
      <c r="M62" s="261" t="s">
        <v>2208</v>
      </c>
      <c r="N62" s="261" t="s">
        <v>2208</v>
      </c>
      <c r="O62" s="261" t="s">
        <v>2208</v>
      </c>
      <c r="P62" s="261" t="s">
        <v>2208</v>
      </c>
      <c r="Q62" s="261" t="s">
        <v>2208</v>
      </c>
      <c r="R62" s="261" t="s">
        <v>2208</v>
      </c>
      <c r="S62" s="13" t="s">
        <v>4756</v>
      </c>
      <c r="T62" s="261" t="s">
        <v>5411</v>
      </c>
      <c r="U62" s="261" t="s">
        <v>195</v>
      </c>
      <c r="V62" s="261" t="s">
        <v>5195</v>
      </c>
      <c r="W62" s="261" t="s">
        <v>4024</v>
      </c>
      <c r="X62" s="261" t="s">
        <v>5195</v>
      </c>
      <c r="Y62" s="261" t="s">
        <v>502</v>
      </c>
      <c r="Z62" s="261" t="s">
        <v>5197</v>
      </c>
      <c r="AA62" s="261" t="s">
        <v>534</v>
      </c>
    </row>
    <row r="63" ht="14.25" customHeight="1">
      <c r="A63" s="261" t="s">
        <v>2172</v>
      </c>
      <c r="B63" s="261" t="s">
        <v>4717</v>
      </c>
      <c r="C63" s="261" t="s">
        <v>5413</v>
      </c>
      <c r="D63" s="261" t="s">
        <v>1290</v>
      </c>
      <c r="E63" s="261" t="str">
        <f t="array" ref="E63">IFERROR(INDEX(REF_CODES!$B$87:$B$132,MATCH($D63,REF_CODES!$C$87:$C$132,0)),"")</f>
        <v>EVT-TRA</v>
      </c>
      <c r="F63" s="261" t="s">
        <v>5415</v>
      </c>
      <c r="G63" s="261" t="s">
        <v>2208</v>
      </c>
      <c r="H63" s="275" t="s">
        <v>5417</v>
      </c>
      <c r="I63" s="261" t="s">
        <v>5418</v>
      </c>
      <c r="J63" s="261" t="s">
        <v>2208</v>
      </c>
      <c r="K63" s="261" t="s">
        <v>1919</v>
      </c>
      <c r="L63" s="261" t="s">
        <v>2208</v>
      </c>
      <c r="M63" s="261" t="s">
        <v>2208</v>
      </c>
      <c r="N63" s="261" t="s">
        <v>2208</v>
      </c>
      <c r="O63" s="261" t="s">
        <v>2208</v>
      </c>
      <c r="P63" s="261" t="s">
        <v>2208</v>
      </c>
      <c r="Q63" s="261" t="s">
        <v>2208</v>
      </c>
      <c r="R63" s="261" t="s">
        <v>2208</v>
      </c>
      <c r="S63" s="13" t="s">
        <v>4756</v>
      </c>
      <c r="T63" s="261" t="s">
        <v>5420</v>
      </c>
      <c r="U63" s="261" t="s">
        <v>195</v>
      </c>
      <c r="V63" s="261" t="s">
        <v>5195</v>
      </c>
      <c r="W63" s="261" t="s">
        <v>4024</v>
      </c>
      <c r="X63" s="261" t="s">
        <v>5195</v>
      </c>
      <c r="Y63" s="261" t="s">
        <v>502</v>
      </c>
      <c r="Z63" s="261" t="s">
        <v>5197</v>
      </c>
      <c r="AA63" s="261" t="s">
        <v>534</v>
      </c>
    </row>
    <row r="64" ht="14.25" customHeight="1">
      <c r="A64" s="261" t="s">
        <v>2172</v>
      </c>
      <c r="B64" s="261" t="s">
        <v>4717</v>
      </c>
      <c r="C64" s="261" t="s">
        <v>5422</v>
      </c>
      <c r="D64" s="261" t="s">
        <v>1290</v>
      </c>
      <c r="E64" s="261" t="str">
        <f t="array" ref="E64">IFERROR(INDEX(REF_CODES!$B$87:$B$132,MATCH($D64,REF_CODES!$C$87:$C$132,0)),"")</f>
        <v>EVT-TRA</v>
      </c>
      <c r="F64" s="261" t="s">
        <v>5423</v>
      </c>
      <c r="G64" s="261" t="s">
        <v>2208</v>
      </c>
      <c r="H64" s="275" t="s">
        <v>5424</v>
      </c>
      <c r="I64" s="261" t="s">
        <v>5425</v>
      </c>
      <c r="J64" s="261" t="s">
        <v>2208</v>
      </c>
      <c r="K64" s="261" t="s">
        <v>1919</v>
      </c>
      <c r="L64" s="261" t="s">
        <v>2208</v>
      </c>
      <c r="M64" s="261" t="s">
        <v>2208</v>
      </c>
      <c r="N64" s="261" t="s">
        <v>2208</v>
      </c>
      <c r="O64" s="261" t="s">
        <v>2208</v>
      </c>
      <c r="P64" s="261" t="s">
        <v>2208</v>
      </c>
      <c r="Q64" s="261" t="s">
        <v>2208</v>
      </c>
      <c r="R64" s="261" t="s">
        <v>2208</v>
      </c>
      <c r="S64" s="13" t="s">
        <v>4756</v>
      </c>
      <c r="T64" s="261" t="s">
        <v>5426</v>
      </c>
      <c r="U64" s="261" t="s">
        <v>195</v>
      </c>
      <c r="V64" s="261" t="s">
        <v>5195</v>
      </c>
      <c r="W64" s="261" t="s">
        <v>4024</v>
      </c>
      <c r="X64" s="261" t="s">
        <v>5195</v>
      </c>
      <c r="Y64" s="261" t="s">
        <v>502</v>
      </c>
      <c r="Z64" s="261" t="s">
        <v>5197</v>
      </c>
      <c r="AA64" s="261" t="s">
        <v>534</v>
      </c>
    </row>
    <row r="65" ht="14.25" customHeight="1">
      <c r="A65" s="261" t="s">
        <v>2172</v>
      </c>
      <c r="B65" s="261" t="s">
        <v>4717</v>
      </c>
      <c r="C65" s="261" t="s">
        <v>5427</v>
      </c>
      <c r="D65" s="261" t="s">
        <v>1290</v>
      </c>
      <c r="E65" s="261" t="str">
        <f t="array" ref="E65">IFERROR(INDEX(REF_CODES!$B$87:$B$132,MATCH($D65,REF_CODES!$C$87:$C$132,0)),"")</f>
        <v>EVT-TRA</v>
      </c>
      <c r="F65" s="261" t="s">
        <v>4987</v>
      </c>
      <c r="G65" s="261" t="s">
        <v>2208</v>
      </c>
      <c r="H65" s="275" t="s">
        <v>4990</v>
      </c>
      <c r="I65" s="261" t="s">
        <v>4991</v>
      </c>
      <c r="J65" s="261" t="s">
        <v>2208</v>
      </c>
      <c r="K65" s="261" t="s">
        <v>1919</v>
      </c>
      <c r="L65" s="261" t="s">
        <v>2208</v>
      </c>
      <c r="M65" s="261" t="s">
        <v>2208</v>
      </c>
      <c r="N65" s="261" t="s">
        <v>2208</v>
      </c>
      <c r="O65" s="261" t="s">
        <v>2208</v>
      </c>
      <c r="P65" s="261" t="s">
        <v>2208</v>
      </c>
      <c r="Q65" s="261" t="s">
        <v>2208</v>
      </c>
      <c r="R65" s="261" t="s">
        <v>2208</v>
      </c>
      <c r="S65" s="13" t="s">
        <v>4756</v>
      </c>
      <c r="T65" s="261" t="s">
        <v>5429</v>
      </c>
      <c r="U65" s="261" t="s">
        <v>195</v>
      </c>
      <c r="V65" s="261" t="s">
        <v>5195</v>
      </c>
      <c r="W65" s="261" t="s">
        <v>4024</v>
      </c>
      <c r="X65" s="261" t="s">
        <v>5195</v>
      </c>
      <c r="Y65" s="261" t="s">
        <v>502</v>
      </c>
      <c r="Z65" s="261" t="s">
        <v>5197</v>
      </c>
      <c r="AA65" s="261" t="s">
        <v>534</v>
      </c>
    </row>
    <row r="66" ht="14.25" customHeight="1">
      <c r="A66" s="261" t="s">
        <v>2172</v>
      </c>
      <c r="B66" s="261" t="s">
        <v>4717</v>
      </c>
      <c r="C66" s="261" t="s">
        <v>5433</v>
      </c>
      <c r="D66" s="261" t="s">
        <v>1290</v>
      </c>
      <c r="E66" s="261" t="str">
        <f t="array" ref="E66">IFERROR(INDEX(REF_CODES!$B$87:$B$132,MATCH($D66,REF_CODES!$C$87:$C$132,0)),"")</f>
        <v>EVT-TRA</v>
      </c>
      <c r="F66" s="261" t="s">
        <v>5436</v>
      </c>
      <c r="G66" s="261" t="s">
        <v>2208</v>
      </c>
      <c r="H66" s="261" t="s">
        <v>2208</v>
      </c>
      <c r="I66" s="261" t="s">
        <v>5437</v>
      </c>
      <c r="J66" s="261" t="s">
        <v>2208</v>
      </c>
      <c r="K66" s="261" t="s">
        <v>1919</v>
      </c>
      <c r="L66" s="261" t="s">
        <v>2208</v>
      </c>
      <c r="M66" s="261" t="s">
        <v>2208</v>
      </c>
      <c r="N66" s="261" t="s">
        <v>2208</v>
      </c>
      <c r="O66" s="261" t="s">
        <v>2208</v>
      </c>
      <c r="P66" s="261" t="s">
        <v>2208</v>
      </c>
      <c r="Q66" s="261" t="s">
        <v>2208</v>
      </c>
      <c r="R66" s="261" t="s">
        <v>2208</v>
      </c>
      <c r="S66" s="13" t="s">
        <v>4756</v>
      </c>
      <c r="T66" s="261" t="s">
        <v>5440</v>
      </c>
      <c r="U66" s="261" t="s">
        <v>195</v>
      </c>
      <c r="V66" s="261" t="s">
        <v>5195</v>
      </c>
      <c r="W66" s="261" t="s">
        <v>4024</v>
      </c>
      <c r="X66" s="261" t="s">
        <v>5195</v>
      </c>
      <c r="Y66" s="261" t="s">
        <v>502</v>
      </c>
      <c r="Z66" s="261" t="s">
        <v>5197</v>
      </c>
      <c r="AA66" s="261" t="s">
        <v>534</v>
      </c>
    </row>
    <row r="67" ht="14.25" customHeight="1">
      <c r="A67" s="261" t="s">
        <v>2172</v>
      </c>
      <c r="B67" s="261" t="s">
        <v>4717</v>
      </c>
      <c r="C67" s="261" t="s">
        <v>5441</v>
      </c>
      <c r="D67" s="261" t="s">
        <v>1294</v>
      </c>
      <c r="E67" s="261" t="str">
        <f t="array" ref="E67">IFERROR(INDEX(REF_CODES!$B$87:$B$132,MATCH($D67,REF_CODES!$C$87:$C$132,0)),"")</f>
        <v>EVT-CHE</v>
      </c>
      <c r="F67" s="261" t="s">
        <v>5442</v>
      </c>
      <c r="G67" s="261" t="s">
        <v>2208</v>
      </c>
      <c r="H67" s="261" t="s">
        <v>2208</v>
      </c>
      <c r="I67" s="261" t="s">
        <v>5443</v>
      </c>
      <c r="J67" s="261" t="s">
        <v>2208</v>
      </c>
      <c r="K67" s="261" t="s">
        <v>1919</v>
      </c>
      <c r="L67" s="261" t="s">
        <v>2208</v>
      </c>
      <c r="M67" s="261" t="s">
        <v>2208</v>
      </c>
      <c r="N67" s="261" t="s">
        <v>2208</v>
      </c>
      <c r="O67" s="261" t="s">
        <v>2208</v>
      </c>
      <c r="P67" s="261" t="s">
        <v>2208</v>
      </c>
      <c r="Q67" s="261" t="s">
        <v>2208</v>
      </c>
      <c r="R67" s="261" t="s">
        <v>2208</v>
      </c>
      <c r="S67" s="13" t="s">
        <v>4756</v>
      </c>
      <c r="T67" s="261" t="s">
        <v>5445</v>
      </c>
      <c r="U67" s="261" t="s">
        <v>195</v>
      </c>
      <c r="V67" s="261" t="s">
        <v>5195</v>
      </c>
      <c r="W67" s="261" t="s">
        <v>4024</v>
      </c>
      <c r="X67" s="261" t="s">
        <v>5195</v>
      </c>
      <c r="Y67" s="261" t="s">
        <v>502</v>
      </c>
      <c r="Z67" s="261" t="s">
        <v>5197</v>
      </c>
      <c r="AA67" s="261" t="s">
        <v>534</v>
      </c>
    </row>
    <row r="68" ht="14.25" customHeight="1">
      <c r="A68" s="261" t="s">
        <v>2172</v>
      </c>
      <c r="B68" s="261" t="s">
        <v>4717</v>
      </c>
      <c r="C68" s="261" t="s">
        <v>5446</v>
      </c>
      <c r="D68" s="261" t="s">
        <v>1294</v>
      </c>
      <c r="E68" s="261" t="str">
        <f t="array" ref="E68">IFERROR(INDEX(REF_CODES!$B$87:$B$132,MATCH($D68,REF_CODES!$C$87:$C$132,0)),"")</f>
        <v>EVT-CHE</v>
      </c>
      <c r="F68" s="261" t="s">
        <v>5447</v>
      </c>
      <c r="G68" s="261" t="s">
        <v>2208</v>
      </c>
      <c r="H68" s="261" t="s">
        <v>2208</v>
      </c>
      <c r="I68" s="261" t="s">
        <v>5448</v>
      </c>
      <c r="J68" s="261" t="s">
        <v>2208</v>
      </c>
      <c r="K68" s="261" t="s">
        <v>1919</v>
      </c>
      <c r="L68" s="261" t="s">
        <v>2208</v>
      </c>
      <c r="M68" s="261" t="s">
        <v>2208</v>
      </c>
      <c r="N68" s="261" t="s">
        <v>2208</v>
      </c>
      <c r="O68" s="261" t="s">
        <v>2208</v>
      </c>
      <c r="P68" s="261" t="s">
        <v>2208</v>
      </c>
      <c r="Q68" s="261" t="s">
        <v>2208</v>
      </c>
      <c r="R68" s="261" t="s">
        <v>2208</v>
      </c>
      <c r="S68" s="13" t="s">
        <v>4756</v>
      </c>
      <c r="T68" s="261" t="s">
        <v>5449</v>
      </c>
      <c r="U68" s="261" t="s">
        <v>195</v>
      </c>
      <c r="V68" s="261" t="s">
        <v>5195</v>
      </c>
      <c r="W68" s="261" t="s">
        <v>4024</v>
      </c>
      <c r="X68" s="261" t="s">
        <v>5195</v>
      </c>
      <c r="Y68" s="261" t="s">
        <v>502</v>
      </c>
      <c r="Z68" s="261" t="s">
        <v>5197</v>
      </c>
      <c r="AA68" s="261" t="s">
        <v>534</v>
      </c>
    </row>
    <row r="69" ht="14.25" customHeight="1">
      <c r="A69" s="261" t="s">
        <v>2172</v>
      </c>
      <c r="B69" s="261" t="s">
        <v>4717</v>
      </c>
      <c r="C69" s="261" t="s">
        <v>5450</v>
      </c>
      <c r="D69" s="261" t="s">
        <v>1294</v>
      </c>
      <c r="E69" s="261" t="str">
        <f t="array" ref="E69">IFERROR(INDEX(REF_CODES!$B$87:$B$132,MATCH($D69,REF_CODES!$C$87:$C$132,0)),"")</f>
        <v>EVT-CHE</v>
      </c>
      <c r="F69" s="261" t="s">
        <v>5452</v>
      </c>
      <c r="G69" s="261" t="s">
        <v>2208</v>
      </c>
      <c r="H69" s="261" t="s">
        <v>2208</v>
      </c>
      <c r="I69" s="261" t="s">
        <v>5453</v>
      </c>
      <c r="J69" s="261" t="s">
        <v>2208</v>
      </c>
      <c r="K69" s="261" t="s">
        <v>1919</v>
      </c>
      <c r="L69" s="261" t="s">
        <v>2208</v>
      </c>
      <c r="M69" s="261" t="s">
        <v>2208</v>
      </c>
      <c r="N69" s="261" t="s">
        <v>2208</v>
      </c>
      <c r="O69" s="261" t="s">
        <v>2208</v>
      </c>
      <c r="P69" s="261" t="s">
        <v>2208</v>
      </c>
      <c r="Q69" s="261" t="s">
        <v>2208</v>
      </c>
      <c r="R69" s="261" t="s">
        <v>2208</v>
      </c>
      <c r="S69" s="13" t="s">
        <v>4756</v>
      </c>
      <c r="T69" s="261" t="s">
        <v>5455</v>
      </c>
      <c r="U69" s="261" t="s">
        <v>195</v>
      </c>
      <c r="V69" s="261" t="s">
        <v>5195</v>
      </c>
      <c r="W69" s="261" t="s">
        <v>4024</v>
      </c>
      <c r="X69" s="261" t="s">
        <v>5195</v>
      </c>
      <c r="Y69" s="261" t="s">
        <v>502</v>
      </c>
      <c r="Z69" s="261" t="s">
        <v>5197</v>
      </c>
      <c r="AA69" s="261" t="s">
        <v>534</v>
      </c>
    </row>
    <row r="70" ht="14.25" customHeight="1">
      <c r="A70" s="261" t="s">
        <v>2172</v>
      </c>
      <c r="B70" s="261" t="s">
        <v>4717</v>
      </c>
      <c r="C70" s="261" t="s">
        <v>5456</v>
      </c>
      <c r="D70" s="261" t="s">
        <v>905</v>
      </c>
      <c r="E70" s="261" t="str">
        <f t="array" ref="E70">IFERROR(INDEX(REF_CODES!$B$87:$B$132,MATCH($D70,REF_CODES!$C$87:$C$132,0)),"")</f>
        <v>EVT-DJ</v>
      </c>
      <c r="F70" s="261" t="s">
        <v>5458</v>
      </c>
      <c r="G70" s="285" t="s">
        <v>2208</v>
      </c>
      <c r="H70" s="275" t="s">
        <v>5459</v>
      </c>
      <c r="I70" s="285" t="s">
        <v>5461</v>
      </c>
      <c r="J70" s="285" t="s">
        <v>2208</v>
      </c>
      <c r="K70" s="261" t="s">
        <v>1919</v>
      </c>
      <c r="L70" s="261" t="s">
        <v>2208</v>
      </c>
      <c r="M70" s="261" t="s">
        <v>2208</v>
      </c>
      <c r="N70" s="261" t="s">
        <v>2208</v>
      </c>
      <c r="O70" s="261" t="s">
        <v>2208</v>
      </c>
      <c r="P70" s="261" t="s">
        <v>2208</v>
      </c>
      <c r="Q70" s="261" t="s">
        <v>2208</v>
      </c>
      <c r="R70" s="261" t="s">
        <v>2208</v>
      </c>
      <c r="S70" s="13" t="s">
        <v>4756</v>
      </c>
      <c r="T70" s="261" t="s">
        <v>5462</v>
      </c>
      <c r="U70" s="261" t="s">
        <v>195</v>
      </c>
      <c r="V70" s="261" t="s">
        <v>5195</v>
      </c>
      <c r="W70" s="261" t="s">
        <v>4024</v>
      </c>
      <c r="X70" s="261" t="s">
        <v>5195</v>
      </c>
      <c r="Y70" s="261" t="s">
        <v>502</v>
      </c>
      <c r="Z70" s="261" t="s">
        <v>5197</v>
      </c>
      <c r="AA70" s="261" t="s">
        <v>534</v>
      </c>
    </row>
    <row r="71" ht="14.25" customHeight="1">
      <c r="A71" s="261" t="s">
        <v>2172</v>
      </c>
      <c r="B71" s="261" t="s">
        <v>4717</v>
      </c>
      <c r="C71" s="261" t="s">
        <v>5463</v>
      </c>
      <c r="D71" s="261" t="s">
        <v>905</v>
      </c>
      <c r="E71" s="261" t="str">
        <f t="array" ref="E71">IFERROR(INDEX(REF_CODES!$B$87:$B$132,MATCH($D71,REF_CODES!$C$87:$C$132,0)),"")</f>
        <v>EVT-DJ</v>
      </c>
      <c r="F71" s="261" t="s">
        <v>5465</v>
      </c>
      <c r="G71" s="285" t="s">
        <v>2208</v>
      </c>
      <c r="H71" s="285" t="s">
        <v>2208</v>
      </c>
      <c r="I71" s="285" t="s">
        <v>2208</v>
      </c>
      <c r="J71" s="285" t="s">
        <v>5466</v>
      </c>
      <c r="K71" s="261" t="s">
        <v>1919</v>
      </c>
      <c r="L71" s="261" t="s">
        <v>2208</v>
      </c>
      <c r="M71" s="261" t="s">
        <v>2208</v>
      </c>
      <c r="N71" s="261" t="s">
        <v>2208</v>
      </c>
      <c r="O71" s="261" t="s">
        <v>2208</v>
      </c>
      <c r="P71" s="261" t="s">
        <v>2208</v>
      </c>
      <c r="Q71" s="261" t="s">
        <v>2208</v>
      </c>
      <c r="R71" s="261" t="s">
        <v>2208</v>
      </c>
      <c r="S71" s="13" t="s">
        <v>4756</v>
      </c>
      <c r="T71" s="261" t="s">
        <v>5468</v>
      </c>
      <c r="U71" s="261" t="s">
        <v>195</v>
      </c>
      <c r="V71" s="261" t="s">
        <v>5195</v>
      </c>
      <c r="W71" s="261" t="s">
        <v>4024</v>
      </c>
      <c r="X71" s="261" t="s">
        <v>5195</v>
      </c>
      <c r="Y71" s="261" t="s">
        <v>502</v>
      </c>
      <c r="Z71" s="261" t="s">
        <v>5197</v>
      </c>
      <c r="AA71" s="261" t="s">
        <v>534</v>
      </c>
    </row>
    <row r="72" ht="14.25" customHeight="1">
      <c r="A72" s="261" t="s">
        <v>2172</v>
      </c>
      <c r="B72" s="261" t="s">
        <v>4717</v>
      </c>
      <c r="C72" s="261" t="s">
        <v>5469</v>
      </c>
      <c r="D72" s="261" t="s">
        <v>905</v>
      </c>
      <c r="E72" s="261" t="str">
        <f t="array" ref="E72">IFERROR(INDEX(REF_CODES!$B$87:$B$132,MATCH($D72,REF_CODES!$C$87:$C$132,0)),"")</f>
        <v>EVT-DJ</v>
      </c>
      <c r="F72" s="261" t="s">
        <v>5472</v>
      </c>
      <c r="G72" s="285" t="s">
        <v>2208</v>
      </c>
      <c r="H72" s="275" t="s">
        <v>5473</v>
      </c>
      <c r="I72" s="285" t="s">
        <v>2208</v>
      </c>
      <c r="J72" s="285" t="s">
        <v>5474</v>
      </c>
      <c r="K72" s="261" t="s">
        <v>1919</v>
      </c>
      <c r="L72" s="261" t="s">
        <v>2208</v>
      </c>
      <c r="M72" s="261" t="s">
        <v>2208</v>
      </c>
      <c r="N72" s="261" t="s">
        <v>2208</v>
      </c>
      <c r="O72" s="261" t="s">
        <v>2208</v>
      </c>
      <c r="P72" s="261" t="s">
        <v>2208</v>
      </c>
      <c r="Q72" s="261" t="s">
        <v>2208</v>
      </c>
      <c r="R72" s="261" t="s">
        <v>2208</v>
      </c>
      <c r="S72" s="13" t="s">
        <v>4756</v>
      </c>
      <c r="T72" s="261" t="s">
        <v>5475</v>
      </c>
      <c r="U72" s="261" t="s">
        <v>195</v>
      </c>
      <c r="V72" s="261" t="s">
        <v>5195</v>
      </c>
      <c r="W72" s="261" t="s">
        <v>4024</v>
      </c>
      <c r="X72" s="261" t="s">
        <v>5195</v>
      </c>
      <c r="Y72" s="261" t="s">
        <v>502</v>
      </c>
      <c r="Z72" s="261" t="s">
        <v>5197</v>
      </c>
      <c r="AA72" s="261" t="s">
        <v>534</v>
      </c>
    </row>
    <row r="73" ht="14.25" customHeight="1">
      <c r="A73" s="261" t="s">
        <v>2172</v>
      </c>
      <c r="B73" s="261" t="s">
        <v>4717</v>
      </c>
      <c r="C73" s="261" t="s">
        <v>5476</v>
      </c>
      <c r="D73" s="261" t="s">
        <v>905</v>
      </c>
      <c r="E73" s="261" t="str">
        <f t="array" ref="E73">IFERROR(INDEX(REF_CODES!$B$87:$B$132,MATCH($D73,REF_CODES!$C$87:$C$132,0)),"")</f>
        <v>EVT-DJ</v>
      </c>
      <c r="F73" s="261" t="s">
        <v>5478</v>
      </c>
      <c r="G73" s="285" t="s">
        <v>2208</v>
      </c>
      <c r="H73" s="275" t="s">
        <v>5024</v>
      </c>
      <c r="I73" s="285" t="s">
        <v>5480</v>
      </c>
      <c r="J73" s="285" t="s">
        <v>2208</v>
      </c>
      <c r="K73" s="261" t="s">
        <v>1919</v>
      </c>
      <c r="L73" s="261" t="s">
        <v>2208</v>
      </c>
      <c r="M73" s="261" t="s">
        <v>2208</v>
      </c>
      <c r="N73" s="261" t="s">
        <v>2208</v>
      </c>
      <c r="O73" s="261" t="s">
        <v>2208</v>
      </c>
      <c r="P73" s="261" t="s">
        <v>2208</v>
      </c>
      <c r="Q73" s="261" t="s">
        <v>2208</v>
      </c>
      <c r="R73" s="261" t="s">
        <v>2208</v>
      </c>
      <c r="S73" s="13" t="s">
        <v>4756</v>
      </c>
      <c r="T73" s="261" t="s">
        <v>5481</v>
      </c>
      <c r="U73" s="261" t="s">
        <v>195</v>
      </c>
      <c r="V73" s="261" t="s">
        <v>5195</v>
      </c>
      <c r="W73" s="261" t="s">
        <v>4024</v>
      </c>
      <c r="X73" s="261" t="s">
        <v>5195</v>
      </c>
      <c r="Y73" s="261" t="s">
        <v>502</v>
      </c>
      <c r="Z73" s="261" t="s">
        <v>5197</v>
      </c>
      <c r="AA73" s="261" t="s">
        <v>534</v>
      </c>
    </row>
    <row r="74" ht="14.25" customHeight="1">
      <c r="A74" s="261" t="s">
        <v>2172</v>
      </c>
      <c r="B74" s="261" t="s">
        <v>4717</v>
      </c>
      <c r="C74" s="261" t="s">
        <v>5482</v>
      </c>
      <c r="D74" s="261" t="s">
        <v>1199</v>
      </c>
      <c r="E74" s="261" t="str">
        <f t="array" ref="E74">IFERROR(INDEX(REF_CODES!$B$87:$B$132,MATCH($D74,REF_CODES!$C$87:$C$132,0)),"")</f>
        <v>EVT-LIV</v>
      </c>
      <c r="F74" s="261" t="s">
        <v>5478</v>
      </c>
      <c r="G74" s="285" t="s">
        <v>2208</v>
      </c>
      <c r="H74" s="275" t="s">
        <v>5024</v>
      </c>
      <c r="I74" s="285" t="s">
        <v>5480</v>
      </c>
      <c r="J74" s="285" t="s">
        <v>2208</v>
      </c>
      <c r="K74" s="261" t="s">
        <v>1919</v>
      </c>
      <c r="L74" s="261" t="s">
        <v>2208</v>
      </c>
      <c r="M74" s="261" t="s">
        <v>2208</v>
      </c>
      <c r="N74" s="261" t="s">
        <v>2208</v>
      </c>
      <c r="O74" s="261" t="s">
        <v>2208</v>
      </c>
      <c r="P74" s="261" t="s">
        <v>2208</v>
      </c>
      <c r="Q74" s="261" t="s">
        <v>2208</v>
      </c>
      <c r="R74" s="261" t="s">
        <v>2208</v>
      </c>
      <c r="S74" s="13" t="s">
        <v>4756</v>
      </c>
      <c r="T74" s="261" t="s">
        <v>5484</v>
      </c>
      <c r="U74" s="261" t="s">
        <v>195</v>
      </c>
      <c r="V74" s="261" t="s">
        <v>5195</v>
      </c>
      <c r="W74" s="261" t="s">
        <v>4024</v>
      </c>
      <c r="X74" s="261" t="s">
        <v>5195</v>
      </c>
      <c r="Y74" s="261" t="s">
        <v>502</v>
      </c>
      <c r="Z74" s="261" t="s">
        <v>5197</v>
      </c>
      <c r="AA74" s="261" t="s">
        <v>534</v>
      </c>
    </row>
    <row r="75" ht="14.25" customHeight="1">
      <c r="A75" s="261" t="s">
        <v>2172</v>
      </c>
      <c r="B75" s="261" t="s">
        <v>4717</v>
      </c>
      <c r="C75" s="261" t="s">
        <v>5486</v>
      </c>
      <c r="D75" s="261" t="s">
        <v>1199</v>
      </c>
      <c r="E75" s="261" t="str">
        <f t="array" ref="E75">IFERROR(INDEX(REF_CODES!$B$87:$B$132,MATCH($D75,REF_CODES!$C$87:$C$132,0)),"")</f>
        <v>EVT-LIV</v>
      </c>
      <c r="F75" s="261" t="s">
        <v>5415</v>
      </c>
      <c r="G75" s="285" t="s">
        <v>2208</v>
      </c>
      <c r="H75" s="275" t="s">
        <v>5417</v>
      </c>
      <c r="I75" s="285" t="s">
        <v>5418</v>
      </c>
      <c r="J75" s="285" t="s">
        <v>2208</v>
      </c>
      <c r="K75" s="261" t="s">
        <v>1919</v>
      </c>
      <c r="L75" s="261" t="s">
        <v>2208</v>
      </c>
      <c r="M75" s="261" t="s">
        <v>2208</v>
      </c>
      <c r="N75" s="261" t="s">
        <v>2208</v>
      </c>
      <c r="O75" s="261" t="s">
        <v>2208</v>
      </c>
      <c r="P75" s="261" t="s">
        <v>2208</v>
      </c>
      <c r="Q75" s="261" t="s">
        <v>2208</v>
      </c>
      <c r="R75" s="261" t="s">
        <v>2208</v>
      </c>
      <c r="S75" s="13" t="s">
        <v>4756</v>
      </c>
      <c r="T75" s="261" t="s">
        <v>5489</v>
      </c>
      <c r="U75" s="261" t="s">
        <v>195</v>
      </c>
      <c r="V75" s="261" t="s">
        <v>5195</v>
      </c>
      <c r="W75" s="261" t="s">
        <v>4024</v>
      </c>
      <c r="X75" s="261" t="s">
        <v>5195</v>
      </c>
      <c r="Y75" s="261" t="s">
        <v>502</v>
      </c>
      <c r="Z75" s="261" t="s">
        <v>5197</v>
      </c>
      <c r="AA75" s="261" t="s">
        <v>534</v>
      </c>
    </row>
    <row r="76" ht="14.25" customHeight="1">
      <c r="A76" s="261" t="s">
        <v>2172</v>
      </c>
      <c r="B76" s="261" t="s">
        <v>4717</v>
      </c>
      <c r="C76" s="261" t="s">
        <v>5490</v>
      </c>
      <c r="D76" s="261" t="s">
        <v>1199</v>
      </c>
      <c r="E76" s="261" t="str">
        <f t="array" ref="E76">IFERROR(INDEX(REF_CODES!$B$87:$B$132,MATCH($D76,REF_CODES!$C$87:$C$132,0)),"")</f>
        <v>EVT-LIV</v>
      </c>
      <c r="F76" s="261" t="s">
        <v>4838</v>
      </c>
      <c r="G76" s="285" t="s">
        <v>4840</v>
      </c>
      <c r="H76" s="285" t="s">
        <v>5491</v>
      </c>
      <c r="I76" s="285" t="s">
        <v>4843</v>
      </c>
      <c r="J76" s="285" t="s">
        <v>2208</v>
      </c>
      <c r="K76" s="261" t="s">
        <v>1919</v>
      </c>
      <c r="L76" s="261" t="s">
        <v>2208</v>
      </c>
      <c r="M76" s="261" t="s">
        <v>2208</v>
      </c>
      <c r="N76" s="261" t="s">
        <v>2208</v>
      </c>
      <c r="O76" s="261" t="s">
        <v>2208</v>
      </c>
      <c r="P76" s="261" t="s">
        <v>2208</v>
      </c>
      <c r="Q76" s="261" t="s">
        <v>2208</v>
      </c>
      <c r="R76" s="261" t="s">
        <v>2208</v>
      </c>
      <c r="S76" s="13" t="s">
        <v>4756</v>
      </c>
      <c r="T76" s="261" t="s">
        <v>5493</v>
      </c>
      <c r="U76" s="261" t="s">
        <v>195</v>
      </c>
      <c r="V76" s="261" t="s">
        <v>5195</v>
      </c>
      <c r="W76" s="261" t="s">
        <v>4024</v>
      </c>
      <c r="X76" s="261" t="s">
        <v>5195</v>
      </c>
      <c r="Y76" s="261" t="s">
        <v>502</v>
      </c>
      <c r="Z76" s="261" t="s">
        <v>5197</v>
      </c>
      <c r="AA76" s="261" t="s">
        <v>534</v>
      </c>
    </row>
    <row r="77" ht="14.25" customHeight="1">
      <c r="A77" s="261" t="s">
        <v>2172</v>
      </c>
      <c r="B77" s="261" t="s">
        <v>4717</v>
      </c>
      <c r="C77" s="261" t="s">
        <v>5494</v>
      </c>
      <c r="D77" s="261" t="s">
        <v>1204</v>
      </c>
      <c r="E77" s="261" t="str">
        <f t="array" ref="E77">IFERROR(INDEX(REF_CODES!$B$87:$B$132,MATCH($D77,REF_CODES!$C$87:$C$132,0)),"")</f>
        <v>EVT-GNA</v>
      </c>
      <c r="F77" s="261" t="s">
        <v>5415</v>
      </c>
      <c r="G77" s="285" t="s">
        <v>2208</v>
      </c>
      <c r="H77" s="275" t="s">
        <v>5417</v>
      </c>
      <c r="I77" s="285" t="s">
        <v>5418</v>
      </c>
      <c r="J77" s="285" t="s">
        <v>2208</v>
      </c>
      <c r="K77" s="261" t="s">
        <v>1919</v>
      </c>
      <c r="L77" s="261" t="s">
        <v>2208</v>
      </c>
      <c r="M77" s="261" t="s">
        <v>2208</v>
      </c>
      <c r="N77" s="261" t="s">
        <v>2208</v>
      </c>
      <c r="O77" s="261" t="s">
        <v>2208</v>
      </c>
      <c r="P77" s="261" t="s">
        <v>2208</v>
      </c>
      <c r="Q77" s="261" t="s">
        <v>2208</v>
      </c>
      <c r="R77" s="261" t="s">
        <v>2208</v>
      </c>
      <c r="S77" s="13" t="s">
        <v>4756</v>
      </c>
      <c r="T77" s="261" t="s">
        <v>5496</v>
      </c>
      <c r="U77" s="261" t="s">
        <v>195</v>
      </c>
      <c r="V77" s="261" t="s">
        <v>5195</v>
      </c>
      <c r="W77" s="261" t="s">
        <v>4024</v>
      </c>
      <c r="X77" s="261" t="s">
        <v>5195</v>
      </c>
      <c r="Y77" s="261" t="s">
        <v>502</v>
      </c>
      <c r="Z77" s="261" t="s">
        <v>5197</v>
      </c>
      <c r="AA77" s="261" t="s">
        <v>534</v>
      </c>
    </row>
    <row r="78" ht="14.25" customHeight="1">
      <c r="A78" s="261" t="s">
        <v>2172</v>
      </c>
      <c r="B78" s="261" t="s">
        <v>4717</v>
      </c>
      <c r="C78" s="261" t="s">
        <v>5497</v>
      </c>
      <c r="D78" s="261" t="s">
        <v>1204</v>
      </c>
      <c r="E78" s="261" t="str">
        <f t="array" ref="E78">IFERROR(INDEX(REF_CODES!$B$87:$B$132,MATCH($D78,REF_CODES!$C$87:$C$132,0)),"")</f>
        <v>EVT-GNA</v>
      </c>
      <c r="F78" s="261" t="s">
        <v>4838</v>
      </c>
      <c r="G78" s="285" t="s">
        <v>4840</v>
      </c>
      <c r="H78" s="285" t="s">
        <v>5491</v>
      </c>
      <c r="I78" s="285" t="s">
        <v>4843</v>
      </c>
      <c r="J78" s="285" t="s">
        <v>2208</v>
      </c>
      <c r="K78" s="261" t="s">
        <v>1919</v>
      </c>
      <c r="L78" s="261" t="s">
        <v>2208</v>
      </c>
      <c r="M78" s="261" t="s">
        <v>2208</v>
      </c>
      <c r="N78" s="261" t="s">
        <v>2208</v>
      </c>
      <c r="O78" s="261" t="s">
        <v>2208</v>
      </c>
      <c r="P78" s="261" t="s">
        <v>2208</v>
      </c>
      <c r="Q78" s="261" t="s">
        <v>2208</v>
      </c>
      <c r="R78" s="261" t="s">
        <v>2208</v>
      </c>
      <c r="S78" s="261" t="s">
        <v>4756</v>
      </c>
      <c r="T78" s="261" t="s">
        <v>5501</v>
      </c>
      <c r="U78" s="261" t="s">
        <v>195</v>
      </c>
      <c r="V78" s="261" t="s">
        <v>5195</v>
      </c>
      <c r="W78" s="261" t="s">
        <v>4024</v>
      </c>
      <c r="X78" s="261" t="s">
        <v>5195</v>
      </c>
      <c r="Y78" s="261" t="s">
        <v>502</v>
      </c>
      <c r="Z78" s="261" t="s">
        <v>5197</v>
      </c>
      <c r="AA78" s="261" t="s">
        <v>534</v>
      </c>
    </row>
    <row r="79" ht="14.25" customHeight="1">
      <c r="A79" s="261" t="s">
        <v>2172</v>
      </c>
      <c r="B79" s="261" t="s">
        <v>4717</v>
      </c>
      <c r="C79" s="261" t="s">
        <v>5502</v>
      </c>
      <c r="D79" s="261" t="s">
        <v>1163</v>
      </c>
      <c r="E79" s="261" t="str">
        <f t="array" ref="E79">IFERROR(INDEX(REF_CODES!$B$87:$B$132,MATCH($D79,REF_CODES!$C$87:$C$132,0)),"")</f>
        <v>EVT-ARC</v>
      </c>
      <c r="F79" s="261" t="s">
        <v>5217</v>
      </c>
      <c r="G79" s="285" t="s">
        <v>5218</v>
      </c>
      <c r="H79" s="285" t="s">
        <v>5219</v>
      </c>
      <c r="I79" s="285" t="s">
        <v>5220</v>
      </c>
      <c r="J79" s="285" t="s">
        <v>2208</v>
      </c>
      <c r="K79" s="261" t="s">
        <v>1919</v>
      </c>
      <c r="L79" s="261" t="s">
        <v>2208</v>
      </c>
      <c r="M79" s="261" t="s">
        <v>2208</v>
      </c>
      <c r="N79" s="261" t="s">
        <v>2208</v>
      </c>
      <c r="O79" s="261" t="s">
        <v>2208</v>
      </c>
      <c r="P79" s="261" t="s">
        <v>2208</v>
      </c>
      <c r="Q79" s="261" t="s">
        <v>2208</v>
      </c>
      <c r="R79" s="261" t="s">
        <v>2208</v>
      </c>
      <c r="S79" s="261" t="s">
        <v>5214</v>
      </c>
      <c r="T79" s="261" t="s">
        <v>5503</v>
      </c>
      <c r="U79" s="261" t="s">
        <v>195</v>
      </c>
      <c r="V79" s="261" t="s">
        <v>5195</v>
      </c>
      <c r="W79" s="261" t="s">
        <v>4024</v>
      </c>
      <c r="X79" s="261" t="s">
        <v>5195</v>
      </c>
      <c r="Y79" s="261" t="s">
        <v>502</v>
      </c>
      <c r="Z79" s="261" t="s">
        <v>5197</v>
      </c>
      <c r="AA79" s="261" t="s">
        <v>534</v>
      </c>
    </row>
    <row r="80" ht="14.25" customHeight="1">
      <c r="A80" s="261" t="s">
        <v>2172</v>
      </c>
      <c r="B80" s="261" t="s">
        <v>4717</v>
      </c>
      <c r="C80" s="261" t="s">
        <v>5506</v>
      </c>
      <c r="D80" s="261" t="s">
        <v>1163</v>
      </c>
      <c r="E80" s="261" t="str">
        <f t="array" ref="E80">IFERROR(INDEX(REF_CODES!$B$87:$B$132,MATCH($D80,REF_CODES!$C$87:$C$132,0)),"")</f>
        <v>EVT-ARC</v>
      </c>
      <c r="F80" s="261" t="s">
        <v>5507</v>
      </c>
      <c r="G80" s="285" t="s">
        <v>2208</v>
      </c>
      <c r="H80" s="285" t="s">
        <v>2208</v>
      </c>
      <c r="I80" s="285" t="s">
        <v>5508</v>
      </c>
      <c r="J80" s="285" t="s">
        <v>2208</v>
      </c>
      <c r="K80" s="261" t="s">
        <v>1919</v>
      </c>
      <c r="L80" s="261" t="s">
        <v>2208</v>
      </c>
      <c r="M80" s="261" t="s">
        <v>2208</v>
      </c>
      <c r="N80" s="261" t="s">
        <v>2208</v>
      </c>
      <c r="O80" s="261" t="s">
        <v>2208</v>
      </c>
      <c r="P80" s="261" t="s">
        <v>2208</v>
      </c>
      <c r="Q80" s="261" t="s">
        <v>2208</v>
      </c>
      <c r="R80" s="261" t="s">
        <v>2208</v>
      </c>
      <c r="S80" s="261" t="s">
        <v>4756</v>
      </c>
      <c r="T80" s="261" t="s">
        <v>5509</v>
      </c>
      <c r="U80" s="261" t="s">
        <v>195</v>
      </c>
      <c r="V80" s="261" t="s">
        <v>5195</v>
      </c>
      <c r="W80" s="261" t="s">
        <v>4024</v>
      </c>
      <c r="X80" s="261" t="s">
        <v>5195</v>
      </c>
      <c r="Y80" s="261" t="s">
        <v>502</v>
      </c>
      <c r="Z80" s="261" t="s">
        <v>5197</v>
      </c>
      <c r="AA80" s="261" t="s">
        <v>534</v>
      </c>
    </row>
    <row r="81" ht="14.25" customHeight="1">
      <c r="A81" s="261" t="s">
        <v>2172</v>
      </c>
      <c r="B81" s="261" t="s">
        <v>4717</v>
      </c>
      <c r="C81" s="261" t="s">
        <v>5510</v>
      </c>
      <c r="D81" s="261" t="s">
        <v>1163</v>
      </c>
      <c r="E81" s="261" t="str">
        <f t="array" ref="E81">IFERROR(INDEX(REF_CODES!$B$87:$B$132,MATCH($D81,REF_CODES!$C$87:$C$132,0)),"")</f>
        <v>EVT-ARC</v>
      </c>
      <c r="F81" s="261" t="s">
        <v>5512</v>
      </c>
      <c r="G81" s="285" t="s">
        <v>2208</v>
      </c>
      <c r="H81" s="275" t="s">
        <v>5513</v>
      </c>
      <c r="I81" s="285" t="s">
        <v>5514</v>
      </c>
      <c r="J81" s="285" t="s">
        <v>2208</v>
      </c>
      <c r="K81" s="261" t="s">
        <v>1919</v>
      </c>
      <c r="L81" s="261" t="s">
        <v>2208</v>
      </c>
      <c r="M81" s="261" t="s">
        <v>2208</v>
      </c>
      <c r="N81" s="261" t="s">
        <v>2208</v>
      </c>
      <c r="O81" s="261" t="s">
        <v>2208</v>
      </c>
      <c r="P81" s="261" t="s">
        <v>2208</v>
      </c>
      <c r="Q81" s="261" t="s">
        <v>2208</v>
      </c>
      <c r="R81" s="261" t="s">
        <v>2208</v>
      </c>
      <c r="S81" s="261" t="s">
        <v>4756</v>
      </c>
      <c r="T81" s="261" t="s">
        <v>5516</v>
      </c>
      <c r="U81" s="261" t="s">
        <v>195</v>
      </c>
      <c r="V81" s="261" t="s">
        <v>5195</v>
      </c>
      <c r="W81" s="261" t="s">
        <v>4024</v>
      </c>
      <c r="X81" s="261" t="s">
        <v>5195</v>
      </c>
      <c r="Y81" s="261" t="s">
        <v>502</v>
      </c>
      <c r="Z81" s="261" t="s">
        <v>5197</v>
      </c>
      <c r="AA81" s="261" t="s">
        <v>534</v>
      </c>
    </row>
    <row r="82" ht="14.25" customHeight="1">
      <c r="A82" s="261" t="s">
        <v>2172</v>
      </c>
      <c r="B82" s="261" t="s">
        <v>4717</v>
      </c>
      <c r="C82" s="261" t="s">
        <v>5517</v>
      </c>
      <c r="D82" s="261" t="s">
        <v>1166</v>
      </c>
      <c r="E82" s="261" t="str">
        <f t="array" ref="E82">IFERROR(INDEX(REF_CODES!$B$87:$B$132,MATCH($D82,REF_CODES!$C$87:$C$132,0)),"")</f>
        <v>EVT-LOC</v>
      </c>
      <c r="F82" s="261" t="s">
        <v>5507</v>
      </c>
      <c r="G82" s="285" t="s">
        <v>2208</v>
      </c>
      <c r="H82" s="285" t="s">
        <v>2208</v>
      </c>
      <c r="I82" s="285" t="s">
        <v>5508</v>
      </c>
      <c r="J82" s="285" t="s">
        <v>2208</v>
      </c>
      <c r="K82" s="261" t="s">
        <v>1919</v>
      </c>
      <c r="L82" s="261" t="s">
        <v>2208</v>
      </c>
      <c r="M82" s="261" t="s">
        <v>2208</v>
      </c>
      <c r="N82" s="261" t="s">
        <v>2208</v>
      </c>
      <c r="O82" s="261" t="s">
        <v>2208</v>
      </c>
      <c r="P82" s="261" t="s">
        <v>2208</v>
      </c>
      <c r="Q82" s="261" t="s">
        <v>2208</v>
      </c>
      <c r="R82" s="261" t="s">
        <v>2208</v>
      </c>
      <c r="S82" s="261" t="s">
        <v>4756</v>
      </c>
      <c r="T82" s="261" t="s">
        <v>5519</v>
      </c>
      <c r="U82" s="261" t="s">
        <v>195</v>
      </c>
      <c r="V82" s="261" t="s">
        <v>5195</v>
      </c>
      <c r="W82" s="261" t="s">
        <v>4024</v>
      </c>
      <c r="X82" s="261" t="s">
        <v>5195</v>
      </c>
      <c r="Y82" s="261" t="s">
        <v>502</v>
      </c>
      <c r="Z82" s="261" t="s">
        <v>5197</v>
      </c>
      <c r="AA82" s="261" t="s">
        <v>534</v>
      </c>
    </row>
    <row r="83" ht="14.25" customHeight="1">
      <c r="A83" s="261" t="s">
        <v>2172</v>
      </c>
      <c r="B83" s="261" t="s">
        <v>4717</v>
      </c>
      <c r="C83" s="261" t="s">
        <v>5522</v>
      </c>
      <c r="D83" s="261" t="s">
        <v>1166</v>
      </c>
      <c r="E83" s="261" t="str">
        <f t="array" ref="E83">IFERROR(INDEX(REF_CODES!$B$87:$B$132,MATCH($D83,REF_CODES!$C$87:$C$132,0)),"")</f>
        <v>EVT-LOC</v>
      </c>
      <c r="F83" s="261" t="s">
        <v>5217</v>
      </c>
      <c r="G83" s="285" t="s">
        <v>5218</v>
      </c>
      <c r="H83" s="285" t="s">
        <v>5219</v>
      </c>
      <c r="I83" s="285" t="s">
        <v>5220</v>
      </c>
      <c r="J83" s="285" t="s">
        <v>2208</v>
      </c>
      <c r="K83" s="261" t="s">
        <v>1919</v>
      </c>
      <c r="L83" s="261" t="s">
        <v>2208</v>
      </c>
      <c r="M83" s="261" t="s">
        <v>2208</v>
      </c>
      <c r="N83" s="261" t="s">
        <v>2208</v>
      </c>
      <c r="O83" s="261" t="s">
        <v>2208</v>
      </c>
      <c r="P83" s="261" t="s">
        <v>2208</v>
      </c>
      <c r="Q83" s="261" t="s">
        <v>2208</v>
      </c>
      <c r="R83" s="261" t="s">
        <v>2208</v>
      </c>
      <c r="S83" s="261" t="s">
        <v>5214</v>
      </c>
      <c r="T83" s="261" t="s">
        <v>5523</v>
      </c>
      <c r="U83" s="261" t="s">
        <v>195</v>
      </c>
      <c r="V83" s="261" t="s">
        <v>5195</v>
      </c>
      <c r="W83" s="261" t="s">
        <v>4024</v>
      </c>
      <c r="X83" s="261" t="s">
        <v>5195</v>
      </c>
      <c r="Y83" s="261" t="s">
        <v>502</v>
      </c>
      <c r="Z83" s="261" t="s">
        <v>5197</v>
      </c>
      <c r="AA83" s="261" t="s">
        <v>534</v>
      </c>
    </row>
    <row r="84" ht="14.25" customHeight="1">
      <c r="A84" s="261" t="s">
        <v>2172</v>
      </c>
      <c r="B84" s="261" t="s">
        <v>4717</v>
      </c>
      <c r="C84" s="261" t="s">
        <v>5524</v>
      </c>
      <c r="D84" s="261" t="s">
        <v>1166</v>
      </c>
      <c r="E84" s="261" t="str">
        <f t="array" ref="E84">IFERROR(INDEX(REF_CODES!$B$87:$B$132,MATCH($D84,REF_CODES!$C$87:$C$132,0)),"")</f>
        <v>EVT-LOC</v>
      </c>
      <c r="F84" s="261" t="s">
        <v>5525</v>
      </c>
      <c r="G84" s="285" t="s">
        <v>2208</v>
      </c>
      <c r="H84" s="275" t="s">
        <v>5526</v>
      </c>
      <c r="I84" s="285" t="s">
        <v>5527</v>
      </c>
      <c r="J84" s="285" t="s">
        <v>2208</v>
      </c>
      <c r="K84" s="261" t="s">
        <v>1919</v>
      </c>
      <c r="L84" s="261" t="s">
        <v>2208</v>
      </c>
      <c r="M84" s="261" t="s">
        <v>2208</v>
      </c>
      <c r="N84" s="261" t="s">
        <v>2208</v>
      </c>
      <c r="O84" s="261" t="s">
        <v>2208</v>
      </c>
      <c r="P84" s="261" t="s">
        <v>2208</v>
      </c>
      <c r="Q84" s="261" t="s">
        <v>2208</v>
      </c>
      <c r="R84" s="261" t="s">
        <v>2208</v>
      </c>
      <c r="S84" s="261" t="s">
        <v>4756</v>
      </c>
      <c r="T84" s="261" t="s">
        <v>5529</v>
      </c>
      <c r="U84" s="261" t="s">
        <v>195</v>
      </c>
      <c r="V84" s="261" t="s">
        <v>5195</v>
      </c>
      <c r="W84" s="261" t="s">
        <v>4024</v>
      </c>
      <c r="X84" s="261" t="s">
        <v>5195</v>
      </c>
      <c r="Y84" s="261" t="s">
        <v>502</v>
      </c>
      <c r="Z84" s="261" t="s">
        <v>5197</v>
      </c>
      <c r="AA84" s="261" t="s">
        <v>534</v>
      </c>
    </row>
    <row r="85" ht="14.25" customHeight="1">
      <c r="A85" s="261" t="s">
        <v>2172</v>
      </c>
      <c r="B85" s="261" t="s">
        <v>4717</v>
      </c>
      <c r="C85" s="261" t="s">
        <v>5530</v>
      </c>
      <c r="D85" s="261" t="s">
        <v>1169</v>
      </c>
      <c r="E85" s="261" t="str">
        <f t="array" ref="E85">IFERROR(INDEX(REF_CODES!$B$87:$B$132,MATCH($D85,REF_CODES!$C$87:$C$132,0)),"")</f>
        <v>EVT-LUM</v>
      </c>
      <c r="F85" s="261" t="s">
        <v>5532</v>
      </c>
      <c r="G85" s="285" t="s">
        <v>2208</v>
      </c>
      <c r="H85" s="285" t="s">
        <v>2208</v>
      </c>
      <c r="I85" s="285" t="s">
        <v>5533</v>
      </c>
      <c r="J85" s="285" t="s">
        <v>2208</v>
      </c>
      <c r="K85" s="261" t="s">
        <v>1919</v>
      </c>
      <c r="L85" s="261" t="s">
        <v>2208</v>
      </c>
      <c r="M85" s="261" t="s">
        <v>2208</v>
      </c>
      <c r="N85" s="261" t="s">
        <v>2208</v>
      </c>
      <c r="O85" s="261" t="s">
        <v>2208</v>
      </c>
      <c r="P85" s="261" t="s">
        <v>2208</v>
      </c>
      <c r="Q85" s="261" t="s">
        <v>2208</v>
      </c>
      <c r="R85" s="261" t="s">
        <v>2208</v>
      </c>
      <c r="S85" s="261" t="s">
        <v>4756</v>
      </c>
      <c r="T85" s="261" t="s">
        <v>5535</v>
      </c>
      <c r="U85" s="261" t="s">
        <v>195</v>
      </c>
      <c r="V85" s="261" t="s">
        <v>5195</v>
      </c>
      <c r="W85" s="261" t="s">
        <v>4024</v>
      </c>
      <c r="X85" s="261" t="s">
        <v>5195</v>
      </c>
      <c r="Y85" s="261" t="s">
        <v>502</v>
      </c>
      <c r="Z85" s="261" t="s">
        <v>5197</v>
      </c>
      <c r="AA85" s="261" t="s">
        <v>534</v>
      </c>
    </row>
    <row r="86" ht="14.25" customHeight="1">
      <c r="A86" s="261" t="s">
        <v>2172</v>
      </c>
      <c r="B86" s="261" t="s">
        <v>4717</v>
      </c>
      <c r="C86" s="261" t="s">
        <v>5537</v>
      </c>
      <c r="D86" s="261" t="s">
        <v>1169</v>
      </c>
      <c r="E86" s="261" t="str">
        <f t="array" ref="E86">IFERROR(INDEX(REF_CODES!$B$87:$B$132,MATCH($D86,REF_CODES!$C$87:$C$132,0)),"")</f>
        <v>EVT-LUM</v>
      </c>
      <c r="F86" s="261" t="s">
        <v>5538</v>
      </c>
      <c r="G86" s="285" t="s">
        <v>2208</v>
      </c>
      <c r="H86" s="275" t="s">
        <v>5539</v>
      </c>
      <c r="I86" s="285" t="s">
        <v>5541</v>
      </c>
      <c r="J86" s="285" t="s">
        <v>2208</v>
      </c>
      <c r="K86" s="261" t="s">
        <v>1919</v>
      </c>
      <c r="L86" s="261" t="s">
        <v>2208</v>
      </c>
      <c r="M86" s="261" t="s">
        <v>2208</v>
      </c>
      <c r="N86" s="261" t="s">
        <v>2208</v>
      </c>
      <c r="O86" s="261" t="s">
        <v>2208</v>
      </c>
      <c r="P86" s="261" t="s">
        <v>2208</v>
      </c>
      <c r="Q86" s="261" t="s">
        <v>2208</v>
      </c>
      <c r="R86" s="261" t="s">
        <v>2208</v>
      </c>
      <c r="S86" s="261" t="s">
        <v>4756</v>
      </c>
      <c r="T86" s="261" t="s">
        <v>5542</v>
      </c>
      <c r="U86" s="261" t="s">
        <v>195</v>
      </c>
      <c r="V86" s="261" t="s">
        <v>5195</v>
      </c>
      <c r="W86" s="261" t="s">
        <v>4024</v>
      </c>
      <c r="X86" s="261" t="s">
        <v>5195</v>
      </c>
      <c r="Y86" s="261" t="s">
        <v>502</v>
      </c>
      <c r="Z86" s="261" t="s">
        <v>5197</v>
      </c>
      <c r="AA86" s="261" t="s">
        <v>534</v>
      </c>
    </row>
    <row r="87" ht="14.25" customHeight="1">
      <c r="A87" s="261" t="s">
        <v>2172</v>
      </c>
      <c r="B87" s="261" t="s">
        <v>4717</v>
      </c>
      <c r="C87" s="261" t="s">
        <v>5543</v>
      </c>
      <c r="D87" s="261" t="s">
        <v>1169</v>
      </c>
      <c r="E87" s="261" t="str">
        <f t="array" ref="E87">IFERROR(INDEX(REF_CODES!$B$87:$B$132,MATCH($D87,REF_CODES!$C$87:$C$132,0)),"")</f>
        <v>EVT-LUM</v>
      </c>
      <c r="F87" s="261" t="s">
        <v>5512</v>
      </c>
      <c r="G87" s="285" t="s">
        <v>2208</v>
      </c>
      <c r="H87" s="275" t="s">
        <v>5513</v>
      </c>
      <c r="I87" s="285" t="s">
        <v>5514</v>
      </c>
      <c r="J87" s="285" t="s">
        <v>2208</v>
      </c>
      <c r="K87" s="261" t="s">
        <v>1919</v>
      </c>
      <c r="L87" s="261" t="s">
        <v>2208</v>
      </c>
      <c r="M87" s="261" t="s">
        <v>2208</v>
      </c>
      <c r="N87" s="261" t="s">
        <v>2208</v>
      </c>
      <c r="O87" s="261" t="s">
        <v>2208</v>
      </c>
      <c r="P87" s="261" t="s">
        <v>2208</v>
      </c>
      <c r="Q87" s="261" t="s">
        <v>2208</v>
      </c>
      <c r="R87" s="261" t="s">
        <v>2208</v>
      </c>
      <c r="S87" s="261" t="s">
        <v>4756</v>
      </c>
      <c r="T87" s="261" t="s">
        <v>5545</v>
      </c>
      <c r="U87" s="261" t="s">
        <v>195</v>
      </c>
      <c r="V87" s="261" t="s">
        <v>5195</v>
      </c>
      <c r="W87" s="261" t="s">
        <v>4024</v>
      </c>
      <c r="X87" s="261" t="s">
        <v>5195</v>
      </c>
      <c r="Y87" s="261" t="s">
        <v>502</v>
      </c>
      <c r="Z87" s="261" t="s">
        <v>5197</v>
      </c>
      <c r="AA87" s="261" t="s">
        <v>534</v>
      </c>
    </row>
    <row r="88" ht="14.25" customHeight="1">
      <c r="A88" s="261" t="s">
        <v>2172</v>
      </c>
      <c r="B88" s="261" t="s">
        <v>4717</v>
      </c>
      <c r="C88" s="261" t="s">
        <v>5546</v>
      </c>
      <c r="D88" s="261" t="s">
        <v>1169</v>
      </c>
      <c r="E88" s="261" t="str">
        <f t="array" ref="E88">IFERROR(INDEX(REF_CODES!$B$87:$B$132,MATCH($D88,REF_CODES!$C$87:$C$132,0)),"")</f>
        <v>EVT-LUM</v>
      </c>
      <c r="F88" s="261" t="s">
        <v>5547</v>
      </c>
      <c r="G88" s="285" t="s">
        <v>2208</v>
      </c>
      <c r="H88" s="275" t="s">
        <v>5548</v>
      </c>
      <c r="I88" s="285" t="s">
        <v>5549</v>
      </c>
      <c r="J88" s="285" t="s">
        <v>2208</v>
      </c>
      <c r="K88" s="261" t="s">
        <v>1919</v>
      </c>
      <c r="L88" s="261" t="s">
        <v>2208</v>
      </c>
      <c r="M88" s="261" t="s">
        <v>2208</v>
      </c>
      <c r="N88" s="261" t="s">
        <v>2208</v>
      </c>
      <c r="O88" s="261" t="s">
        <v>2208</v>
      </c>
      <c r="P88" s="261" t="s">
        <v>2208</v>
      </c>
      <c r="Q88" s="261" t="s">
        <v>2208</v>
      </c>
      <c r="R88" s="261" t="s">
        <v>2208</v>
      </c>
      <c r="S88" s="261" t="s">
        <v>4756</v>
      </c>
      <c r="T88" s="261" t="s">
        <v>5550</v>
      </c>
      <c r="U88" s="261" t="s">
        <v>195</v>
      </c>
      <c r="V88" s="261" t="s">
        <v>5195</v>
      </c>
      <c r="W88" s="261" t="s">
        <v>4024</v>
      </c>
      <c r="X88" s="261" t="s">
        <v>5195</v>
      </c>
      <c r="Y88" s="261" t="s">
        <v>502</v>
      </c>
      <c r="Z88" s="261" t="s">
        <v>5197</v>
      </c>
      <c r="AA88" s="261" t="s">
        <v>534</v>
      </c>
    </row>
    <row r="89" ht="14.25" customHeight="1">
      <c r="A89" s="261" t="s">
        <v>2172</v>
      </c>
      <c r="B89" s="261" t="s">
        <v>4717</v>
      </c>
      <c r="C89" s="261" t="s">
        <v>5552</v>
      </c>
      <c r="D89" s="261" t="s">
        <v>1172</v>
      </c>
      <c r="E89" s="261" t="str">
        <f t="array" ref="E89">IFERROR(INDEX(REF_CODES!$B$87:$B$132,MATCH($D89,REF_CODES!$C$87:$C$132,0)),"")</f>
        <v>EVT-SOU</v>
      </c>
      <c r="F89" s="261" t="s">
        <v>5538</v>
      </c>
      <c r="G89" s="285" t="s">
        <v>2208</v>
      </c>
      <c r="H89" s="275" t="s">
        <v>5539</v>
      </c>
      <c r="I89" s="285" t="s">
        <v>5541</v>
      </c>
      <c r="J89" s="285" t="s">
        <v>2208</v>
      </c>
      <c r="K89" s="261" t="s">
        <v>1919</v>
      </c>
      <c r="L89" s="261" t="s">
        <v>2208</v>
      </c>
      <c r="M89" s="261" t="s">
        <v>2208</v>
      </c>
      <c r="N89" s="261" t="s">
        <v>2208</v>
      </c>
      <c r="O89" s="261" t="s">
        <v>2208</v>
      </c>
      <c r="P89" s="261" t="s">
        <v>2208</v>
      </c>
      <c r="Q89" s="261" t="s">
        <v>2208</v>
      </c>
      <c r="R89" s="261" t="s">
        <v>2208</v>
      </c>
      <c r="S89" s="261" t="s">
        <v>4756</v>
      </c>
      <c r="T89" s="261" t="s">
        <v>5555</v>
      </c>
      <c r="U89" s="261" t="s">
        <v>195</v>
      </c>
      <c r="V89" s="261" t="s">
        <v>5195</v>
      </c>
      <c r="W89" s="261" t="s">
        <v>4024</v>
      </c>
      <c r="X89" s="261" t="s">
        <v>5195</v>
      </c>
      <c r="Y89" s="261" t="s">
        <v>502</v>
      </c>
      <c r="Z89" s="261" t="s">
        <v>5197</v>
      </c>
      <c r="AA89" s="261" t="s">
        <v>534</v>
      </c>
    </row>
    <row r="90" ht="14.25" customHeight="1">
      <c r="A90" s="261" t="s">
        <v>2172</v>
      </c>
      <c r="B90" s="261" t="s">
        <v>4717</v>
      </c>
      <c r="C90" s="261" t="s">
        <v>5556</v>
      </c>
      <c r="D90" s="261" t="s">
        <v>1172</v>
      </c>
      <c r="E90" s="261" t="str">
        <f t="array" ref="E90">IFERROR(INDEX(REF_CODES!$B$87:$B$132,MATCH($D90,REF_CODES!$C$87:$C$132,0)),"")</f>
        <v>EVT-SOU</v>
      </c>
      <c r="F90" s="261" t="s">
        <v>5547</v>
      </c>
      <c r="G90" s="285" t="s">
        <v>2208</v>
      </c>
      <c r="H90" s="275" t="s">
        <v>5548</v>
      </c>
      <c r="I90" s="285" t="s">
        <v>5549</v>
      </c>
      <c r="J90" s="285" t="s">
        <v>2208</v>
      </c>
      <c r="K90" s="261" t="s">
        <v>1919</v>
      </c>
      <c r="L90" s="261" t="s">
        <v>2208</v>
      </c>
      <c r="M90" s="261" t="s">
        <v>2208</v>
      </c>
      <c r="N90" s="261" t="s">
        <v>2208</v>
      </c>
      <c r="O90" s="261" t="s">
        <v>2208</v>
      </c>
      <c r="P90" s="261" t="s">
        <v>2208</v>
      </c>
      <c r="Q90" s="261" t="s">
        <v>2208</v>
      </c>
      <c r="R90" s="261" t="s">
        <v>2208</v>
      </c>
      <c r="S90" s="261" t="s">
        <v>4756</v>
      </c>
      <c r="T90" s="261" t="s">
        <v>5558</v>
      </c>
      <c r="U90" s="261" t="s">
        <v>195</v>
      </c>
      <c r="V90" s="261" t="s">
        <v>5195</v>
      </c>
      <c r="W90" s="261" t="s">
        <v>4024</v>
      </c>
      <c r="X90" s="261" t="s">
        <v>5195</v>
      </c>
      <c r="Y90" s="261" t="s">
        <v>502</v>
      </c>
      <c r="Z90" s="261" t="s">
        <v>5197</v>
      </c>
      <c r="AA90" s="261" t="s">
        <v>534</v>
      </c>
    </row>
    <row r="91" ht="14.25" customHeight="1">
      <c r="A91" s="261" t="s">
        <v>2172</v>
      </c>
      <c r="B91" s="261" t="s">
        <v>4717</v>
      </c>
      <c r="C91" s="261" t="s">
        <v>5559</v>
      </c>
      <c r="D91" s="261" t="s">
        <v>1172</v>
      </c>
      <c r="E91" s="261" t="str">
        <f t="array" ref="E91">IFERROR(INDEX(REF_CODES!$B$87:$B$132,MATCH($D91,REF_CODES!$C$87:$C$132,0)),"")</f>
        <v>EVT-SOU</v>
      </c>
      <c r="F91" s="261" t="s">
        <v>5525</v>
      </c>
      <c r="G91" s="285" t="s">
        <v>2208</v>
      </c>
      <c r="H91" s="275" t="s">
        <v>5526</v>
      </c>
      <c r="I91" s="285" t="s">
        <v>5527</v>
      </c>
      <c r="J91" s="285" t="s">
        <v>2208</v>
      </c>
      <c r="K91" s="261" t="s">
        <v>1919</v>
      </c>
      <c r="L91" s="261" t="s">
        <v>2208</v>
      </c>
      <c r="M91" s="261" t="s">
        <v>2208</v>
      </c>
      <c r="N91" s="261" t="s">
        <v>2208</v>
      </c>
      <c r="O91" s="261" t="s">
        <v>2208</v>
      </c>
      <c r="P91" s="261" t="s">
        <v>2208</v>
      </c>
      <c r="Q91" s="261" t="s">
        <v>2208</v>
      </c>
      <c r="R91" s="261" t="s">
        <v>2208</v>
      </c>
      <c r="S91" s="261" t="s">
        <v>4756</v>
      </c>
      <c r="T91" s="261" t="s">
        <v>5560</v>
      </c>
      <c r="U91" s="261" t="s">
        <v>195</v>
      </c>
      <c r="V91" s="261" t="s">
        <v>5195</v>
      </c>
      <c r="W91" s="261" t="s">
        <v>4024</v>
      </c>
      <c r="X91" s="261" t="s">
        <v>5195</v>
      </c>
      <c r="Y91" s="261" t="s">
        <v>502</v>
      </c>
      <c r="Z91" s="261" t="s">
        <v>5197</v>
      </c>
      <c r="AA91" s="261" t="s">
        <v>534</v>
      </c>
    </row>
    <row r="92" ht="14.25" customHeight="1">
      <c r="A92" s="261" t="s">
        <v>2172</v>
      </c>
      <c r="B92" s="261" t="s">
        <v>4717</v>
      </c>
      <c r="C92" s="261" t="s">
        <v>5562</v>
      </c>
      <c r="D92" s="261" t="s">
        <v>1248</v>
      </c>
      <c r="E92" s="261" t="str">
        <f t="array" ref="E92">IFERROR(INDEX(REF_CODES!$B$87:$B$132,MATCH($D92,REF_CODES!$C$87:$C$132,0)),"")</f>
        <v>EVT-MUA</v>
      </c>
      <c r="F92" s="261" t="s">
        <v>5564</v>
      </c>
      <c r="G92" s="285" t="s">
        <v>2208</v>
      </c>
      <c r="H92" s="285" t="s">
        <v>5565</v>
      </c>
      <c r="I92" s="285" t="s">
        <v>2208</v>
      </c>
      <c r="J92" s="285" t="s">
        <v>5566</v>
      </c>
      <c r="K92" s="261" t="s">
        <v>1919</v>
      </c>
      <c r="L92" s="261" t="s">
        <v>2208</v>
      </c>
      <c r="M92" s="261" t="s">
        <v>2208</v>
      </c>
      <c r="N92" s="261" t="s">
        <v>2208</v>
      </c>
      <c r="O92" s="261" t="s">
        <v>2208</v>
      </c>
      <c r="P92" s="261" t="s">
        <v>2208</v>
      </c>
      <c r="Q92" s="261" t="s">
        <v>2208</v>
      </c>
      <c r="R92" s="261" t="s">
        <v>2208</v>
      </c>
      <c r="S92" s="261" t="s">
        <v>4756</v>
      </c>
      <c r="T92" s="261" t="s">
        <v>5567</v>
      </c>
      <c r="U92" s="261" t="s">
        <v>195</v>
      </c>
      <c r="V92" s="261" t="s">
        <v>5195</v>
      </c>
      <c r="W92" s="261" t="s">
        <v>4024</v>
      </c>
      <c r="X92" s="261" t="s">
        <v>5195</v>
      </c>
      <c r="Y92" s="261" t="s">
        <v>502</v>
      </c>
      <c r="Z92" s="261" t="s">
        <v>5197</v>
      </c>
      <c r="AA92" s="261" t="s">
        <v>534</v>
      </c>
    </row>
    <row r="93" ht="14.25" customHeight="1">
      <c r="A93" s="261" t="s">
        <v>2172</v>
      </c>
      <c r="B93" s="261" t="s">
        <v>4717</v>
      </c>
      <c r="C93" s="261" t="s">
        <v>5569</v>
      </c>
      <c r="D93" s="261" t="s">
        <v>1248</v>
      </c>
      <c r="E93" s="261" t="str">
        <f t="array" ref="E93">IFERROR(INDEX(REF_CODES!$B$87:$B$132,MATCH($D93,REF_CODES!$C$87:$C$132,0)),"")</f>
        <v>EVT-MUA</v>
      </c>
      <c r="F93" s="261" t="s">
        <v>5570</v>
      </c>
      <c r="G93" s="285" t="s">
        <v>5571</v>
      </c>
      <c r="H93" s="285" t="s">
        <v>5572</v>
      </c>
      <c r="I93" s="285" t="s">
        <v>2208</v>
      </c>
      <c r="J93" s="285" t="s">
        <v>5573</v>
      </c>
      <c r="K93" s="261" t="s">
        <v>1919</v>
      </c>
      <c r="L93" s="261" t="s">
        <v>2208</v>
      </c>
      <c r="M93" s="261" t="s">
        <v>2208</v>
      </c>
      <c r="N93" s="261" t="s">
        <v>2208</v>
      </c>
      <c r="O93" s="261" t="s">
        <v>2208</v>
      </c>
      <c r="P93" s="261" t="s">
        <v>2208</v>
      </c>
      <c r="Q93" s="261" t="s">
        <v>2208</v>
      </c>
      <c r="R93" s="261" t="s">
        <v>2208</v>
      </c>
      <c r="S93" s="261" t="s">
        <v>4756</v>
      </c>
      <c r="T93" s="261" t="s">
        <v>5574</v>
      </c>
      <c r="U93" s="261" t="s">
        <v>195</v>
      </c>
      <c r="V93" s="261" t="s">
        <v>5195</v>
      </c>
      <c r="W93" s="261" t="s">
        <v>4024</v>
      </c>
      <c r="X93" s="261" t="s">
        <v>5195</v>
      </c>
      <c r="Y93" s="261" t="s">
        <v>502</v>
      </c>
      <c r="Z93" s="261" t="s">
        <v>5197</v>
      </c>
      <c r="AA93" s="261" t="s">
        <v>534</v>
      </c>
    </row>
    <row r="94" ht="14.25" customHeight="1">
      <c r="A94" s="261" t="s">
        <v>2172</v>
      </c>
      <c r="B94" s="261" t="s">
        <v>4717</v>
      </c>
      <c r="C94" s="261" t="s">
        <v>5575</v>
      </c>
      <c r="D94" s="261" t="s">
        <v>1248</v>
      </c>
      <c r="E94" s="261" t="str">
        <f t="array" ref="E94">IFERROR(INDEX(REF_CODES!$B$87:$B$132,MATCH($D94,REF_CODES!$C$87:$C$132,0)),"")</f>
        <v>EVT-MUA</v>
      </c>
      <c r="F94" s="261" t="s">
        <v>5577</v>
      </c>
      <c r="G94" s="285" t="s">
        <v>2208</v>
      </c>
      <c r="H94" s="285" t="s">
        <v>5578</v>
      </c>
      <c r="I94" s="285" t="s">
        <v>2208</v>
      </c>
      <c r="J94" s="285" t="s">
        <v>5579</v>
      </c>
      <c r="K94" s="261" t="s">
        <v>1919</v>
      </c>
      <c r="L94" s="261" t="s">
        <v>2208</v>
      </c>
      <c r="M94" s="261" t="s">
        <v>2208</v>
      </c>
      <c r="N94" s="261" t="s">
        <v>2208</v>
      </c>
      <c r="O94" s="261" t="s">
        <v>2208</v>
      </c>
      <c r="P94" s="261" t="s">
        <v>2208</v>
      </c>
      <c r="Q94" s="261" t="s">
        <v>2208</v>
      </c>
      <c r="R94" s="261" t="s">
        <v>2208</v>
      </c>
      <c r="S94" s="261" t="s">
        <v>4756</v>
      </c>
      <c r="T94" s="261" t="s">
        <v>5580</v>
      </c>
      <c r="U94" s="261" t="s">
        <v>195</v>
      </c>
      <c r="V94" s="261" t="s">
        <v>5195</v>
      </c>
      <c r="W94" s="261" t="s">
        <v>4024</v>
      </c>
      <c r="X94" s="261" t="s">
        <v>5195</v>
      </c>
      <c r="Y94" s="261" t="s">
        <v>502</v>
      </c>
      <c r="Z94" s="261" t="s">
        <v>5197</v>
      </c>
      <c r="AA94" s="261" t="s">
        <v>534</v>
      </c>
    </row>
    <row r="95" ht="14.25" customHeight="1">
      <c r="A95" s="261" t="s">
        <v>2172</v>
      </c>
      <c r="B95" s="261" t="s">
        <v>4717</v>
      </c>
      <c r="C95" s="261" t="s">
        <v>5581</v>
      </c>
      <c r="D95" s="261" t="s">
        <v>1248</v>
      </c>
      <c r="E95" s="261" t="str">
        <f t="array" ref="E95">IFERROR(INDEX(REF_CODES!$B$87:$B$132,MATCH($D95,REF_CODES!$C$87:$C$132,0)),"")</f>
        <v>EVT-MUA</v>
      </c>
      <c r="F95" s="261" t="s">
        <v>5583</v>
      </c>
      <c r="G95" s="285" t="s">
        <v>2208</v>
      </c>
      <c r="H95" s="285" t="s">
        <v>2208</v>
      </c>
      <c r="I95" s="285" t="s">
        <v>2208</v>
      </c>
      <c r="J95" s="285" t="s">
        <v>5584</v>
      </c>
      <c r="K95" s="261" t="s">
        <v>1919</v>
      </c>
      <c r="L95" s="261" t="s">
        <v>2208</v>
      </c>
      <c r="M95" s="261" t="s">
        <v>2208</v>
      </c>
      <c r="N95" s="261" t="s">
        <v>2208</v>
      </c>
      <c r="O95" s="261" t="s">
        <v>2208</v>
      </c>
      <c r="P95" s="261" t="s">
        <v>2208</v>
      </c>
      <c r="Q95" s="261" t="s">
        <v>2208</v>
      </c>
      <c r="R95" s="261" t="s">
        <v>2208</v>
      </c>
      <c r="S95" s="261" t="s">
        <v>4756</v>
      </c>
      <c r="T95" s="261" t="s">
        <v>5585</v>
      </c>
      <c r="U95" s="261" t="s">
        <v>195</v>
      </c>
      <c r="V95" s="261" t="s">
        <v>5195</v>
      </c>
      <c r="W95" s="261" t="s">
        <v>4024</v>
      </c>
      <c r="X95" s="261" t="s">
        <v>5195</v>
      </c>
      <c r="Y95" s="261" t="s">
        <v>502</v>
      </c>
      <c r="Z95" s="261" t="s">
        <v>5197</v>
      </c>
      <c r="AA95" s="261" t="s">
        <v>534</v>
      </c>
    </row>
    <row r="96" ht="14.25" customHeight="1">
      <c r="A96" s="261" t="s">
        <v>2172</v>
      </c>
      <c r="B96" s="261" t="s">
        <v>4717</v>
      </c>
      <c r="C96" s="261" t="s">
        <v>5588</v>
      </c>
      <c r="D96" s="261" t="s">
        <v>1248</v>
      </c>
      <c r="E96" s="261" t="str">
        <f t="array" ref="E96">IFERROR(INDEX(REF_CODES!$B$87:$B$132,MATCH($D96,REF_CODES!$C$87:$C$132,0)),"")</f>
        <v>EVT-MUA</v>
      </c>
      <c r="F96" s="261" t="s">
        <v>5590</v>
      </c>
      <c r="G96" s="285" t="s">
        <v>2208</v>
      </c>
      <c r="H96" s="285" t="s">
        <v>5591</v>
      </c>
      <c r="I96" s="285" t="s">
        <v>2208</v>
      </c>
      <c r="J96" s="285" t="s">
        <v>5592</v>
      </c>
      <c r="K96" s="261" t="s">
        <v>1919</v>
      </c>
      <c r="L96" s="261" t="s">
        <v>2208</v>
      </c>
      <c r="M96" s="261" t="s">
        <v>2208</v>
      </c>
      <c r="N96" s="261" t="s">
        <v>2208</v>
      </c>
      <c r="O96" s="261" t="s">
        <v>2208</v>
      </c>
      <c r="P96" s="261" t="s">
        <v>2208</v>
      </c>
      <c r="Q96" s="261" t="s">
        <v>2208</v>
      </c>
      <c r="R96" s="261" t="s">
        <v>2208</v>
      </c>
      <c r="S96" s="261" t="s">
        <v>4756</v>
      </c>
      <c r="T96" s="261" t="s">
        <v>5593</v>
      </c>
      <c r="U96" s="261" t="s">
        <v>195</v>
      </c>
      <c r="V96" s="261" t="s">
        <v>5195</v>
      </c>
      <c r="W96" s="261" t="s">
        <v>4024</v>
      </c>
      <c r="X96" s="261" t="s">
        <v>5195</v>
      </c>
      <c r="Y96" s="261" t="s">
        <v>502</v>
      </c>
      <c r="Z96" s="261" t="s">
        <v>5197</v>
      </c>
      <c r="AA96" s="261" t="s">
        <v>534</v>
      </c>
    </row>
    <row r="97" ht="14.25" customHeight="1">
      <c r="A97" s="261" t="s">
        <v>2172</v>
      </c>
      <c r="B97" s="261" t="s">
        <v>4717</v>
      </c>
      <c r="C97" s="261" t="s">
        <v>5594</v>
      </c>
      <c r="D97" s="261" t="s">
        <v>1248</v>
      </c>
      <c r="E97" s="261" t="str">
        <f t="array" ref="E97">IFERROR(INDEX(REF_CODES!$B$87:$B$132,MATCH($D97,REF_CODES!$C$87:$C$132,0)),"")</f>
        <v>EVT-MUA</v>
      </c>
      <c r="F97" s="261" t="s">
        <v>5596</v>
      </c>
      <c r="G97" s="285" t="s">
        <v>2208</v>
      </c>
      <c r="H97" s="285" t="s">
        <v>2208</v>
      </c>
      <c r="I97" s="285" t="s">
        <v>5597</v>
      </c>
      <c r="J97" s="285" t="s">
        <v>2208</v>
      </c>
      <c r="K97" s="261" t="s">
        <v>1919</v>
      </c>
      <c r="L97" s="261" t="s">
        <v>2208</v>
      </c>
      <c r="M97" s="261" t="s">
        <v>2208</v>
      </c>
      <c r="N97" s="261" t="s">
        <v>2208</v>
      </c>
      <c r="O97" s="261" t="s">
        <v>2208</v>
      </c>
      <c r="P97" s="261" t="s">
        <v>2208</v>
      </c>
      <c r="Q97" s="261" t="s">
        <v>2208</v>
      </c>
      <c r="R97" s="261" t="s">
        <v>2208</v>
      </c>
      <c r="S97" s="261" t="s">
        <v>4756</v>
      </c>
      <c r="T97" s="261" t="s">
        <v>5598</v>
      </c>
      <c r="U97" s="261" t="s">
        <v>195</v>
      </c>
      <c r="V97" s="261" t="s">
        <v>5195</v>
      </c>
      <c r="W97" s="261" t="s">
        <v>4024</v>
      </c>
      <c r="X97" s="261" t="s">
        <v>5195</v>
      </c>
      <c r="Y97" s="261" t="s">
        <v>502</v>
      </c>
      <c r="Z97" s="261" t="s">
        <v>5197</v>
      </c>
      <c r="AA97" s="261" t="s">
        <v>534</v>
      </c>
    </row>
    <row r="98" ht="14.25" customHeight="1">
      <c r="A98" s="261" t="s">
        <v>2172</v>
      </c>
      <c r="B98" s="261" t="s">
        <v>4717</v>
      </c>
      <c r="C98" s="261" t="s">
        <v>5599</v>
      </c>
      <c r="D98" s="261" t="s">
        <v>1252</v>
      </c>
      <c r="E98" s="261" t="str">
        <f t="array" ref="E98">IFERROR(INDEX(REF_CODES!$B$87:$B$132,MATCH($D98,REF_CODES!$C$87:$C$132,0)),"")</f>
        <v>EVT-HAI</v>
      </c>
      <c r="F98" s="261" t="s">
        <v>5601</v>
      </c>
      <c r="G98" s="285" t="s">
        <v>2208</v>
      </c>
      <c r="H98" s="285" t="s">
        <v>2208</v>
      </c>
      <c r="I98" s="285" t="s">
        <v>5602</v>
      </c>
      <c r="J98" s="285" t="s">
        <v>2208</v>
      </c>
      <c r="K98" s="261" t="s">
        <v>1919</v>
      </c>
      <c r="L98" s="261" t="s">
        <v>2208</v>
      </c>
      <c r="M98" s="261" t="s">
        <v>2208</v>
      </c>
      <c r="N98" s="261" t="s">
        <v>2208</v>
      </c>
      <c r="O98" s="261" t="s">
        <v>2208</v>
      </c>
      <c r="P98" s="261" t="s">
        <v>2208</v>
      </c>
      <c r="Q98" s="261" t="s">
        <v>2208</v>
      </c>
      <c r="R98" s="261" t="s">
        <v>2208</v>
      </c>
      <c r="S98" s="261" t="s">
        <v>4756</v>
      </c>
      <c r="T98" s="261" t="s">
        <v>5604</v>
      </c>
      <c r="U98" s="261" t="s">
        <v>195</v>
      </c>
      <c r="V98" s="261" t="s">
        <v>5195</v>
      </c>
      <c r="W98" s="261" t="s">
        <v>4024</v>
      </c>
      <c r="X98" s="261" t="s">
        <v>5195</v>
      </c>
      <c r="Y98" s="261" t="s">
        <v>502</v>
      </c>
      <c r="Z98" s="261" t="s">
        <v>5197</v>
      </c>
      <c r="AA98" s="261" t="s">
        <v>534</v>
      </c>
    </row>
    <row r="99" ht="14.25" customHeight="1">
      <c r="A99" s="261" t="s">
        <v>2172</v>
      </c>
      <c r="B99" s="261" t="s">
        <v>4717</v>
      </c>
      <c r="C99" s="261" t="s">
        <v>5606</v>
      </c>
      <c r="D99" s="261" t="s">
        <v>1252</v>
      </c>
      <c r="E99" s="261" t="str">
        <f t="array" ref="E99">IFERROR(INDEX(REF_CODES!$B$87:$B$132,MATCH($D99,REF_CODES!$C$87:$C$132,0)),"")</f>
        <v>EVT-HAI</v>
      </c>
      <c r="F99" s="261" t="s">
        <v>5577</v>
      </c>
      <c r="G99" s="285" t="s">
        <v>2208</v>
      </c>
      <c r="H99" s="285" t="s">
        <v>5578</v>
      </c>
      <c r="I99" s="285" t="s">
        <v>2208</v>
      </c>
      <c r="J99" s="285" t="s">
        <v>5579</v>
      </c>
      <c r="K99" s="261" t="s">
        <v>1919</v>
      </c>
      <c r="L99" s="261" t="s">
        <v>2208</v>
      </c>
      <c r="M99" s="261" t="s">
        <v>2208</v>
      </c>
      <c r="N99" s="261" t="s">
        <v>2208</v>
      </c>
      <c r="O99" s="261" t="s">
        <v>2208</v>
      </c>
      <c r="P99" s="261" t="s">
        <v>2208</v>
      </c>
      <c r="Q99" s="261" t="s">
        <v>2208</v>
      </c>
      <c r="R99" s="261" t="s">
        <v>2208</v>
      </c>
      <c r="S99" s="261" t="s">
        <v>4756</v>
      </c>
      <c r="T99" s="261" t="s">
        <v>5608</v>
      </c>
      <c r="U99" s="261" t="s">
        <v>195</v>
      </c>
      <c r="V99" s="261" t="s">
        <v>5195</v>
      </c>
      <c r="W99" s="261" t="s">
        <v>4024</v>
      </c>
      <c r="X99" s="261" t="s">
        <v>5195</v>
      </c>
      <c r="Y99" s="261" t="s">
        <v>502</v>
      </c>
      <c r="Z99" s="261" t="s">
        <v>5197</v>
      </c>
      <c r="AA99" s="261" t="s">
        <v>534</v>
      </c>
    </row>
    <row r="100" ht="14.25" customHeight="1">
      <c r="A100" s="261" t="s">
        <v>2172</v>
      </c>
      <c r="B100" s="261" t="s">
        <v>4717</v>
      </c>
      <c r="C100" s="261" t="s">
        <v>5610</v>
      </c>
      <c r="D100" s="261" t="s">
        <v>1252</v>
      </c>
      <c r="E100" s="261" t="str">
        <f t="array" ref="E100">IFERROR(INDEX(REF_CODES!$B$87:$B$132,MATCH($D100,REF_CODES!$C$87:$C$132,0)),"")</f>
        <v>EVT-HAI</v>
      </c>
      <c r="F100" s="261" t="s">
        <v>5583</v>
      </c>
      <c r="G100" s="285" t="s">
        <v>2208</v>
      </c>
      <c r="H100" s="285" t="s">
        <v>2208</v>
      </c>
      <c r="I100" s="285" t="s">
        <v>2208</v>
      </c>
      <c r="J100" s="285" t="s">
        <v>5584</v>
      </c>
      <c r="K100" s="261" t="s">
        <v>1919</v>
      </c>
      <c r="L100" s="261" t="s">
        <v>2208</v>
      </c>
      <c r="M100" s="261" t="s">
        <v>2208</v>
      </c>
      <c r="N100" s="261" t="s">
        <v>2208</v>
      </c>
      <c r="O100" s="261" t="s">
        <v>2208</v>
      </c>
      <c r="P100" s="261" t="s">
        <v>2208</v>
      </c>
      <c r="Q100" s="261" t="s">
        <v>2208</v>
      </c>
      <c r="R100" s="261" t="s">
        <v>2208</v>
      </c>
      <c r="S100" s="261" t="s">
        <v>4756</v>
      </c>
      <c r="T100" s="261" t="s">
        <v>5611</v>
      </c>
      <c r="U100" s="261" t="s">
        <v>195</v>
      </c>
      <c r="V100" s="261" t="s">
        <v>5195</v>
      </c>
      <c r="W100" s="261" t="s">
        <v>4024</v>
      </c>
      <c r="X100" s="261" t="s">
        <v>5195</v>
      </c>
      <c r="Y100" s="261" t="s">
        <v>502</v>
      </c>
      <c r="Z100" s="261" t="s">
        <v>5197</v>
      </c>
      <c r="AA100" s="261" t="s">
        <v>534</v>
      </c>
    </row>
    <row r="101" ht="14.25" customHeight="1">
      <c r="A101" s="261" t="s">
        <v>2172</v>
      </c>
      <c r="B101" s="261" t="s">
        <v>4717</v>
      </c>
      <c r="C101" s="261" t="s">
        <v>5613</v>
      </c>
      <c r="D101" s="261" t="s">
        <v>1252</v>
      </c>
      <c r="E101" s="261" t="str">
        <f t="array" ref="E101">IFERROR(INDEX(REF_CODES!$B$87:$B$132,MATCH($D101,REF_CODES!$C$87:$C$132,0)),"")</f>
        <v>EVT-HAI</v>
      </c>
      <c r="F101" s="261" t="s">
        <v>5590</v>
      </c>
      <c r="G101" s="285" t="s">
        <v>2208</v>
      </c>
      <c r="H101" s="285" t="s">
        <v>5591</v>
      </c>
      <c r="I101" s="285" t="s">
        <v>2208</v>
      </c>
      <c r="J101" s="285" t="s">
        <v>5592</v>
      </c>
      <c r="K101" s="261" t="s">
        <v>1919</v>
      </c>
      <c r="L101" s="261" t="s">
        <v>2208</v>
      </c>
      <c r="M101" s="261" t="s">
        <v>2208</v>
      </c>
      <c r="N101" s="261" t="s">
        <v>2208</v>
      </c>
      <c r="O101" s="261" t="s">
        <v>2208</v>
      </c>
      <c r="P101" s="261" t="s">
        <v>2208</v>
      </c>
      <c r="Q101" s="261" t="s">
        <v>2208</v>
      </c>
      <c r="R101" s="261" t="s">
        <v>2208</v>
      </c>
      <c r="S101" s="261" t="s">
        <v>4756</v>
      </c>
      <c r="T101" s="261" t="s">
        <v>5614</v>
      </c>
      <c r="U101" s="261" t="s">
        <v>195</v>
      </c>
      <c r="V101" s="261" t="s">
        <v>5195</v>
      </c>
      <c r="W101" s="261" t="s">
        <v>4024</v>
      </c>
      <c r="X101" s="261" t="s">
        <v>5195</v>
      </c>
      <c r="Y101" s="261" t="s">
        <v>502</v>
      </c>
      <c r="Z101" s="261" t="s">
        <v>5197</v>
      </c>
      <c r="AA101" s="261" t="s">
        <v>534</v>
      </c>
    </row>
    <row r="102" ht="14.25" customHeight="1">
      <c r="A102" s="261" t="s">
        <v>2172</v>
      </c>
      <c r="B102" s="261" t="s">
        <v>4717</v>
      </c>
      <c r="C102" s="261" t="s">
        <v>5615</v>
      </c>
      <c r="D102" s="261" t="s">
        <v>1252</v>
      </c>
      <c r="E102" s="261" t="str">
        <f t="array" ref="E102">IFERROR(INDEX(REF_CODES!$B$87:$B$132,MATCH($D102,REF_CODES!$C$87:$C$132,0)),"")</f>
        <v>EVT-HAI</v>
      </c>
      <c r="F102" s="261" t="s">
        <v>5596</v>
      </c>
      <c r="G102" s="285" t="s">
        <v>2208</v>
      </c>
      <c r="H102" s="285" t="s">
        <v>2208</v>
      </c>
      <c r="I102" s="285" t="s">
        <v>5597</v>
      </c>
      <c r="J102" s="285" t="s">
        <v>2208</v>
      </c>
      <c r="K102" s="261" t="s">
        <v>1919</v>
      </c>
      <c r="L102" s="261" t="s">
        <v>2208</v>
      </c>
      <c r="M102" s="261" t="s">
        <v>2208</v>
      </c>
      <c r="N102" s="261" t="s">
        <v>2208</v>
      </c>
      <c r="O102" s="261" t="s">
        <v>2208</v>
      </c>
      <c r="P102" s="261" t="s">
        <v>2208</v>
      </c>
      <c r="Q102" s="261" t="s">
        <v>2208</v>
      </c>
      <c r="R102" s="261" t="s">
        <v>2208</v>
      </c>
      <c r="S102" s="261" t="s">
        <v>4756</v>
      </c>
      <c r="T102" s="261" t="s">
        <v>5619</v>
      </c>
      <c r="U102" s="261" t="s">
        <v>195</v>
      </c>
      <c r="V102" s="261" t="s">
        <v>5195</v>
      </c>
      <c r="W102" s="261" t="s">
        <v>4024</v>
      </c>
      <c r="X102" s="261" t="s">
        <v>5195</v>
      </c>
      <c r="Y102" s="261" t="s">
        <v>502</v>
      </c>
      <c r="Z102" s="261" t="s">
        <v>5197</v>
      </c>
      <c r="AA102" s="261" t="s">
        <v>534</v>
      </c>
    </row>
    <row r="103" ht="14.25" customHeight="1">
      <c r="A103" s="261" t="s">
        <v>2172</v>
      </c>
      <c r="B103" s="261" t="s">
        <v>4717</v>
      </c>
      <c r="C103" s="261" t="s">
        <v>5620</v>
      </c>
      <c r="D103" s="261" t="s">
        <v>1302</v>
      </c>
      <c r="E103" s="261" t="str">
        <f t="array" ref="E103">IFERROR(INDEX(REF_CODES!$B$87:$B$132,MATCH($D103,REF_CODES!$C$87:$C$132,0)),"")</f>
        <v>EVT-MIX</v>
      </c>
      <c r="F103" s="261" t="s">
        <v>5622</v>
      </c>
      <c r="G103" s="285" t="s">
        <v>2208</v>
      </c>
      <c r="H103" s="275" t="s">
        <v>5623</v>
      </c>
      <c r="I103" s="285" t="s">
        <v>5624</v>
      </c>
      <c r="J103" s="285" t="s">
        <v>2208</v>
      </c>
      <c r="K103" s="261" t="s">
        <v>1919</v>
      </c>
      <c r="L103" s="261" t="s">
        <v>2208</v>
      </c>
      <c r="M103" s="261" t="s">
        <v>2208</v>
      </c>
      <c r="N103" s="261" t="s">
        <v>2208</v>
      </c>
      <c r="O103" s="261" t="s">
        <v>2208</v>
      </c>
      <c r="P103" s="261" t="s">
        <v>2208</v>
      </c>
      <c r="Q103" s="261" t="s">
        <v>2208</v>
      </c>
      <c r="R103" s="261" t="s">
        <v>2208</v>
      </c>
      <c r="S103" s="261" t="s">
        <v>4756</v>
      </c>
      <c r="T103" s="261" t="s">
        <v>5626</v>
      </c>
      <c r="U103" s="261" t="s">
        <v>195</v>
      </c>
      <c r="V103" s="261" t="s">
        <v>5195</v>
      </c>
      <c r="W103" s="261" t="s">
        <v>4024</v>
      </c>
      <c r="X103" s="261" t="s">
        <v>5195</v>
      </c>
      <c r="Y103" s="261" t="s">
        <v>502</v>
      </c>
      <c r="Z103" s="261" t="s">
        <v>5197</v>
      </c>
      <c r="AA103" s="261" t="s">
        <v>534</v>
      </c>
    </row>
    <row r="104" ht="14.25" customHeight="1">
      <c r="A104" s="261" t="s">
        <v>2172</v>
      </c>
      <c r="B104" s="261" t="s">
        <v>4717</v>
      </c>
      <c r="C104" s="261" t="s">
        <v>5627</v>
      </c>
      <c r="D104" s="261" t="s">
        <v>1302</v>
      </c>
      <c r="E104" s="261" t="str">
        <f t="array" ref="E104">IFERROR(INDEX(REF_CODES!$B$87:$B$132,MATCH($D104,REF_CODES!$C$87:$C$132,0)),"")</f>
        <v>EVT-MIX</v>
      </c>
      <c r="F104" s="261" t="s">
        <v>5628</v>
      </c>
      <c r="G104" s="285" t="s">
        <v>2208</v>
      </c>
      <c r="H104" s="285" t="s">
        <v>2208</v>
      </c>
      <c r="I104" s="285" t="s">
        <v>2208</v>
      </c>
      <c r="J104" s="285" t="s">
        <v>5629</v>
      </c>
      <c r="K104" s="261" t="s">
        <v>1919</v>
      </c>
      <c r="L104" s="261" t="s">
        <v>2208</v>
      </c>
      <c r="M104" s="261" t="s">
        <v>2208</v>
      </c>
      <c r="N104" s="261" t="s">
        <v>2208</v>
      </c>
      <c r="O104" s="261" t="s">
        <v>2208</v>
      </c>
      <c r="P104" s="261" t="s">
        <v>2208</v>
      </c>
      <c r="Q104" s="261" t="s">
        <v>2208</v>
      </c>
      <c r="R104" s="261" t="s">
        <v>2208</v>
      </c>
      <c r="S104" s="261" t="s">
        <v>4756</v>
      </c>
      <c r="T104" s="261" t="s">
        <v>5630</v>
      </c>
      <c r="U104" s="261" t="s">
        <v>195</v>
      </c>
      <c r="V104" s="261" t="s">
        <v>5195</v>
      </c>
      <c r="W104" s="261" t="s">
        <v>4024</v>
      </c>
      <c r="X104" s="261" t="s">
        <v>5195</v>
      </c>
      <c r="Y104" s="261" t="s">
        <v>502</v>
      </c>
      <c r="Z104" s="261" t="s">
        <v>5197</v>
      </c>
      <c r="AA104" s="261" t="s">
        <v>534</v>
      </c>
    </row>
    <row r="105" ht="14.25" customHeight="1">
      <c r="A105" s="261" t="s">
        <v>2172</v>
      </c>
      <c r="B105" s="261" t="s">
        <v>4717</v>
      </c>
      <c r="C105" s="261" t="s">
        <v>5631</v>
      </c>
      <c r="D105" s="261" t="s">
        <v>1302</v>
      </c>
      <c r="E105" s="261" t="str">
        <f t="array" ref="E105">IFERROR(INDEX(REF_CODES!$B$87:$B$132,MATCH($D105,REF_CODES!$C$87:$C$132,0)),"")</f>
        <v>EVT-MIX</v>
      </c>
      <c r="F105" s="261" t="s">
        <v>5632</v>
      </c>
      <c r="G105" s="285" t="s">
        <v>2208</v>
      </c>
      <c r="H105" s="285" t="s">
        <v>2208</v>
      </c>
      <c r="I105" s="285" t="s">
        <v>2208</v>
      </c>
      <c r="J105" s="285" t="s">
        <v>5634</v>
      </c>
      <c r="K105" s="261" t="s">
        <v>1919</v>
      </c>
      <c r="L105" s="261" t="s">
        <v>2208</v>
      </c>
      <c r="M105" s="261" t="s">
        <v>2208</v>
      </c>
      <c r="N105" s="261" t="s">
        <v>2208</v>
      </c>
      <c r="O105" s="261" t="s">
        <v>2208</v>
      </c>
      <c r="P105" s="261" t="s">
        <v>2208</v>
      </c>
      <c r="Q105" s="261" t="s">
        <v>2208</v>
      </c>
      <c r="R105" s="261" t="s">
        <v>2208</v>
      </c>
      <c r="S105" s="261" t="s">
        <v>4756</v>
      </c>
      <c r="T105" s="261" t="s">
        <v>5636</v>
      </c>
      <c r="U105" s="261" t="s">
        <v>195</v>
      </c>
      <c r="V105" s="261" t="s">
        <v>5195</v>
      </c>
      <c r="W105" s="261" t="s">
        <v>4024</v>
      </c>
      <c r="X105" s="261" t="s">
        <v>5195</v>
      </c>
      <c r="Y105" s="261" t="s">
        <v>502</v>
      </c>
      <c r="Z105" s="261" t="s">
        <v>5197</v>
      </c>
      <c r="AA105" s="261" t="s">
        <v>534</v>
      </c>
    </row>
    <row r="106" ht="14.25" customHeight="1">
      <c r="A106" s="261" t="s">
        <v>2172</v>
      </c>
      <c r="B106" s="261" t="s">
        <v>4717</v>
      </c>
      <c r="C106" s="261" t="s">
        <v>5637</v>
      </c>
      <c r="D106" s="261" t="s">
        <v>1302</v>
      </c>
      <c r="E106" s="261" t="str">
        <f t="array" ref="E106">IFERROR(INDEX(REF_CODES!$B$87:$B$132,MATCH($D106,REF_CODES!$C$87:$C$132,0)),"")</f>
        <v>EVT-MIX</v>
      </c>
      <c r="F106" s="261" t="s">
        <v>5638</v>
      </c>
      <c r="G106" s="285" t="s">
        <v>2208</v>
      </c>
      <c r="H106" s="285" t="s">
        <v>2208</v>
      </c>
      <c r="I106" s="285" t="s">
        <v>5640</v>
      </c>
      <c r="J106" s="285" t="s">
        <v>2208</v>
      </c>
      <c r="K106" s="261" t="s">
        <v>1919</v>
      </c>
      <c r="L106" s="261" t="s">
        <v>2208</v>
      </c>
      <c r="M106" s="261" t="s">
        <v>2208</v>
      </c>
      <c r="N106" s="261" t="s">
        <v>2208</v>
      </c>
      <c r="O106" s="261" t="s">
        <v>2208</v>
      </c>
      <c r="P106" s="261" t="s">
        <v>2208</v>
      </c>
      <c r="Q106" s="261" t="s">
        <v>2208</v>
      </c>
      <c r="R106" s="261" t="s">
        <v>2208</v>
      </c>
      <c r="S106" s="261" t="s">
        <v>4756</v>
      </c>
      <c r="T106" s="261" t="s">
        <v>5643</v>
      </c>
      <c r="U106" s="261" t="s">
        <v>195</v>
      </c>
      <c r="V106" s="261" t="s">
        <v>5195</v>
      </c>
      <c r="W106" s="261" t="s">
        <v>4024</v>
      </c>
      <c r="X106" s="261" t="s">
        <v>5195</v>
      </c>
      <c r="Y106" s="261" t="s">
        <v>502</v>
      </c>
      <c r="Z106" s="261" t="s">
        <v>5197</v>
      </c>
      <c r="AA106" s="261" t="s">
        <v>534</v>
      </c>
    </row>
    <row r="107" ht="14.25" customHeight="1">
      <c r="A107" s="261" t="s">
        <v>2172</v>
      </c>
      <c r="B107" s="261" t="s">
        <v>4717</v>
      </c>
      <c r="C107" s="261" t="s">
        <v>5644</v>
      </c>
      <c r="D107" s="261" t="s">
        <v>1302</v>
      </c>
      <c r="E107" s="261" t="str">
        <f t="array" ref="E107">IFERROR(INDEX(REF_CODES!$B$87:$B$132,MATCH($D107,REF_CODES!$C$87:$C$132,0)),"")</f>
        <v>EVT-MIX</v>
      </c>
      <c r="F107" s="261" t="s">
        <v>5645</v>
      </c>
      <c r="G107" s="285" t="s">
        <v>2208</v>
      </c>
      <c r="H107" s="285" t="s">
        <v>2208</v>
      </c>
      <c r="I107" s="285" t="s">
        <v>5646</v>
      </c>
      <c r="J107" s="285" t="s">
        <v>2208</v>
      </c>
      <c r="K107" s="261" t="s">
        <v>1919</v>
      </c>
      <c r="L107" s="261" t="s">
        <v>2208</v>
      </c>
      <c r="M107" s="261" t="s">
        <v>2208</v>
      </c>
      <c r="N107" s="261" t="s">
        <v>2208</v>
      </c>
      <c r="O107" s="261" t="s">
        <v>2208</v>
      </c>
      <c r="P107" s="261" t="s">
        <v>2208</v>
      </c>
      <c r="Q107" s="261" t="s">
        <v>2208</v>
      </c>
      <c r="R107" s="261" t="s">
        <v>2208</v>
      </c>
      <c r="S107" s="261" t="s">
        <v>4756</v>
      </c>
      <c r="T107" s="261" t="s">
        <v>5648</v>
      </c>
      <c r="U107" s="261" t="s">
        <v>195</v>
      </c>
      <c r="V107" s="261" t="s">
        <v>5195</v>
      </c>
      <c r="W107" s="261" t="s">
        <v>4024</v>
      </c>
      <c r="X107" s="261" t="s">
        <v>5195</v>
      </c>
      <c r="Y107" s="261" t="s">
        <v>502</v>
      </c>
      <c r="Z107" s="261" t="s">
        <v>5197</v>
      </c>
      <c r="AA107" s="261" t="s">
        <v>534</v>
      </c>
    </row>
    <row r="108" ht="14.25" customHeight="1">
      <c r="A108" s="261" t="s">
        <v>2172</v>
      </c>
      <c r="B108" s="261" t="s">
        <v>4717</v>
      </c>
      <c r="C108" s="261" t="s">
        <v>5649</v>
      </c>
      <c r="D108" s="261" t="s">
        <v>1311</v>
      </c>
      <c r="E108" s="261" t="str">
        <f t="array" ref="E108">IFERROR(INDEX(REF_CODES!$B$87:$B$132,MATCH($D108,REF_CODES!$C$87:$C$132,0)),"")</f>
        <v>EVT-CAF</v>
      </c>
      <c r="F108" s="261" t="s">
        <v>5651</v>
      </c>
      <c r="G108" s="285" t="s">
        <v>2208</v>
      </c>
      <c r="H108" s="285" t="s">
        <v>2208</v>
      </c>
      <c r="I108" s="285" t="s">
        <v>5646</v>
      </c>
      <c r="J108" s="285" t="s">
        <v>2208</v>
      </c>
      <c r="K108" s="261" t="s">
        <v>1919</v>
      </c>
      <c r="L108" s="261" t="s">
        <v>2208</v>
      </c>
      <c r="M108" s="261" t="s">
        <v>2208</v>
      </c>
      <c r="N108" s="261" t="s">
        <v>2208</v>
      </c>
      <c r="O108" s="261" t="s">
        <v>2208</v>
      </c>
      <c r="P108" s="261" t="s">
        <v>2208</v>
      </c>
      <c r="Q108" s="261" t="s">
        <v>2208</v>
      </c>
      <c r="R108" s="261" t="s">
        <v>2208</v>
      </c>
      <c r="S108" s="261" t="s">
        <v>4756</v>
      </c>
      <c r="T108" s="261" t="s">
        <v>5652</v>
      </c>
      <c r="U108" s="261" t="s">
        <v>195</v>
      </c>
      <c r="V108" s="261" t="s">
        <v>5195</v>
      </c>
      <c r="W108" s="261" t="s">
        <v>4024</v>
      </c>
      <c r="X108" s="261" t="s">
        <v>5195</v>
      </c>
      <c r="Y108" s="261" t="s">
        <v>502</v>
      </c>
      <c r="Z108" s="261" t="s">
        <v>5197</v>
      </c>
      <c r="AA108" s="261" t="s">
        <v>534</v>
      </c>
    </row>
    <row r="109" ht="14.25" customHeight="1">
      <c r="A109" s="261" t="s">
        <v>2172</v>
      </c>
      <c r="B109" s="261" t="s">
        <v>4717</v>
      </c>
      <c r="C109" s="261" t="s">
        <v>5653</v>
      </c>
      <c r="D109" s="261" t="s">
        <v>1177</v>
      </c>
      <c r="E109" s="261" t="str">
        <f t="array" ref="E109">IFERROR(INDEX(REF_CODES!$B$87:$B$132,MATCH($D109,REF_CODES!$C$87:$C$132,0)),"")</f>
        <v>EVT-SCR</v>
      </c>
      <c r="F109" s="261" t="s">
        <v>5656</v>
      </c>
      <c r="G109" s="285" t="s">
        <v>2208</v>
      </c>
      <c r="H109" s="275" t="s">
        <v>5657</v>
      </c>
      <c r="I109" s="285" t="s">
        <v>5658</v>
      </c>
      <c r="J109" s="285" t="s">
        <v>2208</v>
      </c>
      <c r="K109" s="261" t="s">
        <v>1919</v>
      </c>
      <c r="L109" s="261" t="s">
        <v>2208</v>
      </c>
      <c r="M109" s="261" t="s">
        <v>2208</v>
      </c>
      <c r="N109" s="261" t="s">
        <v>2208</v>
      </c>
      <c r="O109" s="261" t="s">
        <v>2208</v>
      </c>
      <c r="P109" s="261" t="s">
        <v>2208</v>
      </c>
      <c r="Q109" s="261" t="s">
        <v>2208</v>
      </c>
      <c r="R109" s="261" t="s">
        <v>2208</v>
      </c>
      <c r="S109" s="261" t="s">
        <v>4756</v>
      </c>
      <c r="T109" s="261" t="s">
        <v>5659</v>
      </c>
      <c r="U109" s="261" t="s">
        <v>195</v>
      </c>
      <c r="V109" s="261" t="s">
        <v>5195</v>
      </c>
      <c r="W109" s="261" t="s">
        <v>4024</v>
      </c>
      <c r="X109" s="261" t="s">
        <v>5195</v>
      </c>
      <c r="Y109" s="261" t="s">
        <v>502</v>
      </c>
      <c r="Z109" s="261" t="s">
        <v>5197</v>
      </c>
      <c r="AA109" s="261" t="s">
        <v>534</v>
      </c>
    </row>
    <row r="110" ht="14.25" customHeight="1">
      <c r="A110" s="261" t="s">
        <v>2172</v>
      </c>
      <c r="B110" s="261" t="s">
        <v>4717</v>
      </c>
      <c r="C110" s="261" t="s">
        <v>5661</v>
      </c>
      <c r="D110" s="261" t="s">
        <v>1177</v>
      </c>
      <c r="E110" s="261" t="str">
        <f t="array" ref="E110">IFERROR(INDEX(REF_CODES!$B$87:$B$132,MATCH($D110,REF_CODES!$C$87:$C$132,0)),"")</f>
        <v>EVT-SCR</v>
      </c>
      <c r="F110" s="261" t="s">
        <v>5662</v>
      </c>
      <c r="G110" s="285" t="s">
        <v>2208</v>
      </c>
      <c r="H110" s="285" t="s">
        <v>2208</v>
      </c>
      <c r="I110" s="285" t="s">
        <v>5663</v>
      </c>
      <c r="J110" s="285" t="s">
        <v>2208</v>
      </c>
      <c r="K110" s="261" t="s">
        <v>1919</v>
      </c>
      <c r="L110" s="261" t="s">
        <v>2208</v>
      </c>
      <c r="M110" s="261" t="s">
        <v>2208</v>
      </c>
      <c r="N110" s="261" t="s">
        <v>2208</v>
      </c>
      <c r="O110" s="261" t="s">
        <v>2208</v>
      </c>
      <c r="P110" s="261" t="s">
        <v>2208</v>
      </c>
      <c r="Q110" s="261" t="s">
        <v>2208</v>
      </c>
      <c r="R110" s="261" t="s">
        <v>2208</v>
      </c>
      <c r="S110" s="261" t="s">
        <v>4756</v>
      </c>
      <c r="T110" s="261" t="s">
        <v>5665</v>
      </c>
      <c r="U110" s="261" t="s">
        <v>195</v>
      </c>
      <c r="V110" s="261" t="s">
        <v>5195</v>
      </c>
      <c r="W110" s="261" t="s">
        <v>4024</v>
      </c>
      <c r="X110" s="261" t="s">
        <v>5195</v>
      </c>
      <c r="Y110" s="261" t="s">
        <v>502</v>
      </c>
      <c r="Z110" s="261" t="s">
        <v>5197</v>
      </c>
      <c r="AA110" s="261" t="s">
        <v>534</v>
      </c>
    </row>
    <row r="111" ht="14.25" customHeight="1">
      <c r="A111" s="261" t="s">
        <v>2172</v>
      </c>
      <c r="B111" s="261" t="s">
        <v>4717</v>
      </c>
      <c r="C111" s="261" t="s">
        <v>5667</v>
      </c>
      <c r="D111" s="261" t="s">
        <v>1177</v>
      </c>
      <c r="E111" s="261" t="str">
        <f t="array" ref="E111">IFERROR(INDEX(REF_CODES!$B$87:$B$132,MATCH($D111,REF_CODES!$C$87:$C$132,0)),"")</f>
        <v>EVT-SCR</v>
      </c>
      <c r="F111" s="261" t="s">
        <v>5668</v>
      </c>
      <c r="G111" s="285" t="s">
        <v>2208</v>
      </c>
      <c r="H111" s="285" t="s">
        <v>2208</v>
      </c>
      <c r="I111" s="285" t="s">
        <v>5669</v>
      </c>
      <c r="J111" s="285" t="s">
        <v>2208</v>
      </c>
      <c r="K111" s="261" t="s">
        <v>1919</v>
      </c>
      <c r="L111" s="261" t="s">
        <v>2208</v>
      </c>
      <c r="M111" s="261" t="s">
        <v>2208</v>
      </c>
      <c r="N111" s="261" t="s">
        <v>2208</v>
      </c>
      <c r="O111" s="261" t="s">
        <v>2208</v>
      </c>
      <c r="P111" s="261" t="s">
        <v>2208</v>
      </c>
      <c r="Q111" s="261" t="s">
        <v>2208</v>
      </c>
      <c r="R111" s="261" t="s">
        <v>2208</v>
      </c>
      <c r="S111" s="261" t="s">
        <v>4756</v>
      </c>
      <c r="T111" s="261" t="s">
        <v>5670</v>
      </c>
      <c r="U111" s="261" t="s">
        <v>195</v>
      </c>
      <c r="V111" s="261" t="s">
        <v>5195</v>
      </c>
      <c r="W111" s="261" t="s">
        <v>4024</v>
      </c>
      <c r="X111" s="261" t="s">
        <v>5195</v>
      </c>
      <c r="Y111" s="261" t="s">
        <v>502</v>
      </c>
      <c r="Z111" s="261" t="s">
        <v>5197</v>
      </c>
      <c r="AA111" s="261" t="s">
        <v>534</v>
      </c>
    </row>
    <row r="112" ht="14.25" customHeight="1">
      <c r="A112" s="261" t="s">
        <v>2172</v>
      </c>
      <c r="B112" s="261" t="s">
        <v>4717</v>
      </c>
      <c r="C112" s="261" t="s">
        <v>5671</v>
      </c>
      <c r="D112" s="261" t="s">
        <v>1177</v>
      </c>
      <c r="E112" s="261" t="str">
        <f t="array" ref="E112">IFERROR(INDEX(REF_CODES!$B$87:$B$132,MATCH($D112,REF_CODES!$C$87:$C$132,0)),"")</f>
        <v>EVT-SCR</v>
      </c>
      <c r="F112" s="261" t="s">
        <v>5674</v>
      </c>
      <c r="G112" s="285" t="s">
        <v>2208</v>
      </c>
      <c r="H112" s="285" t="s">
        <v>5675</v>
      </c>
      <c r="I112" s="285" t="s">
        <v>5676</v>
      </c>
      <c r="J112" s="285" t="s">
        <v>2208</v>
      </c>
      <c r="K112" s="261" t="s">
        <v>1919</v>
      </c>
      <c r="L112" s="261" t="s">
        <v>2208</v>
      </c>
      <c r="M112" s="261" t="s">
        <v>2208</v>
      </c>
      <c r="N112" s="261" t="s">
        <v>2208</v>
      </c>
      <c r="O112" s="261" t="s">
        <v>2208</v>
      </c>
      <c r="P112" s="261" t="s">
        <v>2208</v>
      </c>
      <c r="Q112" s="261" t="s">
        <v>2208</v>
      </c>
      <c r="R112" s="261" t="s">
        <v>2208</v>
      </c>
      <c r="S112" s="261" t="s">
        <v>4756</v>
      </c>
      <c r="T112" s="261" t="s">
        <v>5677</v>
      </c>
      <c r="U112" s="261" t="s">
        <v>195</v>
      </c>
      <c r="V112" s="261" t="s">
        <v>5195</v>
      </c>
      <c r="W112" s="261" t="s">
        <v>4024</v>
      </c>
      <c r="X112" s="261" t="s">
        <v>5195</v>
      </c>
      <c r="Y112" s="261" t="s">
        <v>502</v>
      </c>
      <c r="Z112" s="261" t="s">
        <v>5197</v>
      </c>
      <c r="AA112" s="261" t="s">
        <v>534</v>
      </c>
    </row>
    <row r="113" ht="14.25" customHeight="1">
      <c r="A113" s="261" t="s">
        <v>2172</v>
      </c>
      <c r="B113" s="261" t="s">
        <v>4717</v>
      </c>
      <c r="C113" s="261" t="s">
        <v>5678</v>
      </c>
      <c r="D113" s="261" t="s">
        <v>1177</v>
      </c>
      <c r="E113" s="261" t="str">
        <f t="array" ref="E113">IFERROR(INDEX(REF_CODES!$B$87:$B$132,MATCH($D113,REF_CODES!$C$87:$C$132,0)),"")</f>
        <v>EVT-SCR</v>
      </c>
      <c r="F113" s="261" t="s">
        <v>5681</v>
      </c>
      <c r="G113" s="285" t="s">
        <v>2208</v>
      </c>
      <c r="H113" s="285" t="s">
        <v>2208</v>
      </c>
      <c r="I113" s="285" t="s">
        <v>5682</v>
      </c>
      <c r="J113" s="285" t="s">
        <v>2208</v>
      </c>
      <c r="K113" s="261" t="s">
        <v>1919</v>
      </c>
      <c r="L113" s="261" t="s">
        <v>2208</v>
      </c>
      <c r="M113" s="261" t="s">
        <v>2208</v>
      </c>
      <c r="N113" s="261" t="s">
        <v>2208</v>
      </c>
      <c r="O113" s="261" t="s">
        <v>2208</v>
      </c>
      <c r="P113" s="261" t="s">
        <v>2208</v>
      </c>
      <c r="Q113" s="261" t="s">
        <v>2208</v>
      </c>
      <c r="R113" s="261" t="s">
        <v>2208</v>
      </c>
      <c r="S113" s="261" t="s">
        <v>4756</v>
      </c>
      <c r="T113" s="261" t="s">
        <v>5684</v>
      </c>
      <c r="U113" s="261" t="s">
        <v>195</v>
      </c>
      <c r="V113" s="261" t="s">
        <v>5195</v>
      </c>
      <c r="W113" s="261" t="s">
        <v>4024</v>
      </c>
      <c r="X113" s="261" t="s">
        <v>5195</v>
      </c>
      <c r="Y113" s="261" t="s">
        <v>502</v>
      </c>
      <c r="Z113" s="261" t="s">
        <v>5197</v>
      </c>
      <c r="AA113" s="261" t="s">
        <v>534</v>
      </c>
    </row>
    <row r="114" ht="14.25" customHeight="1">
      <c r="A114" s="261" t="s">
        <v>2172</v>
      </c>
      <c r="B114" s="261" t="s">
        <v>4717</v>
      </c>
      <c r="C114" s="261" t="s">
        <v>5686</v>
      </c>
      <c r="D114" s="261" t="s">
        <v>1180</v>
      </c>
      <c r="E114" s="261" t="str">
        <f t="array" ref="E114">IFERROR(INDEX(REF_CODES!$B$87:$B$132,MATCH($D114,REF_CODES!$C$87:$C$132,0)),"")</f>
        <v>EVT-LAS</v>
      </c>
      <c r="F114" s="261" t="s">
        <v>5656</v>
      </c>
      <c r="G114" s="285" t="s">
        <v>2208</v>
      </c>
      <c r="H114" s="275" t="s">
        <v>5657</v>
      </c>
      <c r="I114" s="285" t="s">
        <v>5658</v>
      </c>
      <c r="J114" s="285" t="s">
        <v>2208</v>
      </c>
      <c r="K114" s="261" t="s">
        <v>1919</v>
      </c>
      <c r="L114" s="261" t="s">
        <v>2208</v>
      </c>
      <c r="M114" s="261" t="s">
        <v>2208</v>
      </c>
      <c r="N114" s="261" t="s">
        <v>2208</v>
      </c>
      <c r="O114" s="261" t="s">
        <v>2208</v>
      </c>
      <c r="P114" s="261" t="s">
        <v>2208</v>
      </c>
      <c r="Q114" s="261" t="s">
        <v>2208</v>
      </c>
      <c r="R114" s="261" t="s">
        <v>2208</v>
      </c>
      <c r="S114" s="261" t="s">
        <v>4756</v>
      </c>
      <c r="T114" s="261" t="s">
        <v>5687</v>
      </c>
      <c r="U114" s="261" t="s">
        <v>195</v>
      </c>
      <c r="V114" s="261" t="s">
        <v>5195</v>
      </c>
      <c r="W114" s="261" t="s">
        <v>4024</v>
      </c>
      <c r="X114" s="261" t="s">
        <v>5195</v>
      </c>
      <c r="Y114" s="261" t="s">
        <v>502</v>
      </c>
      <c r="Z114" s="261" t="s">
        <v>5197</v>
      </c>
      <c r="AA114" s="261" t="s">
        <v>534</v>
      </c>
    </row>
    <row r="115" ht="14.25" customHeight="1">
      <c r="A115" s="261" t="s">
        <v>2172</v>
      </c>
      <c r="B115" s="261" t="s">
        <v>4717</v>
      </c>
      <c r="C115" s="261" t="s">
        <v>5689</v>
      </c>
      <c r="D115" s="261" t="s">
        <v>1180</v>
      </c>
      <c r="E115" s="261" t="str">
        <f t="array" ref="E115">IFERROR(INDEX(REF_CODES!$B$87:$B$132,MATCH($D115,REF_CODES!$C$87:$C$132,0)),"")</f>
        <v>EVT-LAS</v>
      </c>
      <c r="F115" s="261" t="s">
        <v>5690</v>
      </c>
      <c r="G115" s="285" t="s">
        <v>2208</v>
      </c>
      <c r="H115" s="285" t="s">
        <v>2208</v>
      </c>
      <c r="I115" s="285" t="s">
        <v>5691</v>
      </c>
      <c r="J115" s="285" t="s">
        <v>2208</v>
      </c>
      <c r="K115" s="261" t="s">
        <v>1919</v>
      </c>
      <c r="L115" s="261" t="s">
        <v>2208</v>
      </c>
      <c r="M115" s="261" t="s">
        <v>2208</v>
      </c>
      <c r="N115" s="261" t="s">
        <v>2208</v>
      </c>
      <c r="O115" s="261" t="s">
        <v>2208</v>
      </c>
      <c r="P115" s="261" t="s">
        <v>2208</v>
      </c>
      <c r="Q115" s="261" t="s">
        <v>2208</v>
      </c>
      <c r="R115" s="261" t="s">
        <v>2208</v>
      </c>
      <c r="S115" s="261" t="s">
        <v>4756</v>
      </c>
      <c r="T115" s="261" t="s">
        <v>5693</v>
      </c>
      <c r="U115" s="261" t="s">
        <v>195</v>
      </c>
      <c r="V115" s="261" t="s">
        <v>5195</v>
      </c>
      <c r="W115" s="261" t="s">
        <v>4024</v>
      </c>
      <c r="X115" s="261" t="s">
        <v>5195</v>
      </c>
      <c r="Y115" s="261" t="s">
        <v>502</v>
      </c>
      <c r="Z115" s="261" t="s">
        <v>5197</v>
      </c>
      <c r="AA115" s="261" t="s">
        <v>534</v>
      </c>
    </row>
    <row r="116" ht="14.25" customHeight="1">
      <c r="A116" s="261" t="s">
        <v>2172</v>
      </c>
      <c r="B116" s="261" t="s">
        <v>4717</v>
      </c>
      <c r="C116" s="261" t="s">
        <v>5694</v>
      </c>
      <c r="D116" s="261" t="s">
        <v>1184</v>
      </c>
      <c r="E116" s="261" t="str">
        <f t="array" ref="E116">IFERROR(INDEX(REF_CODES!$B$87:$B$132,MATCH($D116,REF_CODES!$C$87:$C$132,0)),"")</f>
        <v>EVT-PYR</v>
      </c>
      <c r="F116" s="261" t="s">
        <v>5690</v>
      </c>
      <c r="G116" s="285" t="s">
        <v>2208</v>
      </c>
      <c r="H116" s="285" t="s">
        <v>2208</v>
      </c>
      <c r="I116" s="285" t="s">
        <v>5691</v>
      </c>
      <c r="J116" s="285" t="s">
        <v>2208</v>
      </c>
      <c r="K116" s="261" t="s">
        <v>1919</v>
      </c>
      <c r="L116" s="261" t="s">
        <v>2208</v>
      </c>
      <c r="M116" s="261" t="s">
        <v>2208</v>
      </c>
      <c r="N116" s="261" t="s">
        <v>2208</v>
      </c>
      <c r="O116" s="261" t="s">
        <v>2208</v>
      </c>
      <c r="P116" s="261" t="s">
        <v>2208</v>
      </c>
      <c r="Q116" s="261" t="s">
        <v>2208</v>
      </c>
      <c r="R116" s="261" t="s">
        <v>2208</v>
      </c>
      <c r="S116" s="261" t="s">
        <v>4756</v>
      </c>
      <c r="T116" s="261" t="s">
        <v>5697</v>
      </c>
      <c r="U116" s="261" t="s">
        <v>195</v>
      </c>
      <c r="V116" s="261" t="s">
        <v>5195</v>
      </c>
      <c r="W116" s="261" t="s">
        <v>4024</v>
      </c>
      <c r="X116" s="261" t="s">
        <v>5195</v>
      </c>
      <c r="Y116" s="261" t="s">
        <v>502</v>
      </c>
      <c r="Z116" s="261" t="s">
        <v>5197</v>
      </c>
      <c r="AA116" s="261" t="s">
        <v>534</v>
      </c>
    </row>
    <row r="117" ht="14.25" customHeight="1">
      <c r="A117" s="261" t="s">
        <v>2172</v>
      </c>
      <c r="B117" s="261" t="s">
        <v>4717</v>
      </c>
      <c r="C117" s="261" t="s">
        <v>5699</v>
      </c>
      <c r="D117" s="261" t="s">
        <v>1186</v>
      </c>
      <c r="E117" s="261" t="str">
        <f t="array" ref="E117">IFERROR(INDEX(REF_CODES!$B$87:$B$132,MATCH($D117,REF_CODES!$C$87:$C$132,0)),"")</f>
        <v>EVT-FXS</v>
      </c>
      <c r="F117" s="261" t="s">
        <v>5656</v>
      </c>
      <c r="G117" s="285" t="s">
        <v>2208</v>
      </c>
      <c r="H117" s="275" t="s">
        <v>5657</v>
      </c>
      <c r="I117" s="285" t="s">
        <v>5658</v>
      </c>
      <c r="J117" s="285" t="s">
        <v>2208</v>
      </c>
      <c r="K117" s="261" t="s">
        <v>1919</v>
      </c>
      <c r="L117" s="261" t="s">
        <v>2208</v>
      </c>
      <c r="M117" s="261" t="s">
        <v>2208</v>
      </c>
      <c r="N117" s="261" t="s">
        <v>2208</v>
      </c>
      <c r="O117" s="261" t="s">
        <v>2208</v>
      </c>
      <c r="P117" s="261" t="s">
        <v>2208</v>
      </c>
      <c r="Q117" s="261" t="s">
        <v>2208</v>
      </c>
      <c r="R117" s="261" t="s">
        <v>2208</v>
      </c>
      <c r="S117" s="261" t="s">
        <v>4756</v>
      </c>
      <c r="T117" s="261" t="s">
        <v>5701</v>
      </c>
      <c r="U117" s="261" t="s">
        <v>195</v>
      </c>
      <c r="V117" s="261" t="s">
        <v>5195</v>
      </c>
      <c r="W117" s="261" t="s">
        <v>4024</v>
      </c>
      <c r="X117" s="261" t="s">
        <v>5195</v>
      </c>
      <c r="Y117" s="261" t="s">
        <v>502</v>
      </c>
      <c r="Z117" s="261" t="s">
        <v>5197</v>
      </c>
      <c r="AA117" s="261" t="s">
        <v>534</v>
      </c>
    </row>
    <row r="118" ht="14.25" customHeight="1">
      <c r="A118" s="261" t="s">
        <v>2172</v>
      </c>
      <c r="B118" s="261" t="s">
        <v>4717</v>
      </c>
      <c r="C118" s="261" t="s">
        <v>5702</v>
      </c>
      <c r="D118" s="261" t="s">
        <v>1186</v>
      </c>
      <c r="E118" s="261" t="str">
        <f t="array" ref="E118">IFERROR(INDEX(REF_CODES!$B$87:$B$132,MATCH($D118,REF_CODES!$C$87:$C$132,0)),"")</f>
        <v>EVT-FXS</v>
      </c>
      <c r="F118" s="261" t="s">
        <v>5690</v>
      </c>
      <c r="G118" s="285" t="s">
        <v>2208</v>
      </c>
      <c r="H118" s="285" t="s">
        <v>2208</v>
      </c>
      <c r="I118" s="285" t="s">
        <v>5691</v>
      </c>
      <c r="J118" s="285" t="s">
        <v>2208</v>
      </c>
      <c r="K118" s="261" t="s">
        <v>1919</v>
      </c>
      <c r="L118" s="261" t="s">
        <v>2208</v>
      </c>
      <c r="M118" s="261" t="s">
        <v>2208</v>
      </c>
      <c r="N118" s="261" t="s">
        <v>2208</v>
      </c>
      <c r="O118" s="261" t="s">
        <v>2208</v>
      </c>
      <c r="P118" s="261" t="s">
        <v>2208</v>
      </c>
      <c r="Q118" s="261" t="s">
        <v>2208</v>
      </c>
      <c r="R118" s="261" t="s">
        <v>2208</v>
      </c>
      <c r="S118" s="261" t="s">
        <v>4756</v>
      </c>
      <c r="T118" s="261" t="s">
        <v>5703</v>
      </c>
      <c r="U118" s="261" t="s">
        <v>195</v>
      </c>
      <c r="V118" s="261" t="s">
        <v>5195</v>
      </c>
      <c r="W118" s="261" t="s">
        <v>4024</v>
      </c>
      <c r="X118" s="261" t="s">
        <v>5195</v>
      </c>
      <c r="Y118" s="261" t="s">
        <v>502</v>
      </c>
      <c r="Z118" s="261" t="s">
        <v>5197</v>
      </c>
      <c r="AA118" s="261" t="s">
        <v>534</v>
      </c>
    </row>
    <row r="119" ht="14.25" customHeight="1">
      <c r="A119" s="261" t="s">
        <v>2172</v>
      </c>
      <c r="B119" s="261" t="s">
        <v>4717</v>
      </c>
      <c r="C119" s="261" t="s">
        <v>5704</v>
      </c>
      <c r="D119" s="261" t="s">
        <v>1296</v>
      </c>
      <c r="E119" s="261" t="str">
        <f t="array" ref="E119">IFERROR(INDEX(REF_CODES!$B$87:$B$132,MATCH($D119,REF_CODES!$C$87:$C$132,0)),"")</f>
        <v>EVT-PAT</v>
      </c>
      <c r="F119" s="261" t="s">
        <v>5705</v>
      </c>
      <c r="G119" s="285" t="s">
        <v>2208</v>
      </c>
      <c r="H119" s="285" t="s">
        <v>2208</v>
      </c>
      <c r="I119" s="285" t="s">
        <v>5708</v>
      </c>
      <c r="J119" s="285" t="s">
        <v>2208</v>
      </c>
      <c r="K119" s="261" t="s">
        <v>1919</v>
      </c>
      <c r="L119" s="261" t="s">
        <v>2208</v>
      </c>
      <c r="M119" s="261" t="s">
        <v>2208</v>
      </c>
      <c r="N119" s="261" t="s">
        <v>2208</v>
      </c>
      <c r="O119" s="261" t="s">
        <v>2208</v>
      </c>
      <c r="P119" s="261" t="s">
        <v>2208</v>
      </c>
      <c r="Q119" s="261" t="s">
        <v>2208</v>
      </c>
      <c r="R119" s="261" t="s">
        <v>2208</v>
      </c>
      <c r="S119" s="261" t="s">
        <v>4756</v>
      </c>
      <c r="T119" s="261" t="s">
        <v>5709</v>
      </c>
      <c r="U119" s="261" t="s">
        <v>195</v>
      </c>
      <c r="V119" s="261" t="s">
        <v>5195</v>
      </c>
      <c r="W119" s="261" t="s">
        <v>4024</v>
      </c>
      <c r="X119" s="261" t="s">
        <v>5195</v>
      </c>
      <c r="Y119" s="261" t="s">
        <v>502</v>
      </c>
      <c r="Z119" s="261" t="s">
        <v>5197</v>
      </c>
      <c r="AA119" s="261" t="s">
        <v>534</v>
      </c>
    </row>
    <row r="120" ht="14.25" customHeight="1">
      <c r="A120" s="261" t="s">
        <v>2172</v>
      </c>
      <c r="B120" s="261" t="s">
        <v>4717</v>
      </c>
      <c r="C120" s="261" t="s">
        <v>5710</v>
      </c>
      <c r="D120" s="261" t="s">
        <v>1296</v>
      </c>
      <c r="E120" s="261" t="str">
        <f t="array" ref="E120">IFERROR(INDEX(REF_CODES!$B$87:$B$132,MATCH($D120,REF_CODES!$C$87:$C$132,0)),"")</f>
        <v>EVT-PAT</v>
      </c>
      <c r="F120" s="261" t="s">
        <v>5711</v>
      </c>
      <c r="G120" s="285" t="s">
        <v>2208</v>
      </c>
      <c r="H120" s="285" t="s">
        <v>2208</v>
      </c>
      <c r="I120" s="285" t="s">
        <v>5713</v>
      </c>
      <c r="J120" s="285" t="s">
        <v>2208</v>
      </c>
      <c r="K120" s="261" t="s">
        <v>1919</v>
      </c>
      <c r="L120" s="261" t="s">
        <v>2208</v>
      </c>
      <c r="M120" s="261" t="s">
        <v>2208</v>
      </c>
      <c r="N120" s="261" t="s">
        <v>2208</v>
      </c>
      <c r="O120" s="261" t="s">
        <v>2208</v>
      </c>
      <c r="P120" s="261" t="s">
        <v>2208</v>
      </c>
      <c r="Q120" s="261" t="s">
        <v>2208</v>
      </c>
      <c r="R120" s="261" t="s">
        <v>2208</v>
      </c>
      <c r="S120" s="261" t="s">
        <v>4756</v>
      </c>
      <c r="T120" s="261" t="s">
        <v>5715</v>
      </c>
      <c r="U120" s="261" t="s">
        <v>195</v>
      </c>
      <c r="V120" s="261" t="s">
        <v>5195</v>
      </c>
      <c r="W120" s="261" t="s">
        <v>4024</v>
      </c>
      <c r="X120" s="261" t="s">
        <v>5195</v>
      </c>
      <c r="Y120" s="261" t="s">
        <v>502</v>
      </c>
      <c r="Z120" s="261" t="s">
        <v>5197</v>
      </c>
      <c r="AA120" s="261" t="s">
        <v>534</v>
      </c>
    </row>
    <row r="121" ht="14.25" customHeight="1">
      <c r="A121" s="261" t="s">
        <v>2172</v>
      </c>
      <c r="B121" s="261" t="s">
        <v>4717</v>
      </c>
      <c r="C121" s="261" t="s">
        <v>5716</v>
      </c>
      <c r="D121" s="261" t="s">
        <v>1296</v>
      </c>
      <c r="E121" s="261" t="str">
        <f t="array" ref="E121">IFERROR(INDEX(REF_CODES!$B$87:$B$132,MATCH($D121,REF_CODES!$C$87:$C$132,0)),"")</f>
        <v>EVT-PAT</v>
      </c>
      <c r="F121" s="261" t="s">
        <v>5717</v>
      </c>
      <c r="G121" s="285" t="s">
        <v>2208</v>
      </c>
      <c r="H121" s="285" t="s">
        <v>2208</v>
      </c>
      <c r="I121" s="285" t="s">
        <v>2208</v>
      </c>
      <c r="J121" s="285" t="s">
        <v>2208</v>
      </c>
      <c r="K121" s="261" t="s">
        <v>1919</v>
      </c>
      <c r="L121" s="261" t="s">
        <v>2208</v>
      </c>
      <c r="M121" s="261" t="s">
        <v>2208</v>
      </c>
      <c r="N121" s="261" t="s">
        <v>2208</v>
      </c>
      <c r="O121" s="261" t="s">
        <v>2208</v>
      </c>
      <c r="P121" s="261" t="s">
        <v>2208</v>
      </c>
      <c r="Q121" s="261" t="s">
        <v>2208</v>
      </c>
      <c r="R121" s="261" t="s">
        <v>2208</v>
      </c>
      <c r="S121" s="261" t="s">
        <v>4756</v>
      </c>
      <c r="T121" s="261" t="s">
        <v>5718</v>
      </c>
      <c r="U121" s="261" t="s">
        <v>195</v>
      </c>
      <c r="V121" s="261" t="s">
        <v>5195</v>
      </c>
      <c r="W121" s="261" t="s">
        <v>4024</v>
      </c>
      <c r="X121" s="261" t="s">
        <v>5195</v>
      </c>
      <c r="Y121" s="261" t="s">
        <v>502</v>
      </c>
      <c r="Z121" s="261" t="s">
        <v>5197</v>
      </c>
      <c r="AA121" s="261" t="s">
        <v>534</v>
      </c>
    </row>
    <row r="122" ht="14.25" customHeight="1">
      <c r="A122" s="261" t="s">
        <v>2172</v>
      </c>
      <c r="B122" s="261" t="s">
        <v>4717</v>
      </c>
      <c r="C122" s="261" t="s">
        <v>5719</v>
      </c>
      <c r="D122" s="261" t="s">
        <v>1296</v>
      </c>
      <c r="E122" s="261" t="str">
        <f t="array" ref="E122">IFERROR(INDEX(REF_CODES!$B$87:$B$132,MATCH($D122,REF_CODES!$C$87:$C$132,0)),"")</f>
        <v>EVT-PAT</v>
      </c>
      <c r="F122" s="261" t="s">
        <v>5723</v>
      </c>
      <c r="G122" s="285" t="s">
        <v>2208</v>
      </c>
      <c r="H122" s="285" t="s">
        <v>2208</v>
      </c>
      <c r="I122" s="285" t="s">
        <v>2208</v>
      </c>
      <c r="J122" s="285" t="s">
        <v>2208</v>
      </c>
      <c r="K122" s="261" t="s">
        <v>1919</v>
      </c>
      <c r="L122" s="261" t="s">
        <v>2208</v>
      </c>
      <c r="M122" s="261" t="s">
        <v>2208</v>
      </c>
      <c r="N122" s="261" t="s">
        <v>2208</v>
      </c>
      <c r="O122" s="261" t="s">
        <v>2208</v>
      </c>
      <c r="P122" s="261" t="s">
        <v>2208</v>
      </c>
      <c r="Q122" s="261" t="s">
        <v>2208</v>
      </c>
      <c r="R122" s="261" t="s">
        <v>2208</v>
      </c>
      <c r="S122" s="261" t="s">
        <v>4756</v>
      </c>
      <c r="T122" s="261" t="s">
        <v>5718</v>
      </c>
      <c r="U122" s="261" t="s">
        <v>195</v>
      </c>
      <c r="V122" s="261" t="s">
        <v>5195</v>
      </c>
      <c r="W122" s="261" t="s">
        <v>4024</v>
      </c>
      <c r="X122" s="261" t="s">
        <v>5195</v>
      </c>
      <c r="Y122" s="261" t="s">
        <v>502</v>
      </c>
      <c r="Z122" s="261" t="s">
        <v>5197</v>
      </c>
      <c r="AA122" s="261" t="s">
        <v>534</v>
      </c>
    </row>
    <row r="123" ht="14.25" customHeight="1">
      <c r="A123" s="261" t="s">
        <v>2172</v>
      </c>
      <c r="B123" s="261" t="s">
        <v>4717</v>
      </c>
      <c r="C123" s="261" t="s">
        <v>5724</v>
      </c>
      <c r="D123" s="261" t="s">
        <v>1296</v>
      </c>
      <c r="E123" s="261" t="str">
        <f t="array" ref="E123">IFERROR(INDEX(REF_CODES!$B$87:$B$132,MATCH($D123,REF_CODES!$C$87:$C$132,0)),"")</f>
        <v>EVT-PAT</v>
      </c>
      <c r="F123" s="261" t="s">
        <v>5727</v>
      </c>
      <c r="G123" s="285" t="s">
        <v>2208</v>
      </c>
      <c r="H123" s="285" t="s">
        <v>2208</v>
      </c>
      <c r="I123" s="285" t="s">
        <v>5728</v>
      </c>
      <c r="J123" s="285" t="s">
        <v>2208</v>
      </c>
      <c r="K123" s="261" t="s">
        <v>1919</v>
      </c>
      <c r="L123" s="261" t="s">
        <v>2208</v>
      </c>
      <c r="M123" s="261" t="s">
        <v>2208</v>
      </c>
      <c r="N123" s="261" t="s">
        <v>2208</v>
      </c>
      <c r="O123" s="261" t="s">
        <v>2208</v>
      </c>
      <c r="P123" s="261" t="s">
        <v>2208</v>
      </c>
      <c r="Q123" s="261" t="s">
        <v>2208</v>
      </c>
      <c r="R123" s="261" t="s">
        <v>2208</v>
      </c>
      <c r="S123" s="261" t="s">
        <v>4756</v>
      </c>
      <c r="T123" s="261" t="s">
        <v>5730</v>
      </c>
      <c r="U123" s="261" t="s">
        <v>195</v>
      </c>
      <c r="V123" s="261" t="s">
        <v>5195</v>
      </c>
      <c r="W123" s="261" t="s">
        <v>4024</v>
      </c>
      <c r="X123" s="261" t="s">
        <v>5195</v>
      </c>
      <c r="Y123" s="261" t="s">
        <v>502</v>
      </c>
      <c r="Z123" s="261" t="s">
        <v>5197</v>
      </c>
      <c r="AA123" s="261" t="s">
        <v>534</v>
      </c>
    </row>
    <row r="124" ht="14.25" customHeight="1">
      <c r="A124" s="261" t="s">
        <v>2172</v>
      </c>
      <c r="B124" s="261" t="s">
        <v>4717</v>
      </c>
      <c r="C124" s="261" t="s">
        <v>5731</v>
      </c>
      <c r="D124" s="261" t="s">
        <v>1269</v>
      </c>
      <c r="E124" s="261" t="str">
        <f t="array" ref="E124">IFERROR(INDEX(REF_CODES!$B$87:$B$132,MATCH($D124,REF_CODES!$C$87:$C$132,0)),"")</f>
        <v>EVT-MASG</v>
      </c>
      <c r="F124" s="261" t="s">
        <v>3304</v>
      </c>
      <c r="G124" s="285" t="s">
        <v>2208</v>
      </c>
      <c r="H124" s="285" t="s">
        <v>2208</v>
      </c>
      <c r="I124" s="285" t="s">
        <v>5732</v>
      </c>
      <c r="J124" s="285" t="s">
        <v>2208</v>
      </c>
      <c r="K124" s="261" t="s">
        <v>1919</v>
      </c>
      <c r="L124" s="261" t="s">
        <v>2208</v>
      </c>
      <c r="M124" s="261" t="s">
        <v>2208</v>
      </c>
      <c r="N124" s="261" t="s">
        <v>2208</v>
      </c>
      <c r="O124" s="261" t="s">
        <v>2208</v>
      </c>
      <c r="P124" s="261" t="s">
        <v>2208</v>
      </c>
      <c r="Q124" s="261" t="s">
        <v>2208</v>
      </c>
      <c r="R124" s="261" t="s">
        <v>2208</v>
      </c>
      <c r="S124" s="261" t="s">
        <v>4756</v>
      </c>
      <c r="T124" s="261" t="s">
        <v>5734</v>
      </c>
      <c r="U124" s="261" t="s">
        <v>195</v>
      </c>
      <c r="V124" s="261" t="s">
        <v>5195</v>
      </c>
      <c r="W124" s="261" t="s">
        <v>4024</v>
      </c>
      <c r="X124" s="261" t="s">
        <v>5195</v>
      </c>
      <c r="Y124" s="261" t="s">
        <v>502</v>
      </c>
      <c r="Z124" s="261" t="s">
        <v>5197</v>
      </c>
      <c r="AA124" s="261" t="s">
        <v>534</v>
      </c>
    </row>
    <row r="125" ht="14.25" customHeight="1">
      <c r="A125" s="261" t="s">
        <v>2172</v>
      </c>
      <c r="B125" s="261" t="s">
        <v>4717</v>
      </c>
      <c r="C125" s="261" t="s">
        <v>5735</v>
      </c>
      <c r="D125" s="261" t="s">
        <v>1269</v>
      </c>
      <c r="E125" s="261" t="str">
        <f t="array" ref="E125">IFERROR(INDEX(REF_CODES!$B$87:$B$132,MATCH($D125,REF_CODES!$C$87:$C$132,0)),"")</f>
        <v>EVT-MASG</v>
      </c>
      <c r="F125" s="261" t="s">
        <v>5736</v>
      </c>
      <c r="G125" s="285" t="s">
        <v>2208</v>
      </c>
      <c r="H125" s="285" t="s">
        <v>5737</v>
      </c>
      <c r="I125" s="285" t="s">
        <v>5738</v>
      </c>
      <c r="J125" s="285" t="s">
        <v>2208</v>
      </c>
      <c r="K125" s="261" t="s">
        <v>1919</v>
      </c>
      <c r="L125" s="261" t="s">
        <v>2208</v>
      </c>
      <c r="M125" s="261" t="s">
        <v>2208</v>
      </c>
      <c r="N125" s="261" t="s">
        <v>2208</v>
      </c>
      <c r="O125" s="261" t="s">
        <v>2208</v>
      </c>
      <c r="P125" s="261" t="s">
        <v>2208</v>
      </c>
      <c r="Q125" s="261" t="s">
        <v>2208</v>
      </c>
      <c r="R125" s="261" t="s">
        <v>2208</v>
      </c>
      <c r="S125" s="261" t="s">
        <v>4756</v>
      </c>
      <c r="T125" s="261" t="s">
        <v>5742</v>
      </c>
      <c r="U125" s="261" t="s">
        <v>195</v>
      </c>
      <c r="V125" s="261" t="s">
        <v>5195</v>
      </c>
      <c r="W125" s="261" t="s">
        <v>4024</v>
      </c>
      <c r="X125" s="261" t="s">
        <v>5195</v>
      </c>
      <c r="Y125" s="261" t="s">
        <v>502</v>
      </c>
      <c r="Z125" s="261" t="s">
        <v>5197</v>
      </c>
      <c r="AA125" s="261" t="s">
        <v>534</v>
      </c>
    </row>
    <row r="126" ht="14.25" customHeight="1">
      <c r="A126" s="261" t="s">
        <v>2172</v>
      </c>
      <c r="B126" s="261" t="s">
        <v>4717</v>
      </c>
      <c r="C126" s="261" t="s">
        <v>5744</v>
      </c>
      <c r="D126" s="261" t="s">
        <v>1269</v>
      </c>
      <c r="E126" s="261" t="str">
        <f t="array" ref="E126">IFERROR(INDEX(REF_CODES!$B$87:$B$132,MATCH($D126,REF_CODES!$C$87:$C$132,0)),"")</f>
        <v>EVT-MASG</v>
      </c>
      <c r="F126" s="261" t="s">
        <v>5748</v>
      </c>
      <c r="G126" s="285" t="s">
        <v>2208</v>
      </c>
      <c r="H126" s="285" t="s">
        <v>2208</v>
      </c>
      <c r="I126" s="285" t="s">
        <v>5750</v>
      </c>
      <c r="J126" s="285" t="s">
        <v>2208</v>
      </c>
      <c r="K126" s="261" t="s">
        <v>1919</v>
      </c>
      <c r="L126" s="261" t="s">
        <v>2208</v>
      </c>
      <c r="M126" s="261" t="s">
        <v>2208</v>
      </c>
      <c r="N126" s="261" t="s">
        <v>2208</v>
      </c>
      <c r="O126" s="261" t="s">
        <v>2208</v>
      </c>
      <c r="P126" s="261" t="s">
        <v>2208</v>
      </c>
      <c r="Q126" s="261" t="s">
        <v>2208</v>
      </c>
      <c r="R126" s="261" t="s">
        <v>2208</v>
      </c>
      <c r="S126" s="261" t="s">
        <v>4756</v>
      </c>
      <c r="T126" s="261" t="s">
        <v>5755</v>
      </c>
      <c r="U126" s="261" t="s">
        <v>195</v>
      </c>
      <c r="V126" s="261" t="s">
        <v>5195</v>
      </c>
      <c r="W126" s="261" t="s">
        <v>4024</v>
      </c>
      <c r="X126" s="261" t="s">
        <v>5195</v>
      </c>
      <c r="Y126" s="261" t="s">
        <v>502</v>
      </c>
      <c r="Z126" s="261" t="s">
        <v>5197</v>
      </c>
      <c r="AA126" s="261" t="s">
        <v>534</v>
      </c>
    </row>
    <row r="127" ht="14.25" customHeight="1">
      <c r="A127" s="261" t="s">
        <v>2172</v>
      </c>
      <c r="B127" s="261" t="s">
        <v>4717</v>
      </c>
      <c r="C127" s="261" t="s">
        <v>5761</v>
      </c>
      <c r="D127" s="261" t="s">
        <v>1269</v>
      </c>
      <c r="E127" s="261" t="str">
        <f t="array" ref="E127">IFERROR(INDEX(REF_CODES!$B$87:$B$132,MATCH($D127,REF_CODES!$C$87:$C$132,0)),"")</f>
        <v>EVT-MASG</v>
      </c>
      <c r="F127" s="261" t="s">
        <v>5764</v>
      </c>
      <c r="G127" s="285" t="s">
        <v>2208</v>
      </c>
      <c r="H127" s="275" t="s">
        <v>5765</v>
      </c>
      <c r="I127" s="285" t="s">
        <v>5766</v>
      </c>
      <c r="J127" s="285" t="s">
        <v>2208</v>
      </c>
      <c r="K127" s="261" t="s">
        <v>1919</v>
      </c>
      <c r="L127" s="261" t="s">
        <v>2208</v>
      </c>
      <c r="M127" s="261" t="s">
        <v>2208</v>
      </c>
      <c r="N127" s="261" t="s">
        <v>2208</v>
      </c>
      <c r="O127" s="261" t="s">
        <v>2208</v>
      </c>
      <c r="P127" s="261" t="s">
        <v>2208</v>
      </c>
      <c r="Q127" s="261" t="s">
        <v>2208</v>
      </c>
      <c r="R127" s="261" t="s">
        <v>2208</v>
      </c>
      <c r="S127" s="261" t="s">
        <v>4756</v>
      </c>
      <c r="T127" s="261" t="s">
        <v>5768</v>
      </c>
      <c r="U127" s="261" t="s">
        <v>195</v>
      </c>
      <c r="V127" s="261" t="s">
        <v>5195</v>
      </c>
      <c r="W127" s="261" t="s">
        <v>4024</v>
      </c>
      <c r="X127" s="261" t="s">
        <v>5195</v>
      </c>
      <c r="Y127" s="261" t="s">
        <v>502</v>
      </c>
      <c r="Z127" s="261" t="s">
        <v>5197</v>
      </c>
      <c r="AA127" s="261" t="s">
        <v>534</v>
      </c>
    </row>
    <row r="128" ht="14.25" customHeight="1">
      <c r="A128" s="261" t="s">
        <v>2172</v>
      </c>
      <c r="B128" s="261" t="s">
        <v>4717</v>
      </c>
      <c r="C128" s="261" t="s">
        <v>5770</v>
      </c>
      <c r="D128" s="261" t="s">
        <v>1269</v>
      </c>
      <c r="E128" s="261" t="str">
        <f t="array" ref="E128">IFERROR(INDEX(REF_CODES!$B$87:$B$132,MATCH($D128,REF_CODES!$C$87:$C$132,0)),"")</f>
        <v>EVT-MASG</v>
      </c>
      <c r="F128" s="261" t="s">
        <v>5772</v>
      </c>
      <c r="G128" s="285" t="s">
        <v>2208</v>
      </c>
      <c r="H128" s="285" t="s">
        <v>2208</v>
      </c>
      <c r="I128" s="285" t="s">
        <v>5773</v>
      </c>
      <c r="J128" s="285" t="s">
        <v>2208</v>
      </c>
      <c r="K128" s="261" t="s">
        <v>1919</v>
      </c>
      <c r="L128" s="261" t="s">
        <v>2208</v>
      </c>
      <c r="M128" s="261" t="s">
        <v>2208</v>
      </c>
      <c r="N128" s="261" t="s">
        <v>2208</v>
      </c>
      <c r="O128" s="261" t="s">
        <v>2208</v>
      </c>
      <c r="P128" s="261" t="s">
        <v>2208</v>
      </c>
      <c r="Q128" s="261" t="s">
        <v>2208</v>
      </c>
      <c r="R128" s="261" t="s">
        <v>2208</v>
      </c>
      <c r="S128" s="261" t="s">
        <v>4756</v>
      </c>
      <c r="T128" s="261" t="s">
        <v>5774</v>
      </c>
      <c r="U128" s="261" t="s">
        <v>195</v>
      </c>
      <c r="V128" s="261" t="s">
        <v>5195</v>
      </c>
      <c r="W128" s="261" t="s">
        <v>4024</v>
      </c>
      <c r="X128" s="261" t="s">
        <v>5195</v>
      </c>
      <c r="Y128" s="261" t="s">
        <v>502</v>
      </c>
      <c r="Z128" s="261" t="s">
        <v>5197</v>
      </c>
      <c r="AA128" s="261" t="s">
        <v>534</v>
      </c>
    </row>
    <row r="129" ht="14.25" customHeight="1">
      <c r="A129" s="261" t="s">
        <v>2172</v>
      </c>
      <c r="B129" s="261" t="s">
        <v>4717</v>
      </c>
      <c r="C129" s="261" t="s">
        <v>5776</v>
      </c>
      <c r="D129" s="261" t="s">
        <v>1275</v>
      </c>
      <c r="E129" s="261" t="str">
        <f t="array" ref="E129">IFERROR(INDEX(REF_CODES!$B$87:$B$132,MATCH($D129,REF_CODES!$C$87:$C$132,0)),"")</f>
        <v>EVT-SPA</v>
      </c>
      <c r="F129" s="261" t="s">
        <v>5779</v>
      </c>
      <c r="G129" s="285" t="s">
        <v>2208</v>
      </c>
      <c r="H129" s="285" t="s">
        <v>2208</v>
      </c>
      <c r="I129" s="285" t="s">
        <v>5780</v>
      </c>
      <c r="J129" s="285" t="s">
        <v>2208</v>
      </c>
      <c r="K129" s="261" t="s">
        <v>1919</v>
      </c>
      <c r="L129" s="261" t="s">
        <v>2208</v>
      </c>
      <c r="M129" s="261" t="s">
        <v>2208</v>
      </c>
      <c r="N129" s="261" t="s">
        <v>2208</v>
      </c>
      <c r="O129" s="261" t="s">
        <v>2208</v>
      </c>
      <c r="P129" s="261" t="s">
        <v>2208</v>
      </c>
      <c r="Q129" s="261" t="s">
        <v>2208</v>
      </c>
      <c r="R129" s="261" t="s">
        <v>2208</v>
      </c>
      <c r="S129" s="261" t="s">
        <v>4756</v>
      </c>
      <c r="T129" s="261" t="s">
        <v>5781</v>
      </c>
      <c r="U129" s="261" t="s">
        <v>195</v>
      </c>
      <c r="V129" s="261" t="s">
        <v>5195</v>
      </c>
      <c r="W129" s="261" t="s">
        <v>4024</v>
      </c>
      <c r="X129" s="261" t="s">
        <v>5195</v>
      </c>
      <c r="Y129" s="261" t="s">
        <v>502</v>
      </c>
      <c r="Z129" s="261" t="s">
        <v>5197</v>
      </c>
      <c r="AA129" s="261" t="s">
        <v>534</v>
      </c>
    </row>
    <row r="130" ht="14.25" customHeight="1">
      <c r="A130" s="261" t="s">
        <v>2172</v>
      </c>
      <c r="B130" s="261" t="s">
        <v>4717</v>
      </c>
      <c r="C130" s="261" t="s">
        <v>5784</v>
      </c>
      <c r="D130" s="261" t="s">
        <v>1275</v>
      </c>
      <c r="E130" s="261" t="str">
        <f t="array" ref="E130">IFERROR(INDEX(REF_CODES!$B$87:$B$132,MATCH($D130,REF_CODES!$C$87:$C$132,0)),"")</f>
        <v>EVT-SPA</v>
      </c>
      <c r="F130" s="261" t="s">
        <v>5764</v>
      </c>
      <c r="G130" s="285" t="s">
        <v>2208</v>
      </c>
      <c r="H130" s="275" t="s">
        <v>5765</v>
      </c>
      <c r="I130" s="285" t="s">
        <v>5766</v>
      </c>
      <c r="J130" s="285" t="s">
        <v>2208</v>
      </c>
      <c r="K130" s="261" t="s">
        <v>1919</v>
      </c>
      <c r="L130" s="261" t="s">
        <v>2208</v>
      </c>
      <c r="M130" s="261" t="s">
        <v>2208</v>
      </c>
      <c r="N130" s="261" t="s">
        <v>2208</v>
      </c>
      <c r="O130" s="261" t="s">
        <v>2208</v>
      </c>
      <c r="P130" s="261" t="s">
        <v>2208</v>
      </c>
      <c r="Q130" s="261" t="s">
        <v>2208</v>
      </c>
      <c r="R130" s="261" t="s">
        <v>2208</v>
      </c>
      <c r="S130" s="261" t="s">
        <v>4756</v>
      </c>
      <c r="T130" s="261" t="s">
        <v>5785</v>
      </c>
      <c r="U130" s="261" t="s">
        <v>195</v>
      </c>
      <c r="V130" s="261" t="s">
        <v>5195</v>
      </c>
      <c r="W130" s="261" t="s">
        <v>4024</v>
      </c>
      <c r="X130" s="261" t="s">
        <v>5195</v>
      </c>
      <c r="Y130" s="261" t="s">
        <v>502</v>
      </c>
      <c r="Z130" s="261" t="s">
        <v>5197</v>
      </c>
      <c r="AA130" s="261" t="s">
        <v>534</v>
      </c>
    </row>
    <row r="131" ht="14.25" customHeight="1">
      <c r="A131" s="261" t="s">
        <v>2172</v>
      </c>
      <c r="B131" s="261" t="s">
        <v>4717</v>
      </c>
      <c r="C131" s="261" t="s">
        <v>5787</v>
      </c>
      <c r="D131" s="261" t="s">
        <v>1275</v>
      </c>
      <c r="E131" s="261" t="str">
        <f t="array" ref="E131">IFERROR(INDEX(REF_CODES!$B$87:$B$132,MATCH($D131,REF_CODES!$C$87:$C$132,0)),"")</f>
        <v>EVT-SPA</v>
      </c>
      <c r="F131" s="261" t="s">
        <v>3304</v>
      </c>
      <c r="G131" s="285" t="s">
        <v>2208</v>
      </c>
      <c r="H131" s="285" t="s">
        <v>2208</v>
      </c>
      <c r="I131" s="285" t="s">
        <v>5732</v>
      </c>
      <c r="J131" s="285" t="s">
        <v>2208</v>
      </c>
      <c r="K131" s="261" t="s">
        <v>1919</v>
      </c>
      <c r="L131" s="261" t="s">
        <v>2208</v>
      </c>
      <c r="M131" s="261" t="s">
        <v>2208</v>
      </c>
      <c r="N131" s="261" t="s">
        <v>2208</v>
      </c>
      <c r="O131" s="261" t="s">
        <v>2208</v>
      </c>
      <c r="P131" s="261" t="s">
        <v>2208</v>
      </c>
      <c r="Q131" s="261" t="s">
        <v>2208</v>
      </c>
      <c r="R131" s="261" t="s">
        <v>2208</v>
      </c>
      <c r="S131" s="261" t="s">
        <v>4756</v>
      </c>
      <c r="T131" s="261" t="s">
        <v>5789</v>
      </c>
      <c r="U131" s="261" t="s">
        <v>195</v>
      </c>
      <c r="V131" s="261" t="s">
        <v>5195</v>
      </c>
      <c r="W131" s="261" t="s">
        <v>4024</v>
      </c>
      <c r="X131" s="261" t="s">
        <v>5195</v>
      </c>
      <c r="Y131" s="261" t="s">
        <v>502</v>
      </c>
      <c r="Z131" s="261" t="s">
        <v>5197</v>
      </c>
      <c r="AA131" s="261" t="s">
        <v>534</v>
      </c>
    </row>
    <row r="132" ht="14.25" customHeight="1">
      <c r="A132" s="261" t="s">
        <v>2172</v>
      </c>
      <c r="B132" s="261" t="s">
        <v>4717</v>
      </c>
      <c r="C132" s="261" t="s">
        <v>5790</v>
      </c>
      <c r="D132" s="261" t="s">
        <v>1275</v>
      </c>
      <c r="E132" s="261" t="str">
        <f t="array" ref="E132">IFERROR(INDEX(REF_CODES!$B$87:$B$132,MATCH($D132,REF_CODES!$C$87:$C$132,0)),"")</f>
        <v>EVT-SPA</v>
      </c>
      <c r="F132" s="261" t="s">
        <v>5736</v>
      </c>
      <c r="G132" s="285" t="s">
        <v>2208</v>
      </c>
      <c r="H132" s="285" t="s">
        <v>5737</v>
      </c>
      <c r="I132" s="285" t="s">
        <v>5738</v>
      </c>
      <c r="J132" s="285" t="s">
        <v>2208</v>
      </c>
      <c r="K132" s="261" t="s">
        <v>1919</v>
      </c>
      <c r="L132" s="261" t="s">
        <v>2208</v>
      </c>
      <c r="M132" s="261" t="s">
        <v>2208</v>
      </c>
      <c r="N132" s="261" t="s">
        <v>2208</v>
      </c>
      <c r="O132" s="261" t="s">
        <v>2208</v>
      </c>
      <c r="P132" s="261" t="s">
        <v>2208</v>
      </c>
      <c r="Q132" s="261" t="s">
        <v>2208</v>
      </c>
      <c r="R132" s="261" t="s">
        <v>2208</v>
      </c>
      <c r="S132" s="261" t="s">
        <v>4756</v>
      </c>
      <c r="T132" s="261" t="s">
        <v>5794</v>
      </c>
      <c r="U132" s="261" t="s">
        <v>195</v>
      </c>
      <c r="V132" s="261" t="s">
        <v>5195</v>
      </c>
      <c r="W132" s="261" t="s">
        <v>4024</v>
      </c>
      <c r="X132" s="261" t="s">
        <v>5195</v>
      </c>
      <c r="Y132" s="261" t="s">
        <v>502</v>
      </c>
      <c r="Z132" s="261" t="s">
        <v>5197</v>
      </c>
      <c r="AA132" s="261" t="s">
        <v>534</v>
      </c>
    </row>
    <row r="133" ht="14.25" customHeight="1">
      <c r="A133" s="261" t="s">
        <v>2172</v>
      </c>
      <c r="B133" s="261" t="s">
        <v>4717</v>
      </c>
      <c r="C133" s="261" t="s">
        <v>5798</v>
      </c>
      <c r="D133" s="261" t="s">
        <v>1307</v>
      </c>
      <c r="E133" s="261" t="str">
        <f t="array" ref="E133">IFERROR(INDEX(REF_CODES!$B$87:$B$132,MATCH($D133,REF_CODES!$C$87:$C$132,0)),"")</f>
        <v>EVT-WIN</v>
      </c>
      <c r="F133" s="261" t="s">
        <v>5802</v>
      </c>
      <c r="G133" s="285" t="s">
        <v>2208</v>
      </c>
      <c r="H133" s="285" t="s">
        <v>2208</v>
      </c>
      <c r="I133" s="285" t="s">
        <v>5804</v>
      </c>
      <c r="J133" s="285" t="s">
        <v>2208</v>
      </c>
      <c r="K133" s="261" t="s">
        <v>1919</v>
      </c>
      <c r="L133" s="261" t="s">
        <v>2208</v>
      </c>
      <c r="M133" s="261" t="s">
        <v>2208</v>
      </c>
      <c r="N133" s="261" t="s">
        <v>2208</v>
      </c>
      <c r="O133" s="261" t="s">
        <v>2208</v>
      </c>
      <c r="P133" s="261" t="s">
        <v>2208</v>
      </c>
      <c r="Q133" s="261" t="s">
        <v>2208</v>
      </c>
      <c r="R133" s="261" t="s">
        <v>2208</v>
      </c>
      <c r="S133" s="261" t="s">
        <v>4756</v>
      </c>
      <c r="T133" s="261" t="s">
        <v>5808</v>
      </c>
      <c r="U133" s="261" t="s">
        <v>195</v>
      </c>
      <c r="V133" s="261" t="s">
        <v>5195</v>
      </c>
      <c r="W133" s="261" t="s">
        <v>4024</v>
      </c>
      <c r="X133" s="261" t="s">
        <v>5195</v>
      </c>
      <c r="Y133" s="261" t="s">
        <v>502</v>
      </c>
      <c r="Z133" s="261" t="s">
        <v>5197</v>
      </c>
      <c r="AA133" s="261" t="s">
        <v>534</v>
      </c>
    </row>
    <row r="134" ht="14.25" customHeight="1">
      <c r="A134" s="261" t="s">
        <v>2172</v>
      </c>
      <c r="B134" s="261" t="s">
        <v>4717</v>
      </c>
      <c r="C134" s="261" t="s">
        <v>5810</v>
      </c>
      <c r="D134" s="261" t="s">
        <v>1324</v>
      </c>
      <c r="E134" s="261" t="str">
        <f t="array" ref="E134">IFERROR(INDEX(REF_CODES!$B$87:$B$132,MATCH($D134,REF_CODES!$C$87:$C$132,0)),"")</f>
        <v>EVT-SHI</v>
      </c>
      <c r="F134" s="261" t="s">
        <v>4666</v>
      </c>
      <c r="G134" s="285" t="s">
        <v>2208</v>
      </c>
      <c r="H134" s="275" t="s">
        <v>3268</v>
      </c>
      <c r="I134" s="285" t="s">
        <v>5812</v>
      </c>
      <c r="J134" s="285" t="s">
        <v>2208</v>
      </c>
      <c r="K134" s="261" t="s">
        <v>1919</v>
      </c>
      <c r="L134" s="261" t="s">
        <v>2208</v>
      </c>
      <c r="M134" s="261" t="s">
        <v>2208</v>
      </c>
      <c r="N134" s="261" t="s">
        <v>2208</v>
      </c>
      <c r="O134" s="261" t="s">
        <v>2208</v>
      </c>
      <c r="P134" s="261" t="s">
        <v>2208</v>
      </c>
      <c r="Q134" s="261" t="s">
        <v>2208</v>
      </c>
      <c r="R134" s="261" t="s">
        <v>2208</v>
      </c>
      <c r="S134" s="261" t="s">
        <v>4756</v>
      </c>
      <c r="T134" s="261" t="s">
        <v>5814</v>
      </c>
      <c r="U134" s="261" t="s">
        <v>195</v>
      </c>
      <c r="V134" s="261" t="s">
        <v>5195</v>
      </c>
      <c r="W134" s="261" t="s">
        <v>4024</v>
      </c>
      <c r="X134" s="261" t="s">
        <v>5195</v>
      </c>
      <c r="Y134" s="261" t="s">
        <v>502</v>
      </c>
      <c r="Z134" s="261" t="s">
        <v>5197</v>
      </c>
      <c r="AA134" s="261" t="s">
        <v>534</v>
      </c>
    </row>
    <row r="135" ht="14.25" customHeight="1">
      <c r="A135" s="261" t="s">
        <v>2172</v>
      </c>
      <c r="B135" s="261" t="s">
        <v>4717</v>
      </c>
      <c r="C135" s="261" t="s">
        <v>5817</v>
      </c>
      <c r="D135" s="261" t="s">
        <v>1324</v>
      </c>
      <c r="E135" s="261" t="str">
        <f t="array" ref="E135">IFERROR(INDEX(REF_CODES!$B$87:$B$132,MATCH($D135,REF_CODES!$C$87:$C$132,0)),"")</f>
        <v>EVT-SHI</v>
      </c>
      <c r="F135" s="261" t="s">
        <v>2379</v>
      </c>
      <c r="G135" s="285" t="s">
        <v>2208</v>
      </c>
      <c r="H135" s="285" t="s">
        <v>5820</v>
      </c>
      <c r="I135" s="285" t="s">
        <v>2208</v>
      </c>
      <c r="J135" s="285" t="s">
        <v>2208</v>
      </c>
      <c r="K135" s="261" t="s">
        <v>1919</v>
      </c>
      <c r="L135" s="261" t="s">
        <v>2208</v>
      </c>
      <c r="M135" s="261" t="s">
        <v>2208</v>
      </c>
      <c r="N135" s="261" t="s">
        <v>2208</v>
      </c>
      <c r="O135" s="261" t="s">
        <v>2208</v>
      </c>
      <c r="P135" s="261" t="s">
        <v>2208</v>
      </c>
      <c r="Q135" s="261" t="s">
        <v>2208</v>
      </c>
      <c r="R135" s="261" t="s">
        <v>2208</v>
      </c>
      <c r="S135" s="261" t="s">
        <v>4756</v>
      </c>
      <c r="T135" s="261" t="s">
        <v>5822</v>
      </c>
      <c r="U135" s="261" t="s">
        <v>195</v>
      </c>
      <c r="V135" s="261" t="s">
        <v>5195</v>
      </c>
      <c r="W135" s="261" t="s">
        <v>4024</v>
      </c>
      <c r="X135" s="261" t="s">
        <v>5195</v>
      </c>
      <c r="Y135" s="261" t="s">
        <v>502</v>
      </c>
      <c r="Z135" s="261" t="s">
        <v>5197</v>
      </c>
      <c r="AA135" s="261" t="s">
        <v>534</v>
      </c>
    </row>
    <row r="136" ht="14.25" customHeight="1">
      <c r="A136" s="261" t="s">
        <v>2172</v>
      </c>
      <c r="B136" s="261" t="s">
        <v>4717</v>
      </c>
      <c r="C136" s="261" t="s">
        <v>5823</v>
      </c>
      <c r="D136" s="261" t="s">
        <v>1324</v>
      </c>
      <c r="E136" s="261" t="str">
        <f t="array" ref="E136">IFERROR(INDEX(REF_CODES!$B$87:$B$132,MATCH($D136,REF_CODES!$C$87:$C$132,0)),"")</f>
        <v>EVT-SHI</v>
      </c>
      <c r="F136" s="261" t="s">
        <v>5825</v>
      </c>
      <c r="G136" s="285" t="s">
        <v>2208</v>
      </c>
      <c r="H136" s="275" t="s">
        <v>5826</v>
      </c>
      <c r="I136" s="285" t="s">
        <v>5827</v>
      </c>
      <c r="J136" s="285" t="s">
        <v>2208</v>
      </c>
      <c r="K136" s="261" t="s">
        <v>1919</v>
      </c>
      <c r="L136" s="261" t="s">
        <v>2208</v>
      </c>
      <c r="M136" s="261" t="s">
        <v>2208</v>
      </c>
      <c r="N136" s="261" t="s">
        <v>2208</v>
      </c>
      <c r="O136" s="261" t="s">
        <v>2208</v>
      </c>
      <c r="P136" s="261" t="s">
        <v>2208</v>
      </c>
      <c r="Q136" s="261" t="s">
        <v>2208</v>
      </c>
      <c r="R136" s="261" t="s">
        <v>2208</v>
      </c>
      <c r="S136" s="261" t="s">
        <v>4756</v>
      </c>
      <c r="T136" s="261" t="s">
        <v>5828</v>
      </c>
      <c r="U136" s="261" t="s">
        <v>195</v>
      </c>
      <c r="V136" s="261" t="s">
        <v>5195</v>
      </c>
      <c r="W136" s="261" t="s">
        <v>4024</v>
      </c>
      <c r="X136" s="261" t="s">
        <v>5195</v>
      </c>
      <c r="Y136" s="261" t="s">
        <v>502</v>
      </c>
      <c r="Z136" s="261" t="s">
        <v>5197</v>
      </c>
      <c r="AA136" s="261" t="s">
        <v>534</v>
      </c>
    </row>
    <row r="137" ht="14.25" customHeight="1">
      <c r="A137" s="261" t="s">
        <v>2172</v>
      </c>
      <c r="B137" s="261" t="s">
        <v>4717</v>
      </c>
      <c r="C137" s="261" t="s">
        <v>5830</v>
      </c>
      <c r="D137" s="261" t="s">
        <v>1282</v>
      </c>
      <c r="E137" s="261" t="str">
        <f t="array" ref="E137">IFERROR(INDEX(REF_CODES!$B$87:$B$132,MATCH($D137,REF_CODES!$C$87:$C$132,0)),"")</f>
        <v>EVT-YOG</v>
      </c>
      <c r="F137" s="261" t="s">
        <v>5832</v>
      </c>
      <c r="G137" s="285" t="s">
        <v>2208</v>
      </c>
      <c r="H137" s="275" t="s">
        <v>5835</v>
      </c>
      <c r="I137" s="285" t="s">
        <v>5836</v>
      </c>
      <c r="J137" s="285" t="s">
        <v>2208</v>
      </c>
      <c r="K137" s="261" t="s">
        <v>1919</v>
      </c>
      <c r="L137" s="261" t="s">
        <v>2208</v>
      </c>
      <c r="M137" s="261" t="s">
        <v>2208</v>
      </c>
      <c r="N137" s="261" t="s">
        <v>2208</v>
      </c>
      <c r="O137" s="261" t="s">
        <v>2208</v>
      </c>
      <c r="P137" s="261" t="s">
        <v>2208</v>
      </c>
      <c r="Q137" s="261" t="s">
        <v>2208</v>
      </c>
      <c r="R137" s="261" t="s">
        <v>2208</v>
      </c>
      <c r="S137" s="261" t="s">
        <v>4756</v>
      </c>
      <c r="T137" s="261" t="s">
        <v>5838</v>
      </c>
      <c r="U137" s="261" t="s">
        <v>195</v>
      </c>
      <c r="V137" s="261" t="s">
        <v>5195</v>
      </c>
      <c r="W137" s="261" t="s">
        <v>4024</v>
      </c>
      <c r="X137" s="261" t="s">
        <v>5195</v>
      </c>
      <c r="Y137" s="261" t="s">
        <v>502</v>
      </c>
      <c r="Z137" s="261" t="s">
        <v>5197</v>
      </c>
      <c r="AA137" s="261" t="s">
        <v>534</v>
      </c>
    </row>
    <row r="138" ht="14.25" customHeight="1">
      <c r="A138" s="261" t="s">
        <v>2172</v>
      </c>
      <c r="B138" s="261" t="s">
        <v>4717</v>
      </c>
      <c r="C138" s="261" t="s">
        <v>5840</v>
      </c>
      <c r="D138" s="261" t="s">
        <v>1282</v>
      </c>
      <c r="E138" s="261" t="str">
        <f t="array" ref="E138">IFERROR(INDEX(REF_CODES!$B$87:$B$132,MATCH($D138,REF_CODES!$C$87:$C$132,0)),"")</f>
        <v>EVT-YOG</v>
      </c>
      <c r="F138" s="261" t="s">
        <v>5843</v>
      </c>
      <c r="G138" s="285" t="s">
        <v>2208</v>
      </c>
      <c r="H138" s="285" t="s">
        <v>2208</v>
      </c>
      <c r="I138" s="285" t="s">
        <v>5844</v>
      </c>
      <c r="J138" s="285" t="s">
        <v>2208</v>
      </c>
      <c r="K138" s="261" t="s">
        <v>1919</v>
      </c>
      <c r="L138" s="261" t="s">
        <v>2208</v>
      </c>
      <c r="M138" s="261" t="s">
        <v>2208</v>
      </c>
      <c r="N138" s="261" t="s">
        <v>2208</v>
      </c>
      <c r="O138" s="261" t="s">
        <v>2208</v>
      </c>
      <c r="P138" s="261" t="s">
        <v>2208</v>
      </c>
      <c r="Q138" s="261" t="s">
        <v>2208</v>
      </c>
      <c r="R138" s="261" t="s">
        <v>2208</v>
      </c>
      <c r="S138" s="261" t="s">
        <v>4756</v>
      </c>
      <c r="T138" s="261" t="s">
        <v>5846</v>
      </c>
      <c r="U138" s="261" t="s">
        <v>195</v>
      </c>
      <c r="V138" s="261" t="s">
        <v>5195</v>
      </c>
      <c r="W138" s="261" t="s">
        <v>4024</v>
      </c>
      <c r="X138" s="261" t="s">
        <v>5195</v>
      </c>
      <c r="Y138" s="261" t="s">
        <v>502</v>
      </c>
      <c r="Z138" s="261" t="s">
        <v>5197</v>
      </c>
      <c r="AA138" s="261" t="s">
        <v>534</v>
      </c>
    </row>
    <row r="139" ht="14.25" customHeight="1">
      <c r="A139" s="261" t="s">
        <v>2172</v>
      </c>
      <c r="B139" s="261" t="s">
        <v>4717</v>
      </c>
      <c r="C139" s="261" t="s">
        <v>5847</v>
      </c>
      <c r="D139" s="261" t="s">
        <v>1282</v>
      </c>
      <c r="E139" s="261" t="str">
        <f t="array" ref="E139">IFERROR(INDEX(REF_CODES!$B$87:$B$132,MATCH($D139,REF_CODES!$C$87:$C$132,0)),"")</f>
        <v>EVT-YOG</v>
      </c>
      <c r="F139" s="261" t="s">
        <v>5851</v>
      </c>
      <c r="G139" s="285" t="s">
        <v>2208</v>
      </c>
      <c r="H139" s="285" t="s">
        <v>5852</v>
      </c>
      <c r="I139" s="285" t="s">
        <v>5853</v>
      </c>
      <c r="J139" s="285" t="s">
        <v>2208</v>
      </c>
      <c r="K139" s="261" t="s">
        <v>1919</v>
      </c>
      <c r="L139" s="261" t="s">
        <v>2208</v>
      </c>
      <c r="M139" s="261" t="s">
        <v>2208</v>
      </c>
      <c r="N139" s="261" t="s">
        <v>2208</v>
      </c>
      <c r="O139" s="261" t="s">
        <v>2208</v>
      </c>
      <c r="P139" s="261" t="s">
        <v>2208</v>
      </c>
      <c r="Q139" s="261" t="s">
        <v>2208</v>
      </c>
      <c r="R139" s="261" t="s">
        <v>2208</v>
      </c>
      <c r="S139" s="261" t="s">
        <v>4756</v>
      </c>
      <c r="T139" s="261" t="s">
        <v>5854</v>
      </c>
      <c r="U139" s="261" t="s">
        <v>195</v>
      </c>
      <c r="V139" s="261" t="s">
        <v>5195</v>
      </c>
      <c r="W139" s="261" t="s">
        <v>4024</v>
      </c>
      <c r="X139" s="261" t="s">
        <v>5195</v>
      </c>
      <c r="Y139" s="261" t="s">
        <v>502</v>
      </c>
      <c r="Z139" s="261" t="s">
        <v>5197</v>
      </c>
      <c r="AA139" s="261" t="s">
        <v>534</v>
      </c>
    </row>
    <row r="140" ht="14.25" customHeight="1">
      <c r="A140" s="261" t="s">
        <v>2172</v>
      </c>
      <c r="B140" s="261" t="s">
        <v>4717</v>
      </c>
      <c r="C140" s="261" t="s">
        <v>5857</v>
      </c>
      <c r="D140" s="261" t="s">
        <v>1282</v>
      </c>
      <c r="E140" s="261" t="str">
        <f t="array" ref="E140">IFERROR(INDEX(REF_CODES!$B$87:$B$132,MATCH($D140,REF_CODES!$C$87:$C$132,0)),"")</f>
        <v>EVT-YOG</v>
      </c>
      <c r="F140" s="261" t="s">
        <v>5861</v>
      </c>
      <c r="G140" s="285" t="s">
        <v>2208</v>
      </c>
      <c r="H140" s="285" t="s">
        <v>2208</v>
      </c>
      <c r="I140" s="285" t="s">
        <v>5863</v>
      </c>
      <c r="J140" s="285" t="s">
        <v>2208</v>
      </c>
      <c r="K140" s="261" t="s">
        <v>1919</v>
      </c>
      <c r="L140" s="261" t="s">
        <v>2208</v>
      </c>
      <c r="M140" s="261" t="s">
        <v>2208</v>
      </c>
      <c r="N140" s="261" t="s">
        <v>2208</v>
      </c>
      <c r="O140" s="261" t="s">
        <v>2208</v>
      </c>
      <c r="P140" s="261" t="s">
        <v>2208</v>
      </c>
      <c r="Q140" s="261" t="s">
        <v>2208</v>
      </c>
      <c r="R140" s="261" t="s">
        <v>2208</v>
      </c>
      <c r="S140" s="261" t="s">
        <v>4756</v>
      </c>
      <c r="T140" s="261" t="s">
        <v>5866</v>
      </c>
      <c r="U140" s="261" t="s">
        <v>195</v>
      </c>
      <c r="V140" s="261" t="s">
        <v>5195</v>
      </c>
      <c r="W140" s="261" t="s">
        <v>4024</v>
      </c>
      <c r="X140" s="261" t="s">
        <v>5195</v>
      </c>
      <c r="Y140" s="261" t="s">
        <v>502</v>
      </c>
      <c r="Z140" s="261" t="s">
        <v>5197</v>
      </c>
      <c r="AA140" s="261" t="s">
        <v>534</v>
      </c>
    </row>
    <row r="141" ht="14.25" customHeight="1">
      <c r="A141" s="261" t="s">
        <v>2172</v>
      </c>
      <c r="B141" s="261" t="s">
        <v>4717</v>
      </c>
      <c r="C141" s="261" t="s">
        <v>5868</v>
      </c>
      <c r="D141" s="261" t="s">
        <v>1285</v>
      </c>
      <c r="E141" s="261" t="str">
        <f t="array" ref="E141">IFERROR(INDEX(REF_CODES!$B$87:$B$132,MATCH($D141,REF_CODES!$C$87:$C$132,0)),"")</f>
        <v>EVT-PIL</v>
      </c>
      <c r="F141" s="261" t="s">
        <v>5872</v>
      </c>
      <c r="G141" s="285" t="s">
        <v>2208</v>
      </c>
      <c r="H141" s="285" t="s">
        <v>5874</v>
      </c>
      <c r="I141" s="285" t="s">
        <v>5875</v>
      </c>
      <c r="J141" s="285" t="s">
        <v>2208</v>
      </c>
      <c r="K141" s="261" t="s">
        <v>1919</v>
      </c>
      <c r="L141" s="261" t="s">
        <v>2208</v>
      </c>
      <c r="M141" s="261" t="s">
        <v>2208</v>
      </c>
      <c r="N141" s="261" t="s">
        <v>2208</v>
      </c>
      <c r="O141" s="261" t="s">
        <v>2208</v>
      </c>
      <c r="P141" s="261" t="s">
        <v>2208</v>
      </c>
      <c r="Q141" s="261" t="s">
        <v>2208</v>
      </c>
      <c r="R141" s="261" t="s">
        <v>2208</v>
      </c>
      <c r="S141" s="261" t="s">
        <v>4756</v>
      </c>
      <c r="T141" s="261" t="s">
        <v>5876</v>
      </c>
      <c r="U141" s="261" t="s">
        <v>195</v>
      </c>
      <c r="V141" s="261" t="s">
        <v>5195</v>
      </c>
      <c r="W141" s="261" t="s">
        <v>4024</v>
      </c>
      <c r="X141" s="261" t="s">
        <v>5195</v>
      </c>
      <c r="Y141" s="261" t="s">
        <v>502</v>
      </c>
      <c r="Z141" s="261" t="s">
        <v>5197</v>
      </c>
      <c r="AA141" s="261" t="s">
        <v>534</v>
      </c>
    </row>
    <row r="142" ht="14.25" customHeight="1">
      <c r="A142" s="261" t="s">
        <v>2172</v>
      </c>
      <c r="B142" s="261" t="s">
        <v>4717</v>
      </c>
      <c r="C142" s="261" t="s">
        <v>5878</v>
      </c>
      <c r="D142" s="261" t="s">
        <v>1285</v>
      </c>
      <c r="E142" s="261" t="str">
        <f t="array" ref="E142">IFERROR(INDEX(REF_CODES!$B$87:$B$132,MATCH($D142,REF_CODES!$C$87:$C$132,0)),"")</f>
        <v>EVT-PIL</v>
      </c>
      <c r="F142" s="261" t="s">
        <v>5883</v>
      </c>
      <c r="G142" s="285" t="s">
        <v>2208</v>
      </c>
      <c r="H142" s="275" t="s">
        <v>5189</v>
      </c>
      <c r="I142" s="285" t="s">
        <v>5884</v>
      </c>
      <c r="J142" s="285" t="s">
        <v>2208</v>
      </c>
      <c r="K142" s="261" t="s">
        <v>1919</v>
      </c>
      <c r="L142" s="261" t="s">
        <v>2208</v>
      </c>
      <c r="M142" s="261" t="s">
        <v>2208</v>
      </c>
      <c r="N142" s="261" t="s">
        <v>2208</v>
      </c>
      <c r="O142" s="261" t="s">
        <v>2208</v>
      </c>
      <c r="P142" s="261" t="s">
        <v>2208</v>
      </c>
      <c r="Q142" s="261" t="s">
        <v>2208</v>
      </c>
      <c r="R142" s="261" t="s">
        <v>2208</v>
      </c>
      <c r="S142" s="261" t="s">
        <v>4756</v>
      </c>
      <c r="T142" s="261" t="s">
        <v>5887</v>
      </c>
      <c r="U142" s="261" t="s">
        <v>195</v>
      </c>
      <c r="V142" s="261" t="s">
        <v>5195</v>
      </c>
      <c r="W142" s="261" t="s">
        <v>4024</v>
      </c>
      <c r="X142" s="261" t="s">
        <v>5195</v>
      </c>
      <c r="Y142" s="261" t="s">
        <v>502</v>
      </c>
      <c r="Z142" s="261" t="s">
        <v>5197</v>
      </c>
      <c r="AA142" s="261" t="s">
        <v>534</v>
      </c>
    </row>
    <row r="143" ht="14.25" customHeight="1">
      <c r="A143" s="261" t="s">
        <v>2172</v>
      </c>
      <c r="B143" s="261" t="s">
        <v>4717</v>
      </c>
      <c r="C143" s="261" t="s">
        <v>5889</v>
      </c>
      <c r="D143" s="261" t="s">
        <v>1285</v>
      </c>
      <c r="E143" s="261" t="str">
        <f t="array" ref="E143">IFERROR(INDEX(REF_CODES!$B$87:$B$132,MATCH($D143,REF_CODES!$C$87:$C$132,0)),"")</f>
        <v>EVT-PIL</v>
      </c>
      <c r="F143" s="261" t="s">
        <v>5832</v>
      </c>
      <c r="G143" s="285" t="s">
        <v>2208</v>
      </c>
      <c r="H143" s="275" t="s">
        <v>5835</v>
      </c>
      <c r="I143" s="285" t="s">
        <v>5836</v>
      </c>
      <c r="J143" s="285" t="s">
        <v>2208</v>
      </c>
      <c r="K143" s="261" t="s">
        <v>1919</v>
      </c>
      <c r="L143" s="261" t="s">
        <v>2208</v>
      </c>
      <c r="M143" s="261" t="s">
        <v>2208</v>
      </c>
      <c r="N143" s="261" t="s">
        <v>2208</v>
      </c>
      <c r="O143" s="261" t="s">
        <v>2208</v>
      </c>
      <c r="P143" s="261" t="s">
        <v>2208</v>
      </c>
      <c r="Q143" s="261" t="s">
        <v>2208</v>
      </c>
      <c r="R143" s="261" t="s">
        <v>2208</v>
      </c>
      <c r="S143" s="261" t="s">
        <v>4756</v>
      </c>
      <c r="T143" s="261" t="s">
        <v>5895</v>
      </c>
      <c r="U143" s="261" t="s">
        <v>195</v>
      </c>
      <c r="V143" s="261" t="s">
        <v>5195</v>
      </c>
      <c r="W143" s="261" t="s">
        <v>4024</v>
      </c>
      <c r="X143" s="261" t="s">
        <v>5195</v>
      </c>
      <c r="Y143" s="261" t="s">
        <v>502</v>
      </c>
      <c r="Z143" s="261" t="s">
        <v>5197</v>
      </c>
      <c r="AA143" s="261" t="s">
        <v>534</v>
      </c>
    </row>
    <row r="144" ht="14.25" customHeight="1">
      <c r="A144" s="261" t="s">
        <v>2172</v>
      </c>
      <c r="B144" s="261" t="s">
        <v>4717</v>
      </c>
      <c r="C144" s="261" t="s">
        <v>5896</v>
      </c>
      <c r="D144" s="261" t="s">
        <v>1285</v>
      </c>
      <c r="E144" s="261" t="str">
        <f t="array" ref="E144">IFERROR(INDEX(REF_CODES!$B$87:$B$132,MATCH($D144,REF_CODES!$C$87:$C$132,0)),"")</f>
        <v>EVT-PIL</v>
      </c>
      <c r="F144" s="261" t="s">
        <v>5851</v>
      </c>
      <c r="G144" s="285" t="s">
        <v>2208</v>
      </c>
      <c r="H144" s="285" t="s">
        <v>5852</v>
      </c>
      <c r="I144" s="285" t="s">
        <v>5853</v>
      </c>
      <c r="J144" s="285" t="s">
        <v>2208</v>
      </c>
      <c r="K144" s="261" t="s">
        <v>1919</v>
      </c>
      <c r="L144" s="261" t="s">
        <v>2208</v>
      </c>
      <c r="M144" s="261" t="s">
        <v>2208</v>
      </c>
      <c r="N144" s="261" t="s">
        <v>2208</v>
      </c>
      <c r="O144" s="261" t="s">
        <v>2208</v>
      </c>
      <c r="P144" s="261" t="s">
        <v>2208</v>
      </c>
      <c r="Q144" s="261" t="s">
        <v>2208</v>
      </c>
      <c r="R144" s="261" t="s">
        <v>2208</v>
      </c>
      <c r="S144" s="261" t="s">
        <v>4756</v>
      </c>
      <c r="T144" s="261" t="s">
        <v>5903</v>
      </c>
      <c r="U144" s="261" t="s">
        <v>195</v>
      </c>
      <c r="V144" s="261" t="s">
        <v>5195</v>
      </c>
      <c r="W144" s="261" t="s">
        <v>4024</v>
      </c>
      <c r="X144" s="261" t="s">
        <v>5195</v>
      </c>
      <c r="Y144" s="261" t="s">
        <v>502</v>
      </c>
      <c r="Z144" s="261" t="s">
        <v>5197</v>
      </c>
      <c r="AA144" s="261" t="s">
        <v>534</v>
      </c>
    </row>
    <row r="145" ht="14.25" customHeight="1">
      <c r="A145" s="261" t="s">
        <v>2172</v>
      </c>
      <c r="B145" s="261" t="s">
        <v>4717</v>
      </c>
      <c r="C145" s="261" t="s">
        <v>5906</v>
      </c>
      <c r="D145" s="261" t="s">
        <v>1285</v>
      </c>
      <c r="E145" s="261" t="str">
        <f t="array" ref="E145">IFERROR(INDEX(REF_CODES!$B$87:$B$132,MATCH($D145,REF_CODES!$C$87:$C$132,0)),"")</f>
        <v>EVT-PIL</v>
      </c>
      <c r="F145" s="261" t="s">
        <v>5861</v>
      </c>
      <c r="G145" s="285" t="s">
        <v>2208</v>
      </c>
      <c r="H145" s="285" t="s">
        <v>2208</v>
      </c>
      <c r="I145" s="285" t="s">
        <v>5863</v>
      </c>
      <c r="J145" s="285" t="s">
        <v>2208</v>
      </c>
      <c r="K145" s="261" t="s">
        <v>1919</v>
      </c>
      <c r="L145" s="261" t="s">
        <v>2208</v>
      </c>
      <c r="M145" s="261" t="s">
        <v>2208</v>
      </c>
      <c r="N145" s="261" t="s">
        <v>2208</v>
      </c>
      <c r="O145" s="261" t="s">
        <v>2208</v>
      </c>
      <c r="P145" s="261" t="s">
        <v>2208</v>
      </c>
      <c r="Q145" s="261" t="s">
        <v>2208</v>
      </c>
      <c r="R145" s="261" t="s">
        <v>2208</v>
      </c>
      <c r="S145" s="261" t="s">
        <v>4756</v>
      </c>
      <c r="T145" s="261" t="s">
        <v>5911</v>
      </c>
      <c r="U145" s="261" t="s">
        <v>195</v>
      </c>
      <c r="V145" s="261" t="s">
        <v>5195</v>
      </c>
      <c r="W145" s="261" t="s">
        <v>4024</v>
      </c>
      <c r="X145" s="261" t="s">
        <v>5195</v>
      </c>
      <c r="Y145" s="261" t="s">
        <v>502</v>
      </c>
      <c r="Z145" s="261" t="s">
        <v>5197</v>
      </c>
      <c r="AA145" s="261" t="s">
        <v>534</v>
      </c>
    </row>
    <row r="146" ht="14.25" customHeight="1">
      <c r="A146" s="261" t="s">
        <v>2172</v>
      </c>
      <c r="B146" s="261" t="s">
        <v>4717</v>
      </c>
      <c r="C146" s="261" t="s">
        <v>5915</v>
      </c>
      <c r="D146" s="261" t="s">
        <v>1288</v>
      </c>
      <c r="E146" s="261" t="str">
        <f t="array" ref="E146">IFERROR(INDEX(REF_CODES!$B$87:$B$132,MATCH($D146,REF_CODES!$C$87:$C$132,0)),"")</f>
        <v>EVT-FIT</v>
      </c>
      <c r="F146" s="261" t="s">
        <v>5872</v>
      </c>
      <c r="G146" s="285" t="s">
        <v>2208</v>
      </c>
      <c r="H146" s="285" t="s">
        <v>5874</v>
      </c>
      <c r="I146" s="285" t="s">
        <v>5875</v>
      </c>
      <c r="J146" s="285" t="s">
        <v>2208</v>
      </c>
      <c r="K146" s="261" t="s">
        <v>1919</v>
      </c>
      <c r="L146" s="261" t="s">
        <v>2208</v>
      </c>
      <c r="M146" s="261" t="s">
        <v>2208</v>
      </c>
      <c r="N146" s="261" t="s">
        <v>2208</v>
      </c>
      <c r="O146" s="261" t="s">
        <v>2208</v>
      </c>
      <c r="P146" s="261" t="s">
        <v>2208</v>
      </c>
      <c r="Q146" s="261" t="s">
        <v>2208</v>
      </c>
      <c r="R146" s="261" t="s">
        <v>2208</v>
      </c>
      <c r="S146" s="261" t="s">
        <v>4756</v>
      </c>
      <c r="T146" s="261" t="s">
        <v>5918</v>
      </c>
      <c r="U146" s="261" t="s">
        <v>195</v>
      </c>
      <c r="V146" s="261" t="s">
        <v>5195</v>
      </c>
      <c r="W146" s="261" t="s">
        <v>4024</v>
      </c>
      <c r="X146" s="261" t="s">
        <v>5195</v>
      </c>
      <c r="Y146" s="261" t="s">
        <v>502</v>
      </c>
      <c r="Z146" s="261" t="s">
        <v>5197</v>
      </c>
      <c r="AA146" s="261" t="s">
        <v>534</v>
      </c>
    </row>
    <row r="147" ht="14.25" customHeight="1">
      <c r="A147" s="261" t="s">
        <v>2172</v>
      </c>
      <c r="B147" s="261" t="s">
        <v>4717</v>
      </c>
      <c r="C147" s="261" t="s">
        <v>5919</v>
      </c>
      <c r="D147" s="261" t="s">
        <v>1288</v>
      </c>
      <c r="E147" s="261" t="str">
        <f t="array" ref="E147">IFERROR(INDEX(REF_CODES!$B$87:$B$132,MATCH($D147,REF_CODES!$C$87:$C$132,0)),"")</f>
        <v>EVT-FIT</v>
      </c>
      <c r="F147" s="261" t="s">
        <v>5922</v>
      </c>
      <c r="G147" s="285" t="s">
        <v>2208</v>
      </c>
      <c r="H147" s="275" t="s">
        <v>5189</v>
      </c>
      <c r="I147" s="285" t="s">
        <v>5884</v>
      </c>
      <c r="J147" s="285" t="s">
        <v>2208</v>
      </c>
      <c r="K147" s="261" t="s">
        <v>1919</v>
      </c>
      <c r="L147" s="261" t="s">
        <v>2208</v>
      </c>
      <c r="M147" s="261" t="s">
        <v>2208</v>
      </c>
      <c r="N147" s="261" t="s">
        <v>2208</v>
      </c>
      <c r="O147" s="261" t="s">
        <v>2208</v>
      </c>
      <c r="P147" s="261" t="s">
        <v>2208</v>
      </c>
      <c r="Q147" s="261" t="s">
        <v>2208</v>
      </c>
      <c r="R147" s="261" t="s">
        <v>2208</v>
      </c>
      <c r="S147" s="261" t="s">
        <v>4756</v>
      </c>
      <c r="T147" s="261" t="s">
        <v>5924</v>
      </c>
      <c r="U147" s="261" t="s">
        <v>195</v>
      </c>
      <c r="V147" s="261" t="s">
        <v>5195</v>
      </c>
      <c r="W147" s="261" t="s">
        <v>4024</v>
      </c>
      <c r="X147" s="261" t="s">
        <v>5195</v>
      </c>
      <c r="Y147" s="261" t="s">
        <v>502</v>
      </c>
      <c r="Z147" s="261" t="s">
        <v>5197</v>
      </c>
      <c r="AA147" s="261" t="s">
        <v>534</v>
      </c>
    </row>
    <row r="148" ht="14.25" customHeight="1">
      <c r="A148" s="261" t="s">
        <v>2172</v>
      </c>
      <c r="B148" s="261" t="s">
        <v>4717</v>
      </c>
      <c r="C148" s="261" t="s">
        <v>5926</v>
      </c>
      <c r="D148" s="261" t="s">
        <v>1288</v>
      </c>
      <c r="E148" s="261" t="str">
        <f t="array" ref="E148">IFERROR(INDEX(REF_CODES!$B$87:$B$132,MATCH($D148,REF_CODES!$C$87:$C$132,0)),"")</f>
        <v>EVT-FIT</v>
      </c>
      <c r="F148" s="261" t="s">
        <v>5851</v>
      </c>
      <c r="G148" s="285" t="s">
        <v>2208</v>
      </c>
      <c r="H148" s="285" t="s">
        <v>5852</v>
      </c>
      <c r="I148" s="285" t="s">
        <v>5853</v>
      </c>
      <c r="J148" s="285" t="s">
        <v>2208</v>
      </c>
      <c r="K148" s="261" t="s">
        <v>1919</v>
      </c>
      <c r="L148" s="261" t="s">
        <v>2208</v>
      </c>
      <c r="M148" s="261" t="s">
        <v>2208</v>
      </c>
      <c r="N148" s="261" t="s">
        <v>2208</v>
      </c>
      <c r="O148" s="261" t="s">
        <v>2208</v>
      </c>
      <c r="P148" s="261" t="s">
        <v>2208</v>
      </c>
      <c r="Q148" s="261" t="s">
        <v>2208</v>
      </c>
      <c r="R148" s="261" t="s">
        <v>2208</v>
      </c>
      <c r="S148" s="261" t="s">
        <v>4756</v>
      </c>
      <c r="T148" s="261" t="s">
        <v>5937</v>
      </c>
      <c r="U148" s="261" t="s">
        <v>195</v>
      </c>
      <c r="V148" s="261" t="s">
        <v>5195</v>
      </c>
      <c r="W148" s="261" t="s">
        <v>4024</v>
      </c>
      <c r="X148" s="261" t="s">
        <v>5195</v>
      </c>
      <c r="Y148" s="261" t="s">
        <v>502</v>
      </c>
      <c r="Z148" s="261" t="s">
        <v>5197</v>
      </c>
      <c r="AA148" s="261" t="s">
        <v>534</v>
      </c>
    </row>
    <row r="149" ht="14.25" customHeight="1">
      <c r="A149" s="261" t="s">
        <v>2172</v>
      </c>
      <c r="B149" s="261" t="s">
        <v>4717</v>
      </c>
      <c r="C149" s="261" t="s">
        <v>5938</v>
      </c>
      <c r="D149" s="261" t="s">
        <v>1315</v>
      </c>
      <c r="E149" s="261" t="str">
        <f t="array" ref="E149">IFERROR(INDEX(REF_CODES!$B$87:$B$132,MATCH($D149,REF_CODES!$C$87:$C$132,0)),"")</f>
        <v>EVT-JUS</v>
      </c>
      <c r="F149" s="261" t="s">
        <v>5940</v>
      </c>
      <c r="G149" s="285" t="s">
        <v>2208</v>
      </c>
      <c r="H149" s="285" t="s">
        <v>5874</v>
      </c>
      <c r="I149" s="285" t="s">
        <v>5875</v>
      </c>
      <c r="J149" s="285" t="s">
        <v>2208</v>
      </c>
      <c r="K149" s="261" t="s">
        <v>1919</v>
      </c>
      <c r="L149" s="261" t="s">
        <v>2208</v>
      </c>
      <c r="M149" s="261" t="s">
        <v>2208</v>
      </c>
      <c r="N149" s="261" t="s">
        <v>2208</v>
      </c>
      <c r="O149" s="261" t="s">
        <v>2208</v>
      </c>
      <c r="P149" s="261" t="s">
        <v>2208</v>
      </c>
      <c r="Q149" s="261" t="s">
        <v>2208</v>
      </c>
      <c r="R149" s="261" t="s">
        <v>2208</v>
      </c>
      <c r="S149" s="261" t="s">
        <v>4756</v>
      </c>
      <c r="T149" s="261" t="s">
        <v>5942</v>
      </c>
      <c r="U149" s="261" t="s">
        <v>195</v>
      </c>
      <c r="V149" s="261" t="s">
        <v>5195</v>
      </c>
      <c r="W149" s="261" t="s">
        <v>4024</v>
      </c>
      <c r="X149" s="261" t="s">
        <v>5195</v>
      </c>
      <c r="Y149" s="261" t="s">
        <v>502</v>
      </c>
      <c r="Z149" s="261" t="s">
        <v>5197</v>
      </c>
      <c r="AA149" s="261" t="s">
        <v>534</v>
      </c>
    </row>
    <row r="150" ht="14.25" customHeight="1">
      <c r="A150" s="261" t="s">
        <v>2172</v>
      </c>
      <c r="B150" s="261" t="s">
        <v>4717</v>
      </c>
      <c r="C150" s="261" t="s">
        <v>5943</v>
      </c>
      <c r="D150" s="261" t="s">
        <v>1210</v>
      </c>
      <c r="E150" s="261" t="str">
        <f t="array" ref="E150">IFERROR(INDEX(REF_CODES!$B$87:$B$132,MATCH($D150,REF_CODES!$C$87:$C$132,0)),"")</f>
        <v>EVT-DAN</v>
      </c>
      <c r="F150" s="261" t="s">
        <v>5478</v>
      </c>
      <c r="G150" s="285" t="s">
        <v>2208</v>
      </c>
      <c r="H150" s="275" t="s">
        <v>5024</v>
      </c>
      <c r="I150" s="285" t="s">
        <v>5480</v>
      </c>
      <c r="J150" s="285" t="s">
        <v>2208</v>
      </c>
      <c r="K150" s="261" t="s">
        <v>1919</v>
      </c>
      <c r="L150" s="261" t="s">
        <v>2208</v>
      </c>
      <c r="M150" s="261" t="s">
        <v>2208</v>
      </c>
      <c r="N150" s="261" t="s">
        <v>2208</v>
      </c>
      <c r="O150" s="261" t="s">
        <v>2208</v>
      </c>
      <c r="P150" s="261" t="s">
        <v>2208</v>
      </c>
      <c r="Q150" s="261" t="s">
        <v>2208</v>
      </c>
      <c r="R150" s="261" t="s">
        <v>2208</v>
      </c>
      <c r="S150" s="261" t="s">
        <v>4756</v>
      </c>
      <c r="T150" s="261" t="s">
        <v>5945</v>
      </c>
      <c r="U150" s="261" t="s">
        <v>195</v>
      </c>
      <c r="V150" s="261" t="s">
        <v>5195</v>
      </c>
      <c r="W150" s="261" t="s">
        <v>4024</v>
      </c>
      <c r="X150" s="261" t="s">
        <v>5195</v>
      </c>
      <c r="Y150" s="261" t="s">
        <v>502</v>
      </c>
      <c r="Z150" s="261" t="s">
        <v>5197</v>
      </c>
      <c r="AA150" s="261" t="s">
        <v>534</v>
      </c>
    </row>
    <row r="151" ht="14.25" customHeight="1">
      <c r="A151" s="261" t="s">
        <v>2172</v>
      </c>
      <c r="B151" s="261" t="s">
        <v>4717</v>
      </c>
      <c r="C151" s="261" t="s">
        <v>5949</v>
      </c>
      <c r="D151" s="261" t="s">
        <v>1217</v>
      </c>
      <c r="E151" s="261" t="str">
        <f t="array" ref="E151">IFERROR(INDEX(REF_CODES!$B$87:$B$132,MATCH($D151,REF_CODES!$C$87:$C$132,0)),"")</f>
        <v>EVT-ANI</v>
      </c>
      <c r="F151" s="261" t="s">
        <v>5478</v>
      </c>
      <c r="G151" s="285" t="s">
        <v>2208</v>
      </c>
      <c r="H151" s="275" t="s">
        <v>5024</v>
      </c>
      <c r="I151" s="285" t="s">
        <v>5480</v>
      </c>
      <c r="J151" s="285" t="s">
        <v>2208</v>
      </c>
      <c r="K151" s="261" t="s">
        <v>1919</v>
      </c>
      <c r="L151" s="261" t="s">
        <v>2208</v>
      </c>
      <c r="M151" s="261" t="s">
        <v>2208</v>
      </c>
      <c r="N151" s="261" t="s">
        <v>2208</v>
      </c>
      <c r="O151" s="261" t="s">
        <v>2208</v>
      </c>
      <c r="P151" s="261" t="s">
        <v>2208</v>
      </c>
      <c r="Q151" s="261" t="s">
        <v>2208</v>
      </c>
      <c r="R151" s="261" t="s">
        <v>2208</v>
      </c>
      <c r="S151" s="261" t="s">
        <v>4756</v>
      </c>
      <c r="T151" s="261" t="s">
        <v>5957</v>
      </c>
      <c r="U151" s="261" t="s">
        <v>195</v>
      </c>
      <c r="V151" s="261" t="s">
        <v>5195</v>
      </c>
      <c r="W151" s="261" t="s">
        <v>4024</v>
      </c>
      <c r="X151" s="261" t="s">
        <v>5195</v>
      </c>
      <c r="Y151" s="261" t="s">
        <v>502</v>
      </c>
      <c r="Z151" s="261" t="s">
        <v>5197</v>
      </c>
      <c r="AA151" s="261" t="s">
        <v>534</v>
      </c>
    </row>
    <row r="152" ht="14.25" customHeight="1">
      <c r="A152" s="261" t="s">
        <v>2172</v>
      </c>
      <c r="B152" s="261" t="s">
        <v>4717</v>
      </c>
      <c r="C152" s="261" t="s">
        <v>5959</v>
      </c>
      <c r="D152" s="261" t="s">
        <v>1223</v>
      </c>
      <c r="E152" s="261" t="str">
        <f t="array" ref="E152">IFERROR(INDEX(REF_CODES!$B$87:$B$132,MATCH($D152,REF_CODES!$C$87:$C$132,0)),"")</f>
        <v>EVT-MAS</v>
      </c>
      <c r="F152" s="261" t="s">
        <v>5478</v>
      </c>
      <c r="G152" s="285" t="s">
        <v>2208</v>
      </c>
      <c r="H152" s="275" t="s">
        <v>5024</v>
      </c>
      <c r="I152" s="285" t="s">
        <v>5480</v>
      </c>
      <c r="J152" s="285" t="s">
        <v>2208</v>
      </c>
      <c r="K152" s="261" t="s">
        <v>1919</v>
      </c>
      <c r="L152" s="261" t="s">
        <v>2208</v>
      </c>
      <c r="M152" s="261" t="s">
        <v>2208</v>
      </c>
      <c r="N152" s="261" t="s">
        <v>2208</v>
      </c>
      <c r="O152" s="261" t="s">
        <v>2208</v>
      </c>
      <c r="P152" s="261" t="s">
        <v>2208</v>
      </c>
      <c r="Q152" s="261" t="s">
        <v>2208</v>
      </c>
      <c r="R152" s="261" t="s">
        <v>2208</v>
      </c>
      <c r="S152" s="261" t="s">
        <v>4756</v>
      </c>
      <c r="T152" s="261" t="s">
        <v>5962</v>
      </c>
      <c r="U152" s="261" t="s">
        <v>195</v>
      </c>
      <c r="V152" s="261" t="s">
        <v>5195</v>
      </c>
      <c r="W152" s="261" t="s">
        <v>4024</v>
      </c>
      <c r="X152" s="261" t="s">
        <v>5195</v>
      </c>
      <c r="Y152" s="261" t="s">
        <v>502</v>
      </c>
      <c r="Z152" s="261" t="s">
        <v>5197</v>
      </c>
      <c r="AA152" s="261" t="s">
        <v>534</v>
      </c>
    </row>
    <row r="153" ht="14.25" customHeight="1">
      <c r="D153" s="13"/>
      <c r="E153" s="13" t="str">
        <f t="array" ref="E153">IFERROR(INDEX(REF_CODES!$B$87:$B$132,MATCH($D153,REF_CODES!$C$87:$C$132,0)),"")</f>
        <v/>
      </c>
      <c r="S153" s="13"/>
    </row>
    <row r="154" ht="14.25" customHeight="1">
      <c r="D154" s="13"/>
      <c r="E154" s="13" t="str">
        <f t="array" ref="E154">IFERROR(INDEX(REF_CODES!$B$87:$B$132,MATCH($D154,REF_CODES!$C$87:$C$132,0)),"")</f>
        <v/>
      </c>
      <c r="S154" s="13"/>
    </row>
    <row r="155" ht="14.25" customHeight="1">
      <c r="D155" s="13"/>
      <c r="E155" s="13" t="str">
        <f t="array" ref="E155">IFERROR(INDEX(REF_CODES!$B$87:$B$132,MATCH($D155,REF_CODES!$C$87:$C$132,0)),"")</f>
        <v/>
      </c>
      <c r="S155" s="13"/>
    </row>
    <row r="156" ht="14.25" customHeight="1">
      <c r="D156" s="13"/>
      <c r="E156" s="13" t="str">
        <f t="array" ref="E156">IFERROR(INDEX(REF_CODES!$B$87:$B$132,MATCH($D156,REF_CODES!$C$87:$C$132,0)),"")</f>
        <v/>
      </c>
      <c r="S156" s="13"/>
    </row>
    <row r="157" ht="14.25" customHeight="1">
      <c r="D157" s="13"/>
      <c r="E157" s="13" t="str">
        <f t="array" ref="E157">IFERROR(INDEX(REF_CODES!$B$87:$B$132,MATCH($D157,REF_CODES!$C$87:$C$132,0)),"")</f>
        <v/>
      </c>
      <c r="S157" s="13"/>
    </row>
    <row r="158" ht="14.25" customHeight="1">
      <c r="D158" s="13"/>
      <c r="E158" s="13" t="str">
        <f t="array" ref="E158">IFERROR(INDEX(REF_CODES!$B$87:$B$132,MATCH($D158,REF_CODES!$C$87:$C$132,0)),"")</f>
        <v/>
      </c>
      <c r="S158" s="13"/>
    </row>
    <row r="159" ht="14.25" customHeight="1">
      <c r="D159" s="13"/>
      <c r="E159" s="13" t="str">
        <f t="array" ref="E159">IFERROR(INDEX(REF_CODES!$B$87:$B$132,MATCH($D159,REF_CODES!$C$87:$C$132,0)),"")</f>
        <v/>
      </c>
      <c r="S159" s="13"/>
    </row>
    <row r="160" ht="14.25" customHeight="1">
      <c r="D160" s="13"/>
      <c r="E160" s="13" t="str">
        <f t="array" ref="E160">IFERROR(INDEX(REF_CODES!$B$87:$B$132,MATCH($D160,REF_CODES!$C$87:$C$132,0)),"")</f>
        <v/>
      </c>
      <c r="S160" s="13"/>
    </row>
    <row r="161" ht="14.25" customHeight="1">
      <c r="D161" s="13"/>
      <c r="E161" s="13" t="str">
        <f t="array" ref="E161">IFERROR(INDEX(REF_CODES!$B$87:$B$132,MATCH($D161,REF_CODES!$C$87:$C$132,0)),"")</f>
        <v/>
      </c>
      <c r="S161" s="13"/>
    </row>
    <row r="162" ht="14.25" customHeight="1">
      <c r="D162" s="13"/>
      <c r="E162" s="13" t="str">
        <f t="array" ref="E162">IFERROR(INDEX(REF_CODES!$B$87:$B$132,MATCH($D162,REF_CODES!$C$87:$C$132,0)),"")</f>
        <v/>
      </c>
      <c r="S162" s="13"/>
    </row>
    <row r="163" ht="14.25" customHeight="1">
      <c r="D163" s="13"/>
      <c r="E163" s="13" t="str">
        <f t="array" ref="E163">IFERROR(INDEX(REF_CODES!$B$87:$B$132,MATCH($D163,REF_CODES!$C$87:$C$132,0)),"")</f>
        <v/>
      </c>
      <c r="S163" s="13"/>
    </row>
    <row r="164" ht="14.25" customHeight="1">
      <c r="D164" s="13"/>
      <c r="E164" s="13" t="str">
        <f t="array" ref="E164">IFERROR(INDEX(REF_CODES!$B$87:$B$132,MATCH($D164,REF_CODES!$C$87:$C$132,0)),"")</f>
        <v/>
      </c>
      <c r="S164" s="13"/>
    </row>
    <row r="165" ht="14.25" customHeight="1">
      <c r="D165" s="13"/>
      <c r="E165" s="13" t="str">
        <f t="array" ref="E165">IFERROR(INDEX(REF_CODES!$B$87:$B$132,MATCH($D165,REF_CODES!$C$87:$C$132,0)),"")</f>
        <v/>
      </c>
      <c r="S165" s="13"/>
    </row>
    <row r="166" ht="14.25" customHeight="1">
      <c r="D166" s="13"/>
      <c r="E166" s="13" t="str">
        <f t="array" ref="E166">IFERROR(INDEX(REF_CODES!$B$87:$B$132,MATCH($D166,REF_CODES!$C$87:$C$132,0)),"")</f>
        <v/>
      </c>
      <c r="S166" s="13"/>
    </row>
    <row r="167" ht="14.25" customHeight="1">
      <c r="D167" s="13"/>
      <c r="E167" s="13" t="str">
        <f t="array" ref="E167">IFERROR(INDEX(REF_CODES!$B$87:$B$132,MATCH($D167,REF_CODES!$C$87:$C$132,0)),"")</f>
        <v/>
      </c>
      <c r="S167" s="13"/>
    </row>
    <row r="168" ht="14.25" customHeight="1">
      <c r="D168" s="13"/>
      <c r="E168" s="13" t="str">
        <f t="array" ref="E168">IFERROR(INDEX(REF_CODES!$B$87:$B$132,MATCH($D168,REF_CODES!$C$87:$C$132,0)),"")</f>
        <v/>
      </c>
      <c r="S168" s="13"/>
    </row>
    <row r="169" ht="14.25" customHeight="1">
      <c r="D169" s="13"/>
      <c r="E169" s="13" t="str">
        <f t="array" ref="E169">IFERROR(INDEX(REF_CODES!$B$87:$B$132,MATCH($D169,REF_CODES!$C$87:$C$132,0)),"")</f>
        <v/>
      </c>
      <c r="S169" s="13"/>
    </row>
    <row r="170" ht="14.25" customHeight="1">
      <c r="D170" s="13"/>
      <c r="E170" s="13" t="str">
        <f t="array" ref="E170">IFERROR(INDEX(REF_CODES!$B$87:$B$132,MATCH($D170,REF_CODES!$C$87:$C$132,0)),"")</f>
        <v/>
      </c>
      <c r="S170" s="13"/>
    </row>
    <row r="171" ht="14.25" customHeight="1">
      <c r="D171" s="13"/>
      <c r="E171" s="13" t="str">
        <f t="array" ref="E171">IFERROR(INDEX(REF_CODES!$B$87:$B$132,MATCH($D171,REF_CODES!$C$87:$C$132,0)),"")</f>
        <v/>
      </c>
      <c r="S171" s="13"/>
    </row>
    <row r="172" ht="14.25" customHeight="1">
      <c r="D172" s="13"/>
      <c r="E172" s="13" t="str">
        <f t="array" ref="E172">IFERROR(INDEX(REF_CODES!$B$87:$B$132,MATCH($D172,REF_CODES!$C$87:$C$132,0)),"")</f>
        <v/>
      </c>
      <c r="S172" s="13"/>
    </row>
    <row r="173" ht="14.25" customHeight="1">
      <c r="D173" s="13"/>
      <c r="E173" s="13" t="str">
        <f t="array" ref="E173">IFERROR(INDEX(REF_CODES!$B$87:$B$132,MATCH($D173,REF_CODES!$C$87:$C$132,0)),"")</f>
        <v/>
      </c>
      <c r="S173" s="13"/>
    </row>
    <row r="174" ht="14.25" customHeight="1">
      <c r="D174" s="13"/>
      <c r="E174" s="13" t="str">
        <f t="array" ref="E174">IFERROR(INDEX(REF_CODES!$B$87:$B$132,MATCH($D174,REF_CODES!$C$87:$C$132,0)),"")</f>
        <v/>
      </c>
      <c r="S174" s="13"/>
    </row>
    <row r="175" ht="14.25" customHeight="1">
      <c r="D175" s="13"/>
      <c r="E175" s="13" t="str">
        <f t="array" ref="E175">IFERROR(INDEX(REF_CODES!$B$87:$B$132,MATCH($D175,REF_CODES!$C$87:$C$132,0)),"")</f>
        <v/>
      </c>
      <c r="S175" s="13"/>
    </row>
    <row r="176" ht="14.25" customHeight="1">
      <c r="D176" s="13"/>
      <c r="E176" s="13" t="str">
        <f t="array" ref="E176">IFERROR(INDEX(REF_CODES!$B$87:$B$132,MATCH($D176,REF_CODES!$C$87:$C$132,0)),"")</f>
        <v/>
      </c>
      <c r="S176" s="13"/>
    </row>
    <row r="177" ht="14.25" customHeight="1">
      <c r="D177" s="13"/>
      <c r="E177" s="13" t="str">
        <f t="array" ref="E177">IFERROR(INDEX(REF_CODES!$B$87:$B$132,MATCH($D177,REF_CODES!$C$87:$C$132,0)),"")</f>
        <v/>
      </c>
      <c r="S177" s="13"/>
    </row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A$2">
    <sortState ref="A2:AA2">
      <sortCondition ref="C2"/>
    </sortState>
  </autoFilter>
  <mergeCells count="1">
    <mergeCell ref="B1:T1"/>
  </mergeCells>
  <dataValidations>
    <dataValidation type="list" allowBlank="1" showErrorMessage="1" sqref="D3:D52">
      <formula1>REF_CODES!$C$87:$C$132</formula1>
    </dataValidation>
    <dataValidation type="list" allowBlank="1" showErrorMessage="1" sqref="S3:S102">
      <formula1>"Non contacté,Contact identifié,Échange réalisé,Relance 1,Relance 2,Convention envoyée,Convention signée,Actif SOLÝ"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3" width="17.75"/>
    <col customWidth="1" min="4" max="4" width="21.0"/>
    <col customWidth="1" min="5" max="7" width="17.75"/>
    <col customWidth="1" min="8" max="8" width="18.0"/>
    <col customWidth="1" min="9" max="12" width="17.75"/>
    <col customWidth="1" min="13" max="13" width="18.0"/>
    <col customWidth="1" min="14" max="16" width="17.75"/>
    <col customWidth="1" min="17" max="17" width="19.0"/>
    <col customWidth="1" min="18" max="19" width="17.75"/>
    <col customWidth="1" min="20" max="20" width="23.0"/>
    <col customWidth="1" min="21" max="22" width="17.75"/>
    <col customWidth="1" min="23" max="23" width="25.0"/>
    <col customWidth="1" min="24" max="25" width="17.75"/>
    <col customWidth="1" min="26" max="39" width="20.0"/>
    <col customWidth="1" min="40" max="41" width="26.63"/>
  </cols>
  <sheetData>
    <row r="1" ht="15.0" customHeight="1">
      <c r="A1" s="6"/>
      <c r="B1" s="230" t="s">
        <v>5722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4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42.0" customHeight="1">
      <c r="A2" s="231" t="s">
        <v>2134</v>
      </c>
      <c r="B2" s="231" t="s">
        <v>2136</v>
      </c>
      <c r="C2" s="231" t="s">
        <v>2137</v>
      </c>
      <c r="D2" s="231" t="s">
        <v>2152</v>
      </c>
      <c r="E2" s="231" t="s">
        <v>8</v>
      </c>
      <c r="F2" s="231" t="s">
        <v>5739</v>
      </c>
      <c r="G2" s="231" t="s">
        <v>4695</v>
      </c>
      <c r="H2" s="231" t="s">
        <v>4697</v>
      </c>
      <c r="I2" s="231" t="s">
        <v>5743</v>
      </c>
      <c r="J2" s="231" t="s">
        <v>4700</v>
      </c>
      <c r="K2" s="231" t="s">
        <v>5745</v>
      </c>
      <c r="L2" s="231" t="s">
        <v>5746</v>
      </c>
      <c r="M2" s="231" t="s">
        <v>5747</v>
      </c>
      <c r="N2" s="231" t="s">
        <v>5749</v>
      </c>
      <c r="O2" s="231" t="s">
        <v>5751</v>
      </c>
      <c r="P2" s="231" t="s">
        <v>5752</v>
      </c>
      <c r="Q2" s="231" t="s">
        <v>5753</v>
      </c>
      <c r="R2" s="231" t="s">
        <v>5754</v>
      </c>
      <c r="S2" s="231" t="s">
        <v>5756</v>
      </c>
      <c r="T2" s="231" t="s">
        <v>5757</v>
      </c>
      <c r="U2" s="231" t="s">
        <v>5759</v>
      </c>
      <c r="V2" s="231" t="s">
        <v>5760</v>
      </c>
      <c r="W2" s="231" t="s">
        <v>5762</v>
      </c>
      <c r="X2" s="231" t="s">
        <v>4713</v>
      </c>
      <c r="Y2" s="231" t="s">
        <v>2135</v>
      </c>
      <c r="Z2" s="231" t="s">
        <v>2185</v>
      </c>
      <c r="AA2" s="231" t="s">
        <v>2150</v>
      </c>
      <c r="AB2" s="231" t="s">
        <v>2186</v>
      </c>
      <c r="AC2" s="231" t="s">
        <v>5767</v>
      </c>
      <c r="AD2" s="231" t="s">
        <v>5769</v>
      </c>
      <c r="AE2" s="231" t="s">
        <v>2160</v>
      </c>
      <c r="AF2" s="231" t="s">
        <v>4714</v>
      </c>
      <c r="AG2" s="231" t="s">
        <v>2246</v>
      </c>
      <c r="AH2" s="231" t="s">
        <v>2158</v>
      </c>
      <c r="AI2" s="231" t="s">
        <v>2159</v>
      </c>
      <c r="AJ2" s="231" t="s">
        <v>27</v>
      </c>
      <c r="AK2" s="231" t="s">
        <v>2162</v>
      </c>
      <c r="AL2" s="231" t="s">
        <v>2188</v>
      </c>
      <c r="AM2" s="231" t="s">
        <v>2163</v>
      </c>
      <c r="AN2" s="234" t="s">
        <v>2165</v>
      </c>
      <c r="AO2" s="234" t="s">
        <v>2168</v>
      </c>
    </row>
    <row r="3" ht="14.25" customHeight="1">
      <c r="A3" s="5" t="s">
        <v>1919</v>
      </c>
      <c r="B3" s="5" t="s">
        <v>5777</v>
      </c>
      <c r="C3" s="5" t="s">
        <v>5778</v>
      </c>
      <c r="D3" s="5" t="s">
        <v>1568</v>
      </c>
      <c r="E3" s="5" t="str">
        <f t="array" ref="E3">IFERROR(INDEX(REF_CODES!$B$142:$B$157,MATCH($D3,REF_CODES!$C$142:$C$157,0)),"")</f>
        <v>EP-VIL</v>
      </c>
      <c r="F3" s="5" t="s">
        <v>5231</v>
      </c>
      <c r="G3" s="5" t="s">
        <v>4782</v>
      </c>
      <c r="H3" s="252" t="s">
        <v>5792</v>
      </c>
      <c r="I3" s="5" t="s">
        <v>5793</v>
      </c>
      <c r="J3" s="252" t="s">
        <v>2208</v>
      </c>
      <c r="K3" s="5" t="s">
        <v>5796</v>
      </c>
      <c r="L3" s="5" t="s">
        <v>2511</v>
      </c>
      <c r="M3" s="252" t="s">
        <v>5797</v>
      </c>
      <c r="N3" s="252" t="s">
        <v>5799</v>
      </c>
      <c r="O3" s="252" t="s">
        <v>5799</v>
      </c>
      <c r="P3" s="5" t="s">
        <v>5801</v>
      </c>
      <c r="Q3" s="5" t="s">
        <v>5801</v>
      </c>
      <c r="R3" s="5">
        <v>52.0</v>
      </c>
      <c r="S3" s="5">
        <v>10000.0</v>
      </c>
      <c r="T3" s="5" t="s">
        <v>5803</v>
      </c>
      <c r="U3" s="5" t="s">
        <v>5805</v>
      </c>
      <c r="V3" s="5" t="s">
        <v>5806</v>
      </c>
      <c r="W3" s="5">
        <v>8500.0</v>
      </c>
      <c r="X3" s="5" t="s">
        <v>5214</v>
      </c>
      <c r="Y3" s="5" t="s">
        <v>5809</v>
      </c>
      <c r="Z3" s="5" t="s">
        <v>195</v>
      </c>
      <c r="AA3" s="5" t="s">
        <v>90</v>
      </c>
      <c r="AB3" s="5" t="s">
        <v>3320</v>
      </c>
      <c r="AC3" s="5"/>
      <c r="AD3" s="5" t="s">
        <v>3320</v>
      </c>
      <c r="AE3" s="5" t="s">
        <v>3034</v>
      </c>
      <c r="AF3" s="5" t="s">
        <v>5811</v>
      </c>
      <c r="AG3" s="5" t="s">
        <v>1847</v>
      </c>
      <c r="AH3" s="5" t="s">
        <v>469</v>
      </c>
      <c r="AI3" s="5" t="s">
        <v>503</v>
      </c>
      <c r="AJ3" s="5" t="s">
        <v>4763</v>
      </c>
      <c r="AK3" s="5" t="s">
        <v>226</v>
      </c>
      <c r="AL3" s="5" t="s">
        <v>5815</v>
      </c>
      <c r="AM3" s="252" t="s">
        <v>5816</v>
      </c>
      <c r="AN3" s="13"/>
      <c r="AO3" s="13"/>
    </row>
    <row r="4" ht="14.25" customHeight="1">
      <c r="A4" s="5" t="s">
        <v>1919</v>
      </c>
      <c r="B4" s="5" t="s">
        <v>5777</v>
      </c>
      <c r="C4" s="5" t="s">
        <v>5819</v>
      </c>
      <c r="D4" s="5" t="s">
        <v>1568</v>
      </c>
      <c r="E4" s="5" t="str">
        <f t="array" ref="E4">IFERROR(INDEX(REF_CODES!$B$142:$B$157,MATCH($D4,REF_CODES!$C$142:$C$157,0)),"")</f>
        <v>EP-VIL</v>
      </c>
      <c r="F4" s="5" t="s">
        <v>5829</v>
      </c>
      <c r="G4" s="5" t="s">
        <v>4782</v>
      </c>
      <c r="H4" s="252" t="s">
        <v>5792</v>
      </c>
      <c r="I4" s="5" t="s">
        <v>5831</v>
      </c>
      <c r="J4" s="252" t="s">
        <v>2208</v>
      </c>
      <c r="K4" s="5" t="s">
        <v>5833</v>
      </c>
      <c r="L4" s="5" t="s">
        <v>1229</v>
      </c>
      <c r="M4" s="252" t="s">
        <v>5837</v>
      </c>
      <c r="N4" s="252" t="s">
        <v>5799</v>
      </c>
      <c r="O4" s="252" t="s">
        <v>5799</v>
      </c>
      <c r="P4" s="5" t="s">
        <v>5801</v>
      </c>
      <c r="Q4" s="5" t="s">
        <v>5801</v>
      </c>
      <c r="R4" s="5">
        <v>52.0</v>
      </c>
      <c r="S4" s="5" t="s">
        <v>5801</v>
      </c>
      <c r="T4" s="5" t="s">
        <v>5803</v>
      </c>
      <c r="U4" s="5" t="s">
        <v>5805</v>
      </c>
      <c r="V4" s="5" t="s">
        <v>5806</v>
      </c>
      <c r="W4" s="5" t="s">
        <v>3034</v>
      </c>
      <c r="X4" s="5" t="s">
        <v>5214</v>
      </c>
      <c r="Y4" s="5" t="s">
        <v>5845</v>
      </c>
      <c r="Z4" s="5" t="s">
        <v>195</v>
      </c>
      <c r="AA4" s="5" t="s">
        <v>90</v>
      </c>
      <c r="AB4" s="5" t="s">
        <v>3320</v>
      </c>
      <c r="AC4" s="5"/>
      <c r="AD4" s="5" t="s">
        <v>3320</v>
      </c>
      <c r="AE4" s="5" t="s">
        <v>3034</v>
      </c>
      <c r="AF4" s="5" t="s">
        <v>5848</v>
      </c>
      <c r="AG4" s="5" t="s">
        <v>1847</v>
      </c>
      <c r="AH4" s="5" t="s">
        <v>469</v>
      </c>
      <c r="AI4" s="5" t="s">
        <v>503</v>
      </c>
      <c r="AJ4" s="5" t="s">
        <v>4183</v>
      </c>
      <c r="AK4" s="5" t="s">
        <v>226</v>
      </c>
      <c r="AL4" s="5" t="s">
        <v>5815</v>
      </c>
      <c r="AM4" s="252" t="s">
        <v>5816</v>
      </c>
      <c r="AN4" s="13"/>
      <c r="AO4" s="13"/>
    </row>
    <row r="5" ht="14.25" customHeight="1">
      <c r="A5" s="5" t="s">
        <v>1919</v>
      </c>
      <c r="B5" s="5" t="s">
        <v>5777</v>
      </c>
      <c r="C5" s="5" t="s">
        <v>5856</v>
      </c>
      <c r="D5" s="5" t="s">
        <v>1568</v>
      </c>
      <c r="E5" s="5" t="str">
        <f t="array" ref="E5">IFERROR(INDEX(REF_CODES!$B$142:$B$157,MATCH($D5,REF_CODES!$C$142:$C$157,0)),"")</f>
        <v>EP-VIL</v>
      </c>
      <c r="F5" s="5" t="s">
        <v>5870</v>
      </c>
      <c r="G5" s="252" t="s">
        <v>4783</v>
      </c>
      <c r="H5" s="275" t="s">
        <v>5185</v>
      </c>
      <c r="I5" s="5" t="s">
        <v>5873</v>
      </c>
      <c r="J5" s="252" t="s">
        <v>2208</v>
      </c>
      <c r="K5" s="5" t="s">
        <v>2757</v>
      </c>
      <c r="L5" s="5" t="s">
        <v>1229</v>
      </c>
      <c r="M5" s="252" t="s">
        <v>5877</v>
      </c>
      <c r="N5" s="252" t="s">
        <v>5799</v>
      </c>
      <c r="O5" s="252" t="s">
        <v>5799</v>
      </c>
      <c r="P5" s="5" t="s">
        <v>5801</v>
      </c>
      <c r="Q5" s="5" t="s">
        <v>5801</v>
      </c>
      <c r="R5" s="5">
        <v>16.0</v>
      </c>
      <c r="S5" s="5">
        <v>800.0</v>
      </c>
      <c r="T5" s="5" t="s">
        <v>5803</v>
      </c>
      <c r="U5" s="5" t="s">
        <v>5805</v>
      </c>
      <c r="V5" s="5" t="s">
        <v>5806</v>
      </c>
      <c r="W5" s="5" t="s">
        <v>3034</v>
      </c>
      <c r="X5" s="5" t="s">
        <v>4817</v>
      </c>
      <c r="Y5" s="5" t="s">
        <v>5882</v>
      </c>
      <c r="Z5" s="5" t="s">
        <v>195</v>
      </c>
      <c r="AA5" s="5" t="s">
        <v>90</v>
      </c>
      <c r="AB5" s="5" t="s">
        <v>3320</v>
      </c>
      <c r="AC5" s="5"/>
      <c r="AD5" s="5" t="s">
        <v>3320</v>
      </c>
      <c r="AE5" s="5" t="s">
        <v>3034</v>
      </c>
      <c r="AF5" s="5" t="s">
        <v>5885</v>
      </c>
      <c r="AG5" s="5" t="s">
        <v>1847</v>
      </c>
      <c r="AH5" s="5" t="s">
        <v>469</v>
      </c>
      <c r="AI5" s="5" t="s">
        <v>503</v>
      </c>
      <c r="AJ5" s="5" t="s">
        <v>2434</v>
      </c>
      <c r="AK5" s="5" t="s">
        <v>226</v>
      </c>
      <c r="AL5" s="5" t="s">
        <v>5815</v>
      </c>
      <c r="AM5" s="252" t="s">
        <v>5816</v>
      </c>
      <c r="AN5" s="13"/>
      <c r="AO5" s="13"/>
    </row>
    <row r="6" ht="14.25" customHeight="1">
      <c r="A6" s="5" t="s">
        <v>1919</v>
      </c>
      <c r="B6" s="5" t="s">
        <v>5777</v>
      </c>
      <c r="C6" s="5" t="s">
        <v>5893</v>
      </c>
      <c r="D6" s="5" t="s">
        <v>1580</v>
      </c>
      <c r="E6" s="5" t="str">
        <f t="array" ref="E6">IFERROR(INDEX(REF_CODES!$B$142:$B$157,MATCH($D6,REF_CODES!$C$142:$C$157,0)),"")</f>
        <v>EP-DOM</v>
      </c>
      <c r="F6" s="5" t="s">
        <v>5899</v>
      </c>
      <c r="G6" s="252" t="s">
        <v>4783</v>
      </c>
      <c r="H6" s="252" t="s">
        <v>4783</v>
      </c>
      <c r="I6" s="5" t="s">
        <v>5900</v>
      </c>
      <c r="J6" s="252" t="s">
        <v>2208</v>
      </c>
      <c r="K6" s="5" t="s">
        <v>5904</v>
      </c>
      <c r="L6" s="5" t="s">
        <v>1229</v>
      </c>
      <c r="M6" s="252" t="s">
        <v>5905</v>
      </c>
      <c r="N6" s="252" t="s">
        <v>5799</v>
      </c>
      <c r="O6" s="252" t="s">
        <v>5799</v>
      </c>
      <c r="P6" s="5" t="s">
        <v>5801</v>
      </c>
      <c r="Q6" s="5" t="s">
        <v>5801</v>
      </c>
      <c r="R6" s="5">
        <v>48.0</v>
      </c>
      <c r="S6" s="5" t="s">
        <v>5801</v>
      </c>
      <c r="T6" s="5" t="s">
        <v>5803</v>
      </c>
      <c r="U6" s="5" t="s">
        <v>5805</v>
      </c>
      <c r="V6" s="5" t="s">
        <v>5806</v>
      </c>
      <c r="W6" s="5" t="s">
        <v>3034</v>
      </c>
      <c r="X6" s="5" t="s">
        <v>4817</v>
      </c>
      <c r="Y6" s="5" t="s">
        <v>5913</v>
      </c>
      <c r="Z6" s="5" t="s">
        <v>195</v>
      </c>
      <c r="AA6" s="5" t="s">
        <v>90</v>
      </c>
      <c r="AB6" s="5" t="s">
        <v>3320</v>
      </c>
      <c r="AC6" s="5"/>
      <c r="AD6" s="5" t="s">
        <v>3320</v>
      </c>
      <c r="AE6" s="5" t="s">
        <v>3034</v>
      </c>
      <c r="AF6" s="5" t="s">
        <v>5916</v>
      </c>
      <c r="AG6" s="5" t="s">
        <v>1847</v>
      </c>
      <c r="AH6" s="5" t="s">
        <v>469</v>
      </c>
      <c r="AI6" s="5" t="s">
        <v>503</v>
      </c>
      <c r="AJ6" s="5" t="s">
        <v>5033</v>
      </c>
      <c r="AK6" s="5" t="s">
        <v>226</v>
      </c>
      <c r="AL6" s="5" t="s">
        <v>5815</v>
      </c>
      <c r="AM6" s="252" t="s">
        <v>5816</v>
      </c>
      <c r="AN6" s="13"/>
      <c r="AO6" s="13"/>
    </row>
    <row r="7" ht="14.25" customHeight="1">
      <c r="A7" s="5" t="s">
        <v>1919</v>
      </c>
      <c r="B7" s="5" t="s">
        <v>5777</v>
      </c>
      <c r="C7" s="5" t="s">
        <v>5920</v>
      </c>
      <c r="D7" s="5" t="s">
        <v>1580</v>
      </c>
      <c r="E7" s="5" t="str">
        <f t="array" ref="E7">IFERROR(INDEX(REF_CODES!$B$142:$B$157,MATCH($D7,REF_CODES!$C$142:$C$157,0)),"")</f>
        <v>EP-DOM</v>
      </c>
      <c r="F7" s="5" t="s">
        <v>5927</v>
      </c>
      <c r="G7" s="252" t="s">
        <v>5930</v>
      </c>
      <c r="H7" s="252" t="s">
        <v>5932</v>
      </c>
      <c r="I7" s="5" t="s">
        <v>5933</v>
      </c>
      <c r="J7" s="252" t="s">
        <v>2208</v>
      </c>
      <c r="K7" s="5" t="s">
        <v>2757</v>
      </c>
      <c r="L7" s="5" t="s">
        <v>1229</v>
      </c>
      <c r="M7" s="252" t="s">
        <v>2208</v>
      </c>
      <c r="N7" s="252" t="s">
        <v>5799</v>
      </c>
      <c r="O7" s="252" t="s">
        <v>5799</v>
      </c>
      <c r="P7" s="5" t="s">
        <v>5801</v>
      </c>
      <c r="Q7" s="5" t="s">
        <v>5801</v>
      </c>
      <c r="R7" s="5" t="s">
        <v>5801</v>
      </c>
      <c r="S7" s="5" t="s">
        <v>5801</v>
      </c>
      <c r="T7" s="5" t="s">
        <v>5803</v>
      </c>
      <c r="U7" s="5" t="s">
        <v>5805</v>
      </c>
      <c r="V7" s="5" t="s">
        <v>5806</v>
      </c>
      <c r="W7" s="5" t="s">
        <v>3034</v>
      </c>
      <c r="X7" s="5" t="s">
        <v>5214</v>
      </c>
      <c r="Y7" s="5" t="s">
        <v>5941</v>
      </c>
      <c r="Z7" s="5" t="s">
        <v>195</v>
      </c>
      <c r="AA7" s="5" t="s">
        <v>110</v>
      </c>
      <c r="AB7" s="5" t="s">
        <v>3320</v>
      </c>
      <c r="AC7" s="5"/>
      <c r="AD7" s="5" t="s">
        <v>3320</v>
      </c>
      <c r="AE7" s="5" t="s">
        <v>3034</v>
      </c>
      <c r="AF7" s="5" t="s">
        <v>5060</v>
      </c>
      <c r="AG7" s="5" t="s">
        <v>1847</v>
      </c>
      <c r="AH7" s="5" t="s">
        <v>469</v>
      </c>
      <c r="AI7" s="5" t="s">
        <v>503</v>
      </c>
      <c r="AJ7" s="5" t="s">
        <v>52</v>
      </c>
      <c r="AK7" s="5" t="s">
        <v>226</v>
      </c>
      <c r="AL7" s="5" t="s">
        <v>5815</v>
      </c>
      <c r="AM7" s="252" t="s">
        <v>5816</v>
      </c>
      <c r="AN7" s="13"/>
      <c r="AO7" s="13"/>
    </row>
    <row r="8" ht="14.25" customHeight="1">
      <c r="A8" s="5" t="s">
        <v>1919</v>
      </c>
      <c r="B8" s="5" t="s">
        <v>5777</v>
      </c>
      <c r="C8" s="5" t="s">
        <v>5948</v>
      </c>
      <c r="D8" s="5" t="s">
        <v>1568</v>
      </c>
      <c r="E8" s="5" t="str">
        <f t="array" ref="E8">IFERROR(INDEX(REF_CODES!$B$142:$B$157,MATCH($D8,REF_CODES!$C$142:$C$157,0)),"")</f>
        <v>EP-VIL</v>
      </c>
      <c r="F8" s="5" t="s">
        <v>5954</v>
      </c>
      <c r="G8" s="252" t="s">
        <v>4783</v>
      </c>
      <c r="H8" s="252" t="s">
        <v>4783</v>
      </c>
      <c r="I8" s="5" t="s">
        <v>5958</v>
      </c>
      <c r="J8" s="252" t="s">
        <v>2208</v>
      </c>
      <c r="K8" s="5" t="s">
        <v>3523</v>
      </c>
      <c r="L8" s="5" t="s">
        <v>3523</v>
      </c>
      <c r="M8" s="252" t="s">
        <v>5961</v>
      </c>
      <c r="N8" s="252" t="s">
        <v>5799</v>
      </c>
      <c r="O8" s="252" t="s">
        <v>5799</v>
      </c>
      <c r="P8" s="5" t="s">
        <v>5801</v>
      </c>
      <c r="Q8" s="5" t="s">
        <v>5801</v>
      </c>
      <c r="R8" s="5" t="s">
        <v>5801</v>
      </c>
      <c r="S8" s="5" t="s">
        <v>5801</v>
      </c>
      <c r="T8" s="5" t="s">
        <v>5803</v>
      </c>
      <c r="U8" s="5" t="s">
        <v>5805</v>
      </c>
      <c r="V8" s="5" t="s">
        <v>5806</v>
      </c>
      <c r="W8" s="5" t="s">
        <v>3034</v>
      </c>
      <c r="X8" s="5" t="s">
        <v>4817</v>
      </c>
      <c r="Y8" s="5" t="s">
        <v>5963</v>
      </c>
      <c r="Z8" s="5" t="s">
        <v>195</v>
      </c>
      <c r="AA8" s="5" t="s">
        <v>90</v>
      </c>
      <c r="AB8" s="5" t="s">
        <v>3320</v>
      </c>
      <c r="AC8" s="5"/>
      <c r="AD8" s="5" t="s">
        <v>3320</v>
      </c>
      <c r="AE8" s="5" t="s">
        <v>3034</v>
      </c>
      <c r="AF8" s="5" t="s">
        <v>5966</v>
      </c>
      <c r="AG8" s="5" t="s">
        <v>1859</v>
      </c>
      <c r="AH8" s="5" t="s">
        <v>469</v>
      </c>
      <c r="AI8" s="5" t="s">
        <v>503</v>
      </c>
      <c r="AJ8" s="5" t="s">
        <v>2434</v>
      </c>
      <c r="AK8" s="5" t="s">
        <v>226</v>
      </c>
      <c r="AL8" s="5" t="s">
        <v>5815</v>
      </c>
      <c r="AM8" s="252" t="s">
        <v>5816</v>
      </c>
      <c r="AN8" s="13"/>
      <c r="AO8" s="13"/>
    </row>
    <row r="9" ht="14.25" customHeight="1">
      <c r="A9" s="5" t="s">
        <v>1919</v>
      </c>
      <c r="B9" s="5" t="s">
        <v>5777</v>
      </c>
      <c r="C9" s="5" t="s">
        <v>5972</v>
      </c>
      <c r="D9" s="5" t="s">
        <v>1568</v>
      </c>
      <c r="E9" s="5" t="str">
        <f t="array" ref="E9">IFERROR(INDEX(REF_CODES!$B$142:$B$157,MATCH($D9,REF_CODES!$C$142:$C$157,0)),"")</f>
        <v>EP-VIL</v>
      </c>
      <c r="F9" s="5" t="s">
        <v>5976</v>
      </c>
      <c r="G9" s="252" t="s">
        <v>4783</v>
      </c>
      <c r="H9" s="252" t="s">
        <v>4783</v>
      </c>
      <c r="I9" s="5" t="s">
        <v>5977</v>
      </c>
      <c r="J9" s="252" t="s">
        <v>2208</v>
      </c>
      <c r="K9" s="5" t="s">
        <v>2757</v>
      </c>
      <c r="L9" s="5" t="s">
        <v>1229</v>
      </c>
      <c r="M9" s="252" t="s">
        <v>2208</v>
      </c>
      <c r="N9" s="252" t="s">
        <v>5799</v>
      </c>
      <c r="O9" s="252" t="s">
        <v>5799</v>
      </c>
      <c r="P9" s="5" t="s">
        <v>5801</v>
      </c>
      <c r="Q9" s="5" t="s">
        <v>5801</v>
      </c>
      <c r="R9" s="5" t="s">
        <v>5801</v>
      </c>
      <c r="S9" s="5" t="s">
        <v>5801</v>
      </c>
      <c r="T9" s="5" t="s">
        <v>5803</v>
      </c>
      <c r="U9" s="5" t="s">
        <v>5805</v>
      </c>
      <c r="V9" s="5" t="s">
        <v>5806</v>
      </c>
      <c r="W9" s="5" t="s">
        <v>3034</v>
      </c>
      <c r="X9" s="5" t="s">
        <v>4817</v>
      </c>
      <c r="Y9" s="5" t="s">
        <v>5982</v>
      </c>
      <c r="Z9" s="5" t="s">
        <v>195</v>
      </c>
      <c r="AA9" s="5" t="s">
        <v>90</v>
      </c>
      <c r="AB9" s="5" t="s">
        <v>3320</v>
      </c>
      <c r="AC9" s="5"/>
      <c r="AD9" s="5" t="s">
        <v>3320</v>
      </c>
      <c r="AE9" s="5" t="s">
        <v>3034</v>
      </c>
      <c r="AF9" s="5" t="s">
        <v>5983</v>
      </c>
      <c r="AG9" s="5" t="s">
        <v>1859</v>
      </c>
      <c r="AH9" s="5" t="s">
        <v>469</v>
      </c>
      <c r="AI9" s="5" t="s">
        <v>503</v>
      </c>
      <c r="AJ9" s="5" t="s">
        <v>2783</v>
      </c>
      <c r="AK9" s="5" t="s">
        <v>226</v>
      </c>
      <c r="AL9" s="5" t="s">
        <v>5815</v>
      </c>
      <c r="AM9" s="252" t="s">
        <v>5816</v>
      </c>
      <c r="AN9" s="13"/>
      <c r="AO9" s="13"/>
    </row>
    <row r="10" ht="14.25" customHeight="1">
      <c r="A10" s="5" t="s">
        <v>1919</v>
      </c>
      <c r="B10" s="5" t="s">
        <v>5777</v>
      </c>
      <c r="C10" s="5" t="s">
        <v>5987</v>
      </c>
      <c r="D10" s="5" t="s">
        <v>1568</v>
      </c>
      <c r="E10" s="5" t="str">
        <f t="array" ref="E10">IFERROR(INDEX(REF_CODES!$B$142:$B$157,MATCH($D10,REF_CODES!$C$142:$C$157,0)),"")</f>
        <v>EP-VIL</v>
      </c>
      <c r="F10" s="5" t="s">
        <v>5990</v>
      </c>
      <c r="G10" s="252" t="s">
        <v>4783</v>
      </c>
      <c r="H10" s="275" t="s">
        <v>5019</v>
      </c>
      <c r="I10" s="5" t="s">
        <v>1229</v>
      </c>
      <c r="J10" s="252" t="s">
        <v>2208</v>
      </c>
      <c r="K10" s="5" t="s">
        <v>5992</v>
      </c>
      <c r="L10" s="5" t="s">
        <v>1229</v>
      </c>
      <c r="M10" s="252" t="s">
        <v>5993</v>
      </c>
      <c r="N10" s="252" t="s">
        <v>5799</v>
      </c>
      <c r="O10" s="252" t="s">
        <v>5799</v>
      </c>
      <c r="P10" s="5" t="s">
        <v>5801</v>
      </c>
      <c r="Q10" s="5" t="s">
        <v>5801</v>
      </c>
      <c r="R10" s="5" t="s">
        <v>5801</v>
      </c>
      <c r="S10" s="5" t="s">
        <v>5801</v>
      </c>
      <c r="T10" s="5" t="s">
        <v>5803</v>
      </c>
      <c r="U10" s="5" t="s">
        <v>5805</v>
      </c>
      <c r="V10" s="5" t="s">
        <v>5806</v>
      </c>
      <c r="W10" s="5" t="s">
        <v>3034</v>
      </c>
      <c r="X10" s="5" t="s">
        <v>4817</v>
      </c>
      <c r="Y10" s="5" t="s">
        <v>5997</v>
      </c>
      <c r="Z10" s="5" t="s">
        <v>195</v>
      </c>
      <c r="AA10" s="5" t="s">
        <v>97</v>
      </c>
      <c r="AB10" s="5" t="s">
        <v>3320</v>
      </c>
      <c r="AC10" s="5"/>
      <c r="AD10" s="5" t="s">
        <v>3320</v>
      </c>
      <c r="AE10" s="5" t="s">
        <v>3034</v>
      </c>
      <c r="AF10" s="5" t="s">
        <v>5998</v>
      </c>
      <c r="AG10" s="5" t="s">
        <v>1847</v>
      </c>
      <c r="AH10" s="5" t="s">
        <v>469</v>
      </c>
      <c r="AI10" s="5" t="s">
        <v>503</v>
      </c>
      <c r="AJ10" s="5" t="s">
        <v>2434</v>
      </c>
      <c r="AK10" s="5" t="s">
        <v>226</v>
      </c>
      <c r="AL10" s="5" t="s">
        <v>5815</v>
      </c>
      <c r="AM10" s="252" t="s">
        <v>5816</v>
      </c>
      <c r="AN10" s="13"/>
      <c r="AO10" s="13"/>
    </row>
    <row r="11" ht="14.25" customHeight="1">
      <c r="A11" s="5" t="s">
        <v>1919</v>
      </c>
      <c r="B11" s="5" t="s">
        <v>5777</v>
      </c>
      <c r="C11" s="5" t="s">
        <v>6005</v>
      </c>
      <c r="D11" s="5" t="s">
        <v>1580</v>
      </c>
      <c r="E11" s="5" t="str">
        <f t="array" ref="E11">IFERROR(INDEX(REF_CODES!$B$142:$B$157,MATCH($D11,REF_CODES!$C$142:$C$157,0)),"")</f>
        <v>EP-DOM</v>
      </c>
      <c r="F11" s="5" t="s">
        <v>6012</v>
      </c>
      <c r="G11" s="252" t="s">
        <v>4783</v>
      </c>
      <c r="H11" s="275" t="s">
        <v>6013</v>
      </c>
      <c r="I11" s="5" t="s">
        <v>1229</v>
      </c>
      <c r="J11" s="252" t="s">
        <v>2208</v>
      </c>
      <c r="K11" s="5" t="s">
        <v>6014</v>
      </c>
      <c r="L11" s="5" t="s">
        <v>1229</v>
      </c>
      <c r="M11" s="252" t="s">
        <v>6015</v>
      </c>
      <c r="N11" s="252" t="s">
        <v>5799</v>
      </c>
      <c r="O11" s="252" t="s">
        <v>5799</v>
      </c>
      <c r="P11" s="5" t="s">
        <v>5801</v>
      </c>
      <c r="Q11" s="5" t="s">
        <v>5801</v>
      </c>
      <c r="R11" s="5" t="s">
        <v>5801</v>
      </c>
      <c r="S11" s="5" t="s">
        <v>5801</v>
      </c>
      <c r="T11" s="5" t="s">
        <v>5803</v>
      </c>
      <c r="U11" s="5" t="s">
        <v>5805</v>
      </c>
      <c r="V11" s="5" t="s">
        <v>5806</v>
      </c>
      <c r="W11" s="5" t="s">
        <v>3034</v>
      </c>
      <c r="X11" s="5" t="s">
        <v>4817</v>
      </c>
      <c r="Y11" s="5" t="s">
        <v>6020</v>
      </c>
      <c r="Z11" s="5" t="s">
        <v>195</v>
      </c>
      <c r="AA11" s="5" t="s">
        <v>90</v>
      </c>
      <c r="AB11" s="5" t="s">
        <v>3320</v>
      </c>
      <c r="AC11" s="5"/>
      <c r="AD11" s="5" t="s">
        <v>3320</v>
      </c>
      <c r="AE11" s="5" t="s">
        <v>3034</v>
      </c>
      <c r="AF11" s="5" t="s">
        <v>4962</v>
      </c>
      <c r="AG11" s="5" t="s">
        <v>1847</v>
      </c>
      <c r="AH11" s="5" t="s">
        <v>469</v>
      </c>
      <c r="AI11" s="5" t="s">
        <v>503</v>
      </c>
      <c r="AJ11" s="5" t="s">
        <v>5033</v>
      </c>
      <c r="AK11" s="5" t="s">
        <v>226</v>
      </c>
      <c r="AL11" s="5" t="s">
        <v>5815</v>
      </c>
      <c r="AM11" s="252" t="s">
        <v>5816</v>
      </c>
      <c r="AN11" s="13"/>
      <c r="AO11" s="13"/>
    </row>
    <row r="12" ht="14.25" customHeight="1">
      <c r="A12" s="5" t="s">
        <v>1919</v>
      </c>
      <c r="B12" s="5" t="s">
        <v>5777</v>
      </c>
      <c r="C12" s="5" t="s">
        <v>6025</v>
      </c>
      <c r="D12" s="5" t="s">
        <v>1622</v>
      </c>
      <c r="E12" s="5" t="str">
        <f t="array" ref="E12">IFERROR(INDEX(REF_CODES!$B$142:$B$157,MATCH($D12,REF_CODES!$C$142:$C$157,0)),"")</f>
        <v>EP-BIV</v>
      </c>
      <c r="F12" s="5" t="s">
        <v>6031</v>
      </c>
      <c r="G12" s="252" t="s">
        <v>3822</v>
      </c>
      <c r="H12" s="252" t="s">
        <v>3821</v>
      </c>
      <c r="I12" s="5" t="s">
        <v>3824</v>
      </c>
      <c r="J12" s="252" t="s">
        <v>2208</v>
      </c>
      <c r="K12" s="5" t="s">
        <v>4060</v>
      </c>
      <c r="L12" s="5" t="s">
        <v>1229</v>
      </c>
      <c r="M12" s="5" t="s">
        <v>6034</v>
      </c>
      <c r="N12" s="252" t="s">
        <v>5799</v>
      </c>
      <c r="O12" s="252" t="s">
        <v>5799</v>
      </c>
      <c r="P12" s="5" t="s">
        <v>5801</v>
      </c>
      <c r="Q12" s="5" t="s">
        <v>5801</v>
      </c>
      <c r="R12" s="5" t="s">
        <v>5801</v>
      </c>
      <c r="S12" s="5" t="s">
        <v>5801</v>
      </c>
      <c r="T12" s="5" t="s">
        <v>5803</v>
      </c>
      <c r="U12" s="5" t="s">
        <v>5805</v>
      </c>
      <c r="V12" s="5" t="s">
        <v>5806</v>
      </c>
      <c r="W12" s="5" t="s">
        <v>3034</v>
      </c>
      <c r="X12" s="5" t="s">
        <v>5214</v>
      </c>
      <c r="Y12" s="5" t="s">
        <v>6036</v>
      </c>
      <c r="Z12" s="5" t="s">
        <v>195</v>
      </c>
      <c r="AA12" s="5" t="s">
        <v>97</v>
      </c>
      <c r="AB12" s="5" t="s">
        <v>3320</v>
      </c>
      <c r="AC12" s="5"/>
      <c r="AD12" s="5" t="s">
        <v>3320</v>
      </c>
      <c r="AE12" s="5" t="s">
        <v>3034</v>
      </c>
      <c r="AF12" s="5" t="s">
        <v>5030</v>
      </c>
      <c r="AG12" s="5" t="s">
        <v>1847</v>
      </c>
      <c r="AH12" s="5" t="s">
        <v>469</v>
      </c>
      <c r="AI12" s="5" t="s">
        <v>503</v>
      </c>
      <c r="AJ12" s="5" t="s">
        <v>6039</v>
      </c>
      <c r="AK12" s="5" t="s">
        <v>2207</v>
      </c>
      <c r="AL12" s="5" t="s">
        <v>5815</v>
      </c>
      <c r="AM12" s="252" t="s">
        <v>5816</v>
      </c>
      <c r="AN12" s="13"/>
      <c r="AO12" s="13"/>
    </row>
    <row r="13" ht="14.25" customHeight="1">
      <c r="A13" s="5" t="s">
        <v>1919</v>
      </c>
      <c r="B13" s="5" t="s">
        <v>5777</v>
      </c>
      <c r="C13" s="5" t="s">
        <v>6042</v>
      </c>
      <c r="D13" s="5" t="s">
        <v>1622</v>
      </c>
      <c r="E13" s="5" t="str">
        <f t="array" ref="E13">IFERROR(INDEX(REF_CODES!$B$142:$B$157,MATCH($D13,REF_CODES!$C$142:$C$157,0)),"")</f>
        <v>EP-BIV</v>
      </c>
      <c r="F13" s="5" t="s">
        <v>3023</v>
      </c>
      <c r="G13" s="252" t="s">
        <v>6047</v>
      </c>
      <c r="H13" s="5" t="s">
        <v>5603</v>
      </c>
      <c r="I13" s="5" t="s">
        <v>6048</v>
      </c>
      <c r="J13" s="252" t="s">
        <v>2208</v>
      </c>
      <c r="K13" s="5" t="s">
        <v>4060</v>
      </c>
      <c r="L13" s="5" t="s">
        <v>1229</v>
      </c>
      <c r="M13" s="5" t="s">
        <v>6049</v>
      </c>
      <c r="N13" s="252" t="s">
        <v>5799</v>
      </c>
      <c r="O13" s="252" t="s">
        <v>5799</v>
      </c>
      <c r="P13" s="5" t="s">
        <v>5801</v>
      </c>
      <c r="Q13" s="5" t="s">
        <v>5801</v>
      </c>
      <c r="R13" s="5" t="s">
        <v>5801</v>
      </c>
      <c r="S13" s="5" t="s">
        <v>5801</v>
      </c>
      <c r="T13" s="5" t="s">
        <v>5803</v>
      </c>
      <c r="U13" s="5" t="s">
        <v>5805</v>
      </c>
      <c r="V13" s="5" t="s">
        <v>5806</v>
      </c>
      <c r="W13" s="5" t="s">
        <v>3034</v>
      </c>
      <c r="X13" s="5" t="s">
        <v>5214</v>
      </c>
      <c r="Y13" s="5" t="s">
        <v>6053</v>
      </c>
      <c r="Z13" s="5" t="s">
        <v>195</v>
      </c>
      <c r="AA13" s="5" t="s">
        <v>97</v>
      </c>
      <c r="AB13" s="5" t="s">
        <v>3320</v>
      </c>
      <c r="AC13" s="5"/>
      <c r="AD13" s="5" t="s">
        <v>3320</v>
      </c>
      <c r="AE13" s="5" t="s">
        <v>3034</v>
      </c>
      <c r="AF13" s="5" t="s">
        <v>6056</v>
      </c>
      <c r="AG13" s="5" t="s">
        <v>1847</v>
      </c>
      <c r="AH13" s="5" t="s">
        <v>469</v>
      </c>
      <c r="AI13" s="5" t="s">
        <v>503</v>
      </c>
      <c r="AJ13" s="5" t="s">
        <v>2205</v>
      </c>
      <c r="AK13" s="5" t="s">
        <v>2207</v>
      </c>
      <c r="AL13" s="5" t="s">
        <v>5815</v>
      </c>
      <c r="AM13" s="252" t="s">
        <v>5816</v>
      </c>
      <c r="AN13" s="13"/>
      <c r="AO13" s="13"/>
    </row>
    <row r="14" ht="14.25" customHeight="1">
      <c r="A14" s="5" t="s">
        <v>1919</v>
      </c>
      <c r="B14" s="5" t="s">
        <v>5777</v>
      </c>
      <c r="C14" s="5" t="s">
        <v>6058</v>
      </c>
      <c r="D14" s="5" t="s">
        <v>1622</v>
      </c>
      <c r="E14" s="5" t="str">
        <f t="array" ref="E14">IFERROR(INDEX(REF_CODES!$B$142:$B$157,MATCH($D14,REF_CODES!$C$142:$C$157,0)),"")</f>
        <v>EP-BIV</v>
      </c>
      <c r="F14" s="5" t="s">
        <v>4374</v>
      </c>
      <c r="G14" s="252" t="s">
        <v>6062</v>
      </c>
      <c r="H14" s="5" t="s">
        <v>6063</v>
      </c>
      <c r="I14" s="5" t="s">
        <v>6064</v>
      </c>
      <c r="J14" s="252" t="s">
        <v>2208</v>
      </c>
      <c r="K14" s="5" t="s">
        <v>4060</v>
      </c>
      <c r="L14" s="5" t="s">
        <v>1229</v>
      </c>
      <c r="M14" s="5" t="s">
        <v>6065</v>
      </c>
      <c r="N14" s="252" t="s">
        <v>5799</v>
      </c>
      <c r="O14" s="252" t="s">
        <v>5799</v>
      </c>
      <c r="P14" s="5" t="s">
        <v>5801</v>
      </c>
      <c r="Q14" s="5" t="s">
        <v>5801</v>
      </c>
      <c r="R14" s="5" t="s">
        <v>5801</v>
      </c>
      <c r="S14" s="5" t="s">
        <v>5801</v>
      </c>
      <c r="T14" s="5" t="s">
        <v>5803</v>
      </c>
      <c r="U14" s="5" t="s">
        <v>5805</v>
      </c>
      <c r="V14" s="5" t="s">
        <v>5806</v>
      </c>
      <c r="W14" s="5" t="s">
        <v>3034</v>
      </c>
      <c r="X14" s="5" t="s">
        <v>5214</v>
      </c>
      <c r="Y14" s="5" t="s">
        <v>6074</v>
      </c>
      <c r="Z14" s="5" t="s">
        <v>195</v>
      </c>
      <c r="AA14" s="5" t="s">
        <v>97</v>
      </c>
      <c r="AB14" s="5" t="s">
        <v>3320</v>
      </c>
      <c r="AC14" s="5"/>
      <c r="AD14" s="5" t="s">
        <v>3320</v>
      </c>
      <c r="AE14" s="5" t="s">
        <v>3034</v>
      </c>
      <c r="AF14" s="5" t="s">
        <v>6076</v>
      </c>
      <c r="AG14" s="5" t="s">
        <v>1859</v>
      </c>
      <c r="AH14" s="5" t="s">
        <v>469</v>
      </c>
      <c r="AI14" s="5" t="s">
        <v>503</v>
      </c>
      <c r="AJ14" s="5" t="s">
        <v>2205</v>
      </c>
      <c r="AK14" s="5" t="s">
        <v>2207</v>
      </c>
      <c r="AL14" s="5" t="s">
        <v>5815</v>
      </c>
      <c r="AM14" s="252" t="s">
        <v>5816</v>
      </c>
      <c r="AN14" s="13"/>
      <c r="AO14" s="13"/>
    </row>
    <row r="15" ht="14.25" customHeight="1">
      <c r="A15" s="5" t="s">
        <v>1919</v>
      </c>
      <c r="B15" s="5" t="s">
        <v>5777</v>
      </c>
      <c r="C15" s="5" t="s">
        <v>6079</v>
      </c>
      <c r="D15" s="5" t="s">
        <v>1557</v>
      </c>
      <c r="E15" s="5" t="str">
        <f t="array" ref="E15">IFERROR(INDEX(REF_CODES!$B$142:$B$157,MATCH($D15,REF_CODES!$C$142:$C$157,0)),"")</f>
        <v>EP-PAL</v>
      </c>
      <c r="F15" s="5" t="s">
        <v>6084</v>
      </c>
      <c r="G15" s="5" t="s">
        <v>6085</v>
      </c>
      <c r="H15" s="5" t="s">
        <v>3653</v>
      </c>
      <c r="I15" s="5" t="s">
        <v>6087</v>
      </c>
      <c r="J15" s="252" t="s">
        <v>2208</v>
      </c>
      <c r="K15" s="5" t="s">
        <v>6088</v>
      </c>
      <c r="L15" s="5" t="s">
        <v>1229</v>
      </c>
      <c r="M15" s="5" t="s">
        <v>6089</v>
      </c>
      <c r="N15" s="252" t="s">
        <v>5799</v>
      </c>
      <c r="O15" s="252" t="s">
        <v>5799</v>
      </c>
      <c r="P15" s="5" t="s">
        <v>5801</v>
      </c>
      <c r="Q15" s="5">
        <v>2500.0</v>
      </c>
      <c r="R15" s="5">
        <v>1800.0</v>
      </c>
      <c r="S15" s="5">
        <v>1200.0</v>
      </c>
      <c r="T15" s="5" t="s">
        <v>5803</v>
      </c>
      <c r="U15" s="5" t="s">
        <v>5805</v>
      </c>
      <c r="V15" s="5" t="s">
        <v>5806</v>
      </c>
      <c r="W15" s="5" t="s">
        <v>3034</v>
      </c>
      <c r="X15" s="5" t="s">
        <v>5214</v>
      </c>
      <c r="Y15" s="5" t="s">
        <v>6091</v>
      </c>
      <c r="Z15" s="5" t="s">
        <v>195</v>
      </c>
      <c r="AA15" s="5" t="s">
        <v>97</v>
      </c>
      <c r="AB15" s="5" t="s">
        <v>3320</v>
      </c>
      <c r="AC15" s="5" t="s">
        <v>2339</v>
      </c>
      <c r="AD15" s="5" t="s">
        <v>3320</v>
      </c>
      <c r="AE15" s="5" t="s">
        <v>3034</v>
      </c>
      <c r="AF15" s="5" t="s">
        <v>5916</v>
      </c>
      <c r="AG15" s="5" t="s">
        <v>1847</v>
      </c>
      <c r="AH15" s="5" t="s">
        <v>469</v>
      </c>
      <c r="AI15" s="5" t="s">
        <v>503</v>
      </c>
      <c r="AJ15" s="5" t="s">
        <v>5033</v>
      </c>
      <c r="AK15" s="5" t="s">
        <v>226</v>
      </c>
      <c r="AL15" s="5" t="s">
        <v>5815</v>
      </c>
      <c r="AM15" s="252" t="s">
        <v>5816</v>
      </c>
      <c r="AN15" s="13"/>
      <c r="AO15" s="13"/>
    </row>
    <row r="16" ht="14.25" customHeight="1">
      <c r="A16" s="261" t="s">
        <v>1919</v>
      </c>
      <c r="B16" s="261" t="s">
        <v>5777</v>
      </c>
      <c r="C16" s="261" t="s">
        <v>6096</v>
      </c>
      <c r="D16" s="13" t="s">
        <v>1545</v>
      </c>
      <c r="E16" s="13" t="str">
        <f t="array" ref="E16">IFERROR(INDEX(REF_CODES!$B$142:$B$157,MATCH($D16,REF_CODES!$C$142:$C$157,0)),"")</f>
        <v>EP-RIA</v>
      </c>
      <c r="F16" s="261" t="s">
        <v>6103</v>
      </c>
      <c r="G16" s="261" t="s">
        <v>2208</v>
      </c>
      <c r="H16" s="275" t="s">
        <v>6106</v>
      </c>
      <c r="I16" s="261" t="s">
        <v>6107</v>
      </c>
      <c r="J16" s="261" t="s">
        <v>2208</v>
      </c>
      <c r="K16" s="261" t="s">
        <v>2306</v>
      </c>
      <c r="L16" s="261" t="s">
        <v>2208</v>
      </c>
      <c r="M16" s="261" t="s">
        <v>2208</v>
      </c>
      <c r="N16" s="261" t="s">
        <v>5799</v>
      </c>
      <c r="O16" s="261" t="s">
        <v>5799</v>
      </c>
      <c r="P16" s="261" t="s">
        <v>5801</v>
      </c>
      <c r="Q16" s="261" t="s">
        <v>5801</v>
      </c>
      <c r="R16" s="261" t="s">
        <v>5801</v>
      </c>
      <c r="S16" s="261" t="s">
        <v>5801</v>
      </c>
      <c r="T16" s="261" t="s">
        <v>3320</v>
      </c>
      <c r="U16" s="261" t="s">
        <v>3320</v>
      </c>
      <c r="V16" s="261" t="s">
        <v>3320</v>
      </c>
      <c r="W16" s="261" t="s">
        <v>3320</v>
      </c>
      <c r="X16" s="13" t="s">
        <v>4817</v>
      </c>
      <c r="Y16" s="261" t="s">
        <v>6110</v>
      </c>
      <c r="Z16" s="261" t="s">
        <v>195</v>
      </c>
      <c r="AA16" s="261" t="s">
        <v>5195</v>
      </c>
      <c r="AN16" s="13"/>
      <c r="AO16" s="13"/>
    </row>
    <row r="17" ht="14.25" customHeight="1">
      <c r="A17" s="261" t="s">
        <v>1919</v>
      </c>
      <c r="B17" s="261" t="s">
        <v>5777</v>
      </c>
      <c r="C17" s="261" t="s">
        <v>6111</v>
      </c>
      <c r="D17" s="13" t="s">
        <v>1545</v>
      </c>
      <c r="E17" s="13" t="str">
        <f t="array" ref="E17">IFERROR(INDEX(REF_CODES!$B$142:$B$157,MATCH($D17,REF_CODES!$C$142:$C$157,0)),"")</f>
        <v>EP-RIA</v>
      </c>
      <c r="F17" s="261" t="s">
        <v>6112</v>
      </c>
      <c r="G17" s="261" t="s">
        <v>6113</v>
      </c>
      <c r="H17" s="261" t="s">
        <v>6114</v>
      </c>
      <c r="I17" s="261" t="s">
        <v>6115</v>
      </c>
      <c r="J17" s="261" t="s">
        <v>2208</v>
      </c>
      <c r="K17" s="261" t="s">
        <v>6116</v>
      </c>
      <c r="L17" s="261" t="s">
        <v>2208</v>
      </c>
      <c r="M17" s="261" t="s">
        <v>2208</v>
      </c>
      <c r="N17" s="261" t="s">
        <v>5799</v>
      </c>
      <c r="O17" s="261" t="s">
        <v>5799</v>
      </c>
      <c r="P17" s="261" t="s">
        <v>5801</v>
      </c>
      <c r="Q17" s="261" t="s">
        <v>5801</v>
      </c>
      <c r="R17" s="261" t="s">
        <v>5801</v>
      </c>
      <c r="S17" s="261" t="s">
        <v>5801</v>
      </c>
      <c r="T17" s="261" t="s">
        <v>3320</v>
      </c>
      <c r="U17" s="261" t="s">
        <v>3320</v>
      </c>
      <c r="V17" s="261" t="s">
        <v>3320</v>
      </c>
      <c r="W17" s="261" t="s">
        <v>3320</v>
      </c>
      <c r="X17" s="13" t="s">
        <v>4896</v>
      </c>
      <c r="Y17" s="261" t="s">
        <v>6120</v>
      </c>
      <c r="Z17" s="261" t="s">
        <v>195</v>
      </c>
      <c r="AA17" s="261" t="s">
        <v>5195</v>
      </c>
      <c r="AN17" s="13"/>
      <c r="AO17" s="13"/>
    </row>
    <row r="18" ht="14.25" customHeight="1">
      <c r="A18" s="261" t="s">
        <v>1919</v>
      </c>
      <c r="B18" s="261" t="s">
        <v>5777</v>
      </c>
      <c r="C18" s="261" t="s">
        <v>6121</v>
      </c>
      <c r="D18" s="13" t="s">
        <v>1545</v>
      </c>
      <c r="E18" s="13" t="str">
        <f t="array" ref="E18">IFERROR(INDEX(REF_CODES!$B$142:$B$157,MATCH($D18,REF_CODES!$C$142:$C$157,0)),"")</f>
        <v>EP-RIA</v>
      </c>
      <c r="F18" s="261" t="s">
        <v>4134</v>
      </c>
      <c r="G18" s="261" t="s">
        <v>6125</v>
      </c>
      <c r="H18" s="261" t="s">
        <v>6126</v>
      </c>
      <c r="I18" s="261" t="s">
        <v>2208</v>
      </c>
      <c r="J18" s="261" t="s">
        <v>2208</v>
      </c>
      <c r="K18" s="261" t="s">
        <v>2306</v>
      </c>
      <c r="L18" s="261" t="s">
        <v>2208</v>
      </c>
      <c r="M18" s="261" t="s">
        <v>2208</v>
      </c>
      <c r="N18" s="261" t="s">
        <v>5799</v>
      </c>
      <c r="O18" s="261" t="s">
        <v>5799</v>
      </c>
      <c r="P18" s="261" t="s">
        <v>5801</v>
      </c>
      <c r="Q18" s="261" t="s">
        <v>5801</v>
      </c>
      <c r="R18" s="261" t="s">
        <v>5801</v>
      </c>
      <c r="S18" s="261" t="s">
        <v>5801</v>
      </c>
      <c r="T18" s="261" t="s">
        <v>3320</v>
      </c>
      <c r="U18" s="261" t="s">
        <v>3320</v>
      </c>
      <c r="V18" s="261" t="s">
        <v>3320</v>
      </c>
      <c r="W18" s="261" t="s">
        <v>3320</v>
      </c>
      <c r="X18" s="13" t="s">
        <v>5214</v>
      </c>
      <c r="Y18" s="261" t="s">
        <v>6128</v>
      </c>
      <c r="Z18" s="261" t="s">
        <v>195</v>
      </c>
      <c r="AA18" s="261" t="s">
        <v>5195</v>
      </c>
      <c r="AN18" s="13"/>
      <c r="AO18" s="13"/>
    </row>
    <row r="19" ht="14.25" customHeight="1">
      <c r="A19" s="261" t="s">
        <v>1919</v>
      </c>
      <c r="B19" s="261" t="s">
        <v>5777</v>
      </c>
      <c r="C19" s="261" t="s">
        <v>6130</v>
      </c>
      <c r="D19" s="13" t="s">
        <v>1545</v>
      </c>
      <c r="E19" s="13" t="str">
        <f t="array" ref="E19">IFERROR(INDEX(REF_CODES!$B$142:$B$157,MATCH($D19,REF_CODES!$C$142:$C$157,0)),"")</f>
        <v>EP-RIA</v>
      </c>
      <c r="F19" s="261" t="s">
        <v>6131</v>
      </c>
      <c r="G19" s="261" t="s">
        <v>2449</v>
      </c>
      <c r="H19" s="261" t="s">
        <v>6132</v>
      </c>
      <c r="I19" s="261" t="s">
        <v>2208</v>
      </c>
      <c r="J19" s="261" t="s">
        <v>2208</v>
      </c>
      <c r="K19" s="261" t="s">
        <v>2306</v>
      </c>
      <c r="L19" s="261" t="s">
        <v>2208</v>
      </c>
      <c r="M19" s="261" t="s">
        <v>2208</v>
      </c>
      <c r="N19" s="261" t="s">
        <v>5799</v>
      </c>
      <c r="O19" s="261" t="s">
        <v>5799</v>
      </c>
      <c r="P19" s="261" t="s">
        <v>5801</v>
      </c>
      <c r="Q19" s="261" t="s">
        <v>5801</v>
      </c>
      <c r="R19" s="261" t="s">
        <v>5801</v>
      </c>
      <c r="S19" s="261" t="s">
        <v>5801</v>
      </c>
      <c r="T19" s="261" t="s">
        <v>3320</v>
      </c>
      <c r="U19" s="261" t="s">
        <v>3320</v>
      </c>
      <c r="V19" s="261" t="s">
        <v>3320</v>
      </c>
      <c r="W19" s="261" t="s">
        <v>3320</v>
      </c>
      <c r="X19" s="13" t="s">
        <v>5214</v>
      </c>
      <c r="Y19" s="261" t="s">
        <v>6135</v>
      </c>
      <c r="Z19" s="261" t="s">
        <v>195</v>
      </c>
      <c r="AA19" s="261" t="s">
        <v>5195</v>
      </c>
      <c r="AN19" s="13"/>
      <c r="AO19" s="13"/>
    </row>
    <row r="20" ht="14.25" customHeight="1">
      <c r="A20" s="261" t="s">
        <v>1919</v>
      </c>
      <c r="B20" s="261" t="s">
        <v>5777</v>
      </c>
      <c r="C20" s="261" t="s">
        <v>6138</v>
      </c>
      <c r="D20" s="13" t="s">
        <v>1545</v>
      </c>
      <c r="E20" s="13" t="str">
        <f t="array" ref="E20">IFERROR(INDEX(REF_CODES!$B$142:$B$157,MATCH($D20,REF_CODES!$C$142:$C$157,0)),"")</f>
        <v>EP-RIA</v>
      </c>
      <c r="F20" s="261" t="s">
        <v>6139</v>
      </c>
      <c r="G20" s="261" t="s">
        <v>6140</v>
      </c>
      <c r="H20" s="261" t="s">
        <v>6141</v>
      </c>
      <c r="I20" s="261" t="s">
        <v>2208</v>
      </c>
      <c r="J20" s="261" t="s">
        <v>2208</v>
      </c>
      <c r="K20" s="261" t="s">
        <v>2306</v>
      </c>
      <c r="L20" s="261" t="s">
        <v>2208</v>
      </c>
      <c r="M20" s="261" t="s">
        <v>2208</v>
      </c>
      <c r="N20" s="261" t="s">
        <v>5799</v>
      </c>
      <c r="O20" s="261" t="s">
        <v>5799</v>
      </c>
      <c r="P20" s="261" t="s">
        <v>5801</v>
      </c>
      <c r="Q20" s="261" t="s">
        <v>5801</v>
      </c>
      <c r="R20" s="261" t="s">
        <v>5801</v>
      </c>
      <c r="S20" s="261" t="s">
        <v>5801</v>
      </c>
      <c r="T20" s="261" t="s">
        <v>3320</v>
      </c>
      <c r="U20" s="261" t="s">
        <v>3320</v>
      </c>
      <c r="V20" s="261" t="s">
        <v>3320</v>
      </c>
      <c r="W20" s="261" t="s">
        <v>3320</v>
      </c>
      <c r="X20" s="13" t="s">
        <v>5214</v>
      </c>
      <c r="Y20" s="261" t="s">
        <v>6146</v>
      </c>
      <c r="Z20" s="261" t="s">
        <v>195</v>
      </c>
      <c r="AA20" s="261" t="s">
        <v>5195</v>
      </c>
      <c r="AN20" s="13"/>
      <c r="AO20" s="13"/>
    </row>
    <row r="21" ht="14.25" customHeight="1">
      <c r="A21" s="261" t="s">
        <v>1919</v>
      </c>
      <c r="B21" s="261" t="s">
        <v>5777</v>
      </c>
      <c r="C21" s="261" t="s">
        <v>6149</v>
      </c>
      <c r="D21" s="13" t="s">
        <v>1545</v>
      </c>
      <c r="E21" s="13" t="str">
        <f t="array" ref="E21">IFERROR(INDEX(REF_CODES!$B$142:$B$157,MATCH($D21,REF_CODES!$C$142:$C$157,0)),"")</f>
        <v>EP-RIA</v>
      </c>
      <c r="F21" s="261" t="s">
        <v>6059</v>
      </c>
      <c r="G21" s="261" t="s">
        <v>6153</v>
      </c>
      <c r="H21" s="261" t="s">
        <v>6154</v>
      </c>
      <c r="I21" s="261" t="s">
        <v>2208</v>
      </c>
      <c r="J21" s="261" t="s">
        <v>2208</v>
      </c>
      <c r="K21" s="261" t="s">
        <v>2306</v>
      </c>
      <c r="L21" s="261" t="s">
        <v>2208</v>
      </c>
      <c r="M21" s="261" t="s">
        <v>2208</v>
      </c>
      <c r="N21" s="261" t="s">
        <v>5799</v>
      </c>
      <c r="O21" s="261" t="s">
        <v>5799</v>
      </c>
      <c r="P21" s="261" t="s">
        <v>5801</v>
      </c>
      <c r="Q21" s="261" t="s">
        <v>5801</v>
      </c>
      <c r="R21" s="261" t="s">
        <v>5801</v>
      </c>
      <c r="S21" s="261" t="s">
        <v>5801</v>
      </c>
      <c r="T21" s="261" t="s">
        <v>3320</v>
      </c>
      <c r="U21" s="261" t="s">
        <v>3320</v>
      </c>
      <c r="V21" s="261" t="s">
        <v>3320</v>
      </c>
      <c r="W21" s="261" t="s">
        <v>3320</v>
      </c>
      <c r="X21" s="13" t="s">
        <v>4896</v>
      </c>
      <c r="Y21" s="261" t="s">
        <v>6155</v>
      </c>
      <c r="Z21" s="261" t="s">
        <v>195</v>
      </c>
      <c r="AA21" s="261" t="s">
        <v>5195</v>
      </c>
      <c r="AN21" s="13"/>
      <c r="AO21" s="13"/>
    </row>
    <row r="22" ht="14.25" customHeight="1">
      <c r="A22" s="261" t="s">
        <v>1919</v>
      </c>
      <c r="B22" s="261" t="s">
        <v>5777</v>
      </c>
      <c r="C22" s="261" t="s">
        <v>6157</v>
      </c>
      <c r="D22" s="13" t="s">
        <v>1545</v>
      </c>
      <c r="E22" s="13" t="str">
        <f t="array" ref="E22">IFERROR(INDEX(REF_CODES!$B$142:$B$157,MATCH($D22,REF_CODES!$C$142:$C$157,0)),"")</f>
        <v>EP-RIA</v>
      </c>
      <c r="F22" s="261" t="s">
        <v>6159</v>
      </c>
      <c r="G22" s="261" t="s">
        <v>4782</v>
      </c>
      <c r="H22" s="261" t="s">
        <v>5792</v>
      </c>
      <c r="I22" s="261" t="s">
        <v>5831</v>
      </c>
      <c r="J22" s="261" t="s">
        <v>2208</v>
      </c>
      <c r="K22" s="261" t="s">
        <v>2306</v>
      </c>
      <c r="L22" s="261" t="s">
        <v>2208</v>
      </c>
      <c r="M22" s="261" t="s">
        <v>2208</v>
      </c>
      <c r="N22" s="261" t="s">
        <v>5799</v>
      </c>
      <c r="O22" s="261" t="s">
        <v>5799</v>
      </c>
      <c r="P22" s="261" t="s">
        <v>5801</v>
      </c>
      <c r="Q22" s="261" t="s">
        <v>5801</v>
      </c>
      <c r="R22" s="261" t="s">
        <v>5801</v>
      </c>
      <c r="S22" s="261" t="s">
        <v>5801</v>
      </c>
      <c r="T22" s="261" t="s">
        <v>3320</v>
      </c>
      <c r="U22" s="261" t="s">
        <v>3320</v>
      </c>
      <c r="V22" s="261" t="s">
        <v>3320</v>
      </c>
      <c r="W22" s="261" t="s">
        <v>3320</v>
      </c>
      <c r="X22" s="13" t="s">
        <v>5214</v>
      </c>
      <c r="Y22" s="261" t="s">
        <v>6161</v>
      </c>
      <c r="Z22" s="261" t="s">
        <v>195</v>
      </c>
      <c r="AA22" s="261" t="s">
        <v>5195</v>
      </c>
      <c r="AN22" s="13"/>
      <c r="AO22" s="13"/>
    </row>
    <row r="23" ht="14.25" customHeight="1">
      <c r="A23" s="261" t="s">
        <v>1919</v>
      </c>
      <c r="B23" s="261" t="s">
        <v>5777</v>
      </c>
      <c r="C23" s="261" t="s">
        <v>6162</v>
      </c>
      <c r="D23" s="13" t="s">
        <v>1545</v>
      </c>
      <c r="E23" s="13" t="str">
        <f t="array" ref="E23">IFERROR(INDEX(REF_CODES!$B$142:$B$157,MATCH($D23,REF_CODES!$C$142:$C$157,0)),"")</f>
        <v>EP-RIA</v>
      </c>
      <c r="F23" s="261" t="s">
        <v>3720</v>
      </c>
      <c r="G23" s="261" t="s">
        <v>6167</v>
      </c>
      <c r="H23" s="261" t="s">
        <v>3732</v>
      </c>
      <c r="I23" s="261" t="s">
        <v>2208</v>
      </c>
      <c r="J23" s="261" t="s">
        <v>2208</v>
      </c>
      <c r="K23" s="261" t="s">
        <v>2306</v>
      </c>
      <c r="L23" s="261" t="s">
        <v>2208</v>
      </c>
      <c r="M23" s="261" t="s">
        <v>2208</v>
      </c>
      <c r="N23" s="261" t="s">
        <v>5799</v>
      </c>
      <c r="O23" s="261" t="s">
        <v>5799</v>
      </c>
      <c r="P23" s="261" t="s">
        <v>5801</v>
      </c>
      <c r="Q23" s="261" t="s">
        <v>5801</v>
      </c>
      <c r="R23" s="261" t="s">
        <v>5801</v>
      </c>
      <c r="S23" s="261" t="s">
        <v>5801</v>
      </c>
      <c r="T23" s="261" t="s">
        <v>3320</v>
      </c>
      <c r="U23" s="261" t="s">
        <v>3320</v>
      </c>
      <c r="V23" s="261" t="s">
        <v>3320</v>
      </c>
      <c r="W23" s="261" t="s">
        <v>3320</v>
      </c>
      <c r="X23" s="13" t="s">
        <v>4896</v>
      </c>
      <c r="Y23" s="261" t="s">
        <v>6168</v>
      </c>
      <c r="Z23" s="261" t="s">
        <v>195</v>
      </c>
      <c r="AA23" s="261" t="s">
        <v>5195</v>
      </c>
      <c r="AN23" s="13"/>
      <c r="AO23" s="13"/>
    </row>
    <row r="24" ht="14.25" customHeight="1">
      <c r="A24" s="261" t="s">
        <v>1919</v>
      </c>
      <c r="B24" s="261" t="s">
        <v>5777</v>
      </c>
      <c r="C24" s="261" t="s">
        <v>6169</v>
      </c>
      <c r="D24" s="13" t="s">
        <v>1588</v>
      </c>
      <c r="E24" s="13" t="str">
        <f t="array" ref="E24">IFERROR(INDEX(REF_CODES!$B$142:$B$157,MATCH($D24,REF_CODES!$C$142:$C$157,0)),"")</f>
        <v>EP-ROO</v>
      </c>
      <c r="F24" s="261" t="s">
        <v>3012</v>
      </c>
      <c r="G24" s="261" t="s">
        <v>6172</v>
      </c>
      <c r="H24" s="261" t="s">
        <v>2360</v>
      </c>
      <c r="I24" s="261" t="s">
        <v>6174</v>
      </c>
      <c r="J24" s="261" t="s">
        <v>2208</v>
      </c>
      <c r="K24" s="261" t="s">
        <v>6175</v>
      </c>
      <c r="L24" s="261" t="s">
        <v>2208</v>
      </c>
      <c r="M24" s="261" t="s">
        <v>2208</v>
      </c>
      <c r="N24" s="261" t="s">
        <v>5799</v>
      </c>
      <c r="O24" s="261" t="s">
        <v>5799</v>
      </c>
      <c r="P24" s="261" t="s">
        <v>5801</v>
      </c>
      <c r="Q24" s="261" t="s">
        <v>5801</v>
      </c>
      <c r="R24" s="261" t="s">
        <v>5801</v>
      </c>
      <c r="S24" s="261" t="s">
        <v>5801</v>
      </c>
      <c r="T24" s="261" t="s">
        <v>3320</v>
      </c>
      <c r="U24" s="261" t="s">
        <v>3320</v>
      </c>
      <c r="V24" s="261" t="s">
        <v>3320</v>
      </c>
      <c r="W24" s="261" t="s">
        <v>3320</v>
      </c>
      <c r="X24" s="13" t="s">
        <v>5214</v>
      </c>
      <c r="Y24" s="261" t="s">
        <v>6176</v>
      </c>
      <c r="Z24" s="261" t="s">
        <v>195</v>
      </c>
      <c r="AA24" s="261" t="s">
        <v>5195</v>
      </c>
      <c r="AN24" s="13"/>
      <c r="AO24" s="13"/>
    </row>
    <row r="25" ht="14.25" customHeight="1">
      <c r="A25" s="261" t="s">
        <v>1919</v>
      </c>
      <c r="B25" s="261" t="s">
        <v>5777</v>
      </c>
      <c r="C25" s="261" t="s">
        <v>6177</v>
      </c>
      <c r="D25" s="13" t="s">
        <v>1588</v>
      </c>
      <c r="E25" s="13" t="str">
        <f t="array" ref="E25">IFERROR(INDEX(REF_CODES!$B$142:$B$157,MATCH($D25,REF_CODES!$C$142:$C$157,0)),"")</f>
        <v>EP-ROO</v>
      </c>
      <c r="F25" s="261" t="s">
        <v>6180</v>
      </c>
      <c r="G25" s="261" t="s">
        <v>2208</v>
      </c>
      <c r="H25" s="275" t="s">
        <v>6181</v>
      </c>
      <c r="I25" s="261" t="s">
        <v>6184</v>
      </c>
      <c r="J25" s="261" t="s">
        <v>2208</v>
      </c>
      <c r="K25" s="261" t="s">
        <v>2224</v>
      </c>
      <c r="L25" s="261" t="s">
        <v>2208</v>
      </c>
      <c r="M25" s="261" t="s">
        <v>2208</v>
      </c>
      <c r="N25" s="261" t="s">
        <v>5799</v>
      </c>
      <c r="O25" s="261" t="s">
        <v>5799</v>
      </c>
      <c r="P25" s="261" t="s">
        <v>5801</v>
      </c>
      <c r="Q25" s="261" t="s">
        <v>5801</v>
      </c>
      <c r="R25" s="261" t="s">
        <v>5801</v>
      </c>
      <c r="S25" s="261" t="s">
        <v>5801</v>
      </c>
      <c r="T25" s="261" t="s">
        <v>3320</v>
      </c>
      <c r="U25" s="261" t="s">
        <v>3320</v>
      </c>
      <c r="V25" s="261" t="s">
        <v>3320</v>
      </c>
      <c r="W25" s="261" t="s">
        <v>3320</v>
      </c>
      <c r="X25" s="13" t="s">
        <v>4817</v>
      </c>
      <c r="Y25" s="261" t="s">
        <v>6185</v>
      </c>
      <c r="Z25" s="261" t="s">
        <v>195</v>
      </c>
      <c r="AA25" s="261" t="s">
        <v>5195</v>
      </c>
      <c r="AN25" s="13"/>
      <c r="AO25" s="13"/>
    </row>
    <row r="26" ht="14.25" customHeight="1">
      <c r="A26" s="261" t="s">
        <v>1919</v>
      </c>
      <c r="B26" s="261" t="s">
        <v>5777</v>
      </c>
      <c r="C26" s="261" t="s">
        <v>6190</v>
      </c>
      <c r="D26" s="13" t="s">
        <v>1588</v>
      </c>
      <c r="E26" s="13" t="str">
        <f t="array" ref="E26">IFERROR(INDEX(REF_CODES!$B$142:$B$157,MATCH($D26,REF_CODES!$C$142:$C$157,0)),"")</f>
        <v>EP-ROO</v>
      </c>
      <c r="F26" s="261" t="s">
        <v>6193</v>
      </c>
      <c r="G26" s="261" t="s">
        <v>6194</v>
      </c>
      <c r="H26" s="261" t="s">
        <v>4272</v>
      </c>
      <c r="I26" s="261" t="s">
        <v>2208</v>
      </c>
      <c r="J26" s="261" t="s">
        <v>2208</v>
      </c>
      <c r="K26" s="261" t="s">
        <v>2224</v>
      </c>
      <c r="L26" s="261" t="s">
        <v>2208</v>
      </c>
      <c r="M26" s="261" t="s">
        <v>2208</v>
      </c>
      <c r="N26" s="261" t="s">
        <v>5799</v>
      </c>
      <c r="O26" s="261" t="s">
        <v>5799</v>
      </c>
      <c r="P26" s="261" t="s">
        <v>5801</v>
      </c>
      <c r="Q26" s="261" t="s">
        <v>5801</v>
      </c>
      <c r="R26" s="261" t="s">
        <v>5801</v>
      </c>
      <c r="S26" s="261" t="s">
        <v>5801</v>
      </c>
      <c r="T26" s="261" t="s">
        <v>3320</v>
      </c>
      <c r="U26" s="261" t="s">
        <v>3320</v>
      </c>
      <c r="V26" s="261" t="s">
        <v>3320</v>
      </c>
      <c r="W26" s="261" t="s">
        <v>3320</v>
      </c>
      <c r="X26" s="13" t="s">
        <v>4896</v>
      </c>
      <c r="Y26" s="261" t="s">
        <v>6195</v>
      </c>
      <c r="Z26" s="261" t="s">
        <v>195</v>
      </c>
      <c r="AA26" s="261" t="s">
        <v>5195</v>
      </c>
      <c r="AN26" s="13"/>
      <c r="AO26" s="13"/>
    </row>
    <row r="27" ht="14.25" customHeight="1">
      <c r="A27" s="261" t="s">
        <v>1919</v>
      </c>
      <c r="B27" s="261" t="s">
        <v>5777</v>
      </c>
      <c r="C27" s="261" t="s">
        <v>6196</v>
      </c>
      <c r="D27" s="13" t="s">
        <v>1588</v>
      </c>
      <c r="E27" s="13" t="str">
        <f t="array" ref="E27">IFERROR(INDEX(REF_CODES!$B$142:$B$157,MATCH($D27,REF_CODES!$C$142:$C$157,0)),"")</f>
        <v>EP-ROO</v>
      </c>
      <c r="F27" s="261" t="s">
        <v>6199</v>
      </c>
      <c r="G27" s="261" t="s">
        <v>6200</v>
      </c>
      <c r="H27" s="261" t="s">
        <v>6201</v>
      </c>
      <c r="I27" s="261" t="s">
        <v>2208</v>
      </c>
      <c r="J27" s="261" t="s">
        <v>2208</v>
      </c>
      <c r="K27" s="261" t="s">
        <v>2191</v>
      </c>
      <c r="L27" s="261" t="s">
        <v>2208</v>
      </c>
      <c r="M27" s="261" t="s">
        <v>2208</v>
      </c>
      <c r="N27" s="261" t="s">
        <v>5799</v>
      </c>
      <c r="O27" s="261" t="s">
        <v>5799</v>
      </c>
      <c r="P27" s="261" t="s">
        <v>5801</v>
      </c>
      <c r="Q27" s="261" t="s">
        <v>5801</v>
      </c>
      <c r="R27" s="261" t="s">
        <v>5801</v>
      </c>
      <c r="S27" s="261" t="s">
        <v>5801</v>
      </c>
      <c r="T27" s="261" t="s">
        <v>3320</v>
      </c>
      <c r="U27" s="261" t="s">
        <v>3320</v>
      </c>
      <c r="V27" s="261" t="s">
        <v>3320</v>
      </c>
      <c r="W27" s="261" t="s">
        <v>3320</v>
      </c>
      <c r="X27" s="13" t="s">
        <v>5214</v>
      </c>
      <c r="Y27" s="261" t="s">
        <v>6205</v>
      </c>
      <c r="Z27" s="261" t="s">
        <v>195</v>
      </c>
      <c r="AA27" s="261" t="s">
        <v>5195</v>
      </c>
      <c r="AN27" s="13"/>
      <c r="AO27" s="13"/>
    </row>
    <row r="28" ht="14.25" customHeight="1">
      <c r="A28" s="261" t="s">
        <v>1919</v>
      </c>
      <c r="B28" s="261" t="s">
        <v>5777</v>
      </c>
      <c r="C28" s="261" t="s">
        <v>6206</v>
      </c>
      <c r="D28" s="13" t="s">
        <v>1588</v>
      </c>
      <c r="E28" s="13" t="str">
        <f t="array" ref="E28">IFERROR(INDEX(REF_CODES!$B$142:$B$157,MATCH($D28,REF_CODES!$C$142:$C$157,0)),"")</f>
        <v>EP-ROO</v>
      </c>
      <c r="F28" s="261" t="s">
        <v>6209</v>
      </c>
      <c r="G28" s="261" t="s">
        <v>6210</v>
      </c>
      <c r="H28" s="261" t="s">
        <v>6212</v>
      </c>
      <c r="I28" s="261" t="s">
        <v>2208</v>
      </c>
      <c r="J28" s="261" t="s">
        <v>2208</v>
      </c>
      <c r="K28" s="261" t="s">
        <v>6213</v>
      </c>
      <c r="L28" s="261" t="s">
        <v>2208</v>
      </c>
      <c r="M28" s="261" t="s">
        <v>2208</v>
      </c>
      <c r="N28" s="261" t="s">
        <v>5799</v>
      </c>
      <c r="O28" s="261" t="s">
        <v>5799</v>
      </c>
      <c r="P28" s="261" t="s">
        <v>5801</v>
      </c>
      <c r="Q28" s="261" t="s">
        <v>5801</v>
      </c>
      <c r="R28" s="261" t="s">
        <v>5801</v>
      </c>
      <c r="S28" s="261" t="s">
        <v>5801</v>
      </c>
      <c r="T28" s="261" t="s">
        <v>3320</v>
      </c>
      <c r="U28" s="261" t="s">
        <v>3320</v>
      </c>
      <c r="V28" s="261" t="s">
        <v>3320</v>
      </c>
      <c r="W28" s="261" t="s">
        <v>3320</v>
      </c>
      <c r="X28" s="13" t="s">
        <v>5214</v>
      </c>
      <c r="Y28" s="261" t="s">
        <v>6214</v>
      </c>
      <c r="Z28" s="261" t="s">
        <v>195</v>
      </c>
      <c r="AA28" s="261" t="s">
        <v>5195</v>
      </c>
      <c r="AN28" s="13"/>
      <c r="AO28" s="13"/>
    </row>
    <row r="29" ht="14.25" customHeight="1">
      <c r="A29" s="261" t="s">
        <v>1919</v>
      </c>
      <c r="B29" s="261" t="s">
        <v>5777</v>
      </c>
      <c r="C29" s="261" t="s">
        <v>6216</v>
      </c>
      <c r="D29" s="13" t="s">
        <v>1588</v>
      </c>
      <c r="E29" s="13" t="str">
        <f t="array" ref="E29">IFERROR(INDEX(REF_CODES!$B$142:$B$157,MATCH($D29,REF_CODES!$C$142:$C$157,0)),"")</f>
        <v>EP-ROO</v>
      </c>
      <c r="F29" s="261" t="s">
        <v>2807</v>
      </c>
      <c r="G29" s="261" t="s">
        <v>6217</v>
      </c>
      <c r="H29" s="261" t="s">
        <v>6218</v>
      </c>
      <c r="I29" s="261" t="s">
        <v>2208</v>
      </c>
      <c r="J29" s="261" t="s">
        <v>2208</v>
      </c>
      <c r="K29" s="261" t="s">
        <v>6219</v>
      </c>
      <c r="L29" s="261" t="s">
        <v>2208</v>
      </c>
      <c r="M29" s="261" t="s">
        <v>2208</v>
      </c>
      <c r="N29" s="261" t="s">
        <v>5799</v>
      </c>
      <c r="O29" s="261" t="s">
        <v>5799</v>
      </c>
      <c r="P29" s="261" t="s">
        <v>5801</v>
      </c>
      <c r="Q29" s="261" t="s">
        <v>5801</v>
      </c>
      <c r="R29" s="261" t="s">
        <v>5801</v>
      </c>
      <c r="S29" s="261" t="s">
        <v>5801</v>
      </c>
      <c r="T29" s="261" t="s">
        <v>3320</v>
      </c>
      <c r="U29" s="261" t="s">
        <v>3320</v>
      </c>
      <c r="V29" s="261" t="s">
        <v>3320</v>
      </c>
      <c r="W29" s="261" t="s">
        <v>3320</v>
      </c>
      <c r="X29" s="13" t="s">
        <v>5214</v>
      </c>
      <c r="Y29" s="261" t="s">
        <v>6223</v>
      </c>
      <c r="Z29" s="261" t="s">
        <v>195</v>
      </c>
      <c r="AA29" s="261" t="s">
        <v>5195</v>
      </c>
      <c r="AN29" s="13"/>
      <c r="AO29" s="13"/>
    </row>
    <row r="30" ht="14.25" customHeight="1">
      <c r="A30" s="261" t="s">
        <v>1919</v>
      </c>
      <c r="B30" s="261" t="s">
        <v>5777</v>
      </c>
      <c r="C30" s="261" t="s">
        <v>6226</v>
      </c>
      <c r="D30" s="13" t="s">
        <v>1588</v>
      </c>
      <c r="E30" s="13" t="str">
        <f t="array" ref="E30">IFERROR(INDEX(REF_CODES!$B$142:$B$157,MATCH($D30,REF_CODES!$C$142:$C$157,0)),"")</f>
        <v>EP-ROO</v>
      </c>
      <c r="F30" s="261" t="s">
        <v>3180</v>
      </c>
      <c r="G30" s="261" t="s">
        <v>6228</v>
      </c>
      <c r="H30" s="261" t="s">
        <v>6230</v>
      </c>
      <c r="I30" s="261" t="s">
        <v>2208</v>
      </c>
      <c r="J30" s="261" t="s">
        <v>2208</v>
      </c>
      <c r="K30" s="261" t="s">
        <v>2306</v>
      </c>
      <c r="L30" s="261" t="s">
        <v>2208</v>
      </c>
      <c r="M30" s="261" t="s">
        <v>2208</v>
      </c>
      <c r="N30" s="261" t="s">
        <v>5799</v>
      </c>
      <c r="O30" s="261" t="s">
        <v>5799</v>
      </c>
      <c r="P30" s="261" t="s">
        <v>5801</v>
      </c>
      <c r="Q30" s="261" t="s">
        <v>5801</v>
      </c>
      <c r="R30" s="261" t="s">
        <v>5801</v>
      </c>
      <c r="S30" s="261" t="s">
        <v>5801</v>
      </c>
      <c r="T30" s="261" t="s">
        <v>3320</v>
      </c>
      <c r="U30" s="261" t="s">
        <v>3320</v>
      </c>
      <c r="V30" s="261" t="s">
        <v>3320</v>
      </c>
      <c r="W30" s="261" t="s">
        <v>3320</v>
      </c>
      <c r="X30" s="13" t="s">
        <v>5214</v>
      </c>
      <c r="Y30" s="261" t="s">
        <v>6233</v>
      </c>
      <c r="Z30" s="261" t="s">
        <v>195</v>
      </c>
      <c r="AA30" s="261" t="s">
        <v>5195</v>
      </c>
      <c r="AN30" s="13"/>
      <c r="AO30" s="13"/>
    </row>
    <row r="31" ht="14.25" customHeight="1">
      <c r="A31" s="261" t="s">
        <v>1919</v>
      </c>
      <c r="B31" s="261" t="s">
        <v>5777</v>
      </c>
      <c r="C31" s="261" t="s">
        <v>6236</v>
      </c>
      <c r="D31" s="13" t="s">
        <v>1588</v>
      </c>
      <c r="E31" s="13" t="str">
        <f t="array" ref="E31">IFERROR(INDEX(REF_CODES!$B$142:$B$157,MATCH($D31,REF_CODES!$C$142:$C$157,0)),"")</f>
        <v>EP-ROO</v>
      </c>
      <c r="F31" s="261" t="s">
        <v>6238</v>
      </c>
      <c r="G31" s="261" t="s">
        <v>2607</v>
      </c>
      <c r="H31" s="261" t="s">
        <v>2605</v>
      </c>
      <c r="I31" s="261" t="s">
        <v>2208</v>
      </c>
      <c r="J31" s="261" t="s">
        <v>2208</v>
      </c>
      <c r="K31" s="261" t="s">
        <v>2224</v>
      </c>
      <c r="L31" s="261" t="s">
        <v>2208</v>
      </c>
      <c r="M31" s="261" t="s">
        <v>2208</v>
      </c>
      <c r="N31" s="261" t="s">
        <v>5799</v>
      </c>
      <c r="O31" s="261" t="s">
        <v>5799</v>
      </c>
      <c r="P31" s="261" t="s">
        <v>5801</v>
      </c>
      <c r="Q31" s="261" t="s">
        <v>5801</v>
      </c>
      <c r="R31" s="261" t="s">
        <v>5801</v>
      </c>
      <c r="S31" s="261" t="s">
        <v>5801</v>
      </c>
      <c r="T31" s="261" t="s">
        <v>3320</v>
      </c>
      <c r="U31" s="261" t="s">
        <v>3320</v>
      </c>
      <c r="V31" s="261" t="s">
        <v>3320</v>
      </c>
      <c r="W31" s="261" t="s">
        <v>3320</v>
      </c>
      <c r="X31" s="13" t="s">
        <v>5214</v>
      </c>
      <c r="Y31" s="261" t="s">
        <v>6239</v>
      </c>
      <c r="Z31" s="261" t="s">
        <v>195</v>
      </c>
      <c r="AA31" s="261" t="s">
        <v>5195</v>
      </c>
      <c r="AN31" s="13"/>
      <c r="AO31" s="13"/>
    </row>
    <row r="32" ht="14.25" customHeight="1">
      <c r="A32" s="261" t="s">
        <v>1919</v>
      </c>
      <c r="B32" s="261" t="s">
        <v>5777</v>
      </c>
      <c r="C32" s="261" t="s">
        <v>6242</v>
      </c>
      <c r="D32" s="13" t="s">
        <v>1588</v>
      </c>
      <c r="E32" s="13" t="str">
        <f t="array" ref="E32">IFERROR(INDEX(REF_CODES!$B$142:$B$157,MATCH($D32,REF_CODES!$C$142:$C$157,0)),"")</f>
        <v>EP-ROO</v>
      </c>
      <c r="F32" s="261" t="s">
        <v>6246</v>
      </c>
      <c r="G32" s="261" t="s">
        <v>2635</v>
      </c>
      <c r="H32" s="261" t="s">
        <v>2633</v>
      </c>
      <c r="I32" s="261" t="s">
        <v>2208</v>
      </c>
      <c r="J32" s="261" t="s">
        <v>2208</v>
      </c>
      <c r="K32" s="261" t="s">
        <v>3379</v>
      </c>
      <c r="L32" s="261" t="s">
        <v>2208</v>
      </c>
      <c r="M32" s="261" t="s">
        <v>2208</v>
      </c>
      <c r="N32" s="261" t="s">
        <v>5799</v>
      </c>
      <c r="O32" s="261" t="s">
        <v>5799</v>
      </c>
      <c r="P32" s="261" t="s">
        <v>5801</v>
      </c>
      <c r="Q32" s="261" t="s">
        <v>5801</v>
      </c>
      <c r="R32" s="261" t="s">
        <v>5801</v>
      </c>
      <c r="S32" s="261" t="s">
        <v>5801</v>
      </c>
      <c r="T32" s="261" t="s">
        <v>3320</v>
      </c>
      <c r="U32" s="261" t="s">
        <v>3320</v>
      </c>
      <c r="V32" s="261" t="s">
        <v>3320</v>
      </c>
      <c r="W32" s="261" t="s">
        <v>3320</v>
      </c>
      <c r="X32" s="13" t="s">
        <v>5214</v>
      </c>
      <c r="Y32" s="261" t="s">
        <v>6250</v>
      </c>
      <c r="Z32" s="261" t="s">
        <v>195</v>
      </c>
      <c r="AA32" s="261" t="s">
        <v>5195</v>
      </c>
      <c r="AN32" s="13"/>
      <c r="AO32" s="13"/>
    </row>
    <row r="33" ht="14.25" customHeight="1">
      <c r="A33" s="261" t="s">
        <v>1919</v>
      </c>
      <c r="B33" s="261" t="s">
        <v>5777</v>
      </c>
      <c r="C33" s="261" t="s">
        <v>6256</v>
      </c>
      <c r="D33" s="13" t="s">
        <v>1588</v>
      </c>
      <c r="E33" s="13" t="str">
        <f t="array" ref="E33">IFERROR(INDEX(REF_CODES!$B$142:$B$157,MATCH($D33,REF_CODES!$C$142:$C$157,0)),"")</f>
        <v>EP-ROO</v>
      </c>
      <c r="F33" s="261" t="s">
        <v>6258</v>
      </c>
      <c r="G33" s="261" t="s">
        <v>6259</v>
      </c>
      <c r="H33" s="261" t="s">
        <v>6261</v>
      </c>
      <c r="I33" s="261" t="s">
        <v>2208</v>
      </c>
      <c r="J33" s="261" t="s">
        <v>2208</v>
      </c>
      <c r="K33" s="261" t="s">
        <v>2306</v>
      </c>
      <c r="L33" s="261" t="s">
        <v>2208</v>
      </c>
      <c r="M33" s="261" t="s">
        <v>2208</v>
      </c>
      <c r="N33" s="261" t="s">
        <v>5799</v>
      </c>
      <c r="O33" s="261" t="s">
        <v>5799</v>
      </c>
      <c r="P33" s="261" t="s">
        <v>5801</v>
      </c>
      <c r="Q33" s="261" t="s">
        <v>5801</v>
      </c>
      <c r="R33" s="261" t="s">
        <v>5801</v>
      </c>
      <c r="S33" s="261" t="s">
        <v>5801</v>
      </c>
      <c r="T33" s="261" t="s">
        <v>3320</v>
      </c>
      <c r="U33" s="261" t="s">
        <v>3320</v>
      </c>
      <c r="V33" s="261" t="s">
        <v>3320</v>
      </c>
      <c r="W33" s="261" t="s">
        <v>3320</v>
      </c>
      <c r="X33" s="13" t="s">
        <v>5214</v>
      </c>
      <c r="Y33" s="261" t="s">
        <v>6262</v>
      </c>
      <c r="Z33" s="261" t="s">
        <v>195</v>
      </c>
      <c r="AA33" s="261" t="s">
        <v>5195</v>
      </c>
      <c r="AN33" s="13"/>
      <c r="AO33" s="13"/>
    </row>
    <row r="34" ht="14.25" customHeight="1">
      <c r="A34" s="261" t="s">
        <v>1919</v>
      </c>
      <c r="B34" s="261" t="s">
        <v>5777</v>
      </c>
      <c r="C34" s="261" t="s">
        <v>6263</v>
      </c>
      <c r="D34" s="13" t="s">
        <v>1596</v>
      </c>
      <c r="E34" s="13" t="str">
        <f t="array" ref="E34">IFERROR(INDEX(REF_CODES!$B$142:$B$157,MATCH($D34,REF_CODES!$C$142:$C$157,0)),"")</f>
        <v>EP-RES</v>
      </c>
      <c r="F34" s="261" t="s">
        <v>3285</v>
      </c>
      <c r="G34" s="261" t="s">
        <v>6268</v>
      </c>
      <c r="H34" s="261" t="s">
        <v>6269</v>
      </c>
      <c r="I34" s="261" t="s">
        <v>6270</v>
      </c>
      <c r="J34" s="261" t="s">
        <v>2208</v>
      </c>
      <c r="K34" s="261" t="s">
        <v>6271</v>
      </c>
      <c r="L34" s="261" t="s">
        <v>2208</v>
      </c>
      <c r="M34" s="261" t="s">
        <v>2208</v>
      </c>
      <c r="N34" s="261" t="s">
        <v>5799</v>
      </c>
      <c r="O34" s="261" t="s">
        <v>5799</v>
      </c>
      <c r="P34" s="261" t="s">
        <v>5801</v>
      </c>
      <c r="Q34" s="261" t="s">
        <v>5801</v>
      </c>
      <c r="R34" s="261" t="s">
        <v>5801</v>
      </c>
      <c r="S34" s="261" t="s">
        <v>5801</v>
      </c>
      <c r="T34" s="261" t="s">
        <v>3320</v>
      </c>
      <c r="U34" s="261" t="s">
        <v>3320</v>
      </c>
      <c r="V34" s="261" t="s">
        <v>3320</v>
      </c>
      <c r="W34" s="261" t="s">
        <v>3320</v>
      </c>
      <c r="X34" s="13" t="s">
        <v>5214</v>
      </c>
      <c r="Y34" s="261" t="s">
        <v>6272</v>
      </c>
      <c r="Z34" s="261" t="s">
        <v>195</v>
      </c>
      <c r="AA34" s="261" t="s">
        <v>5195</v>
      </c>
      <c r="AN34" s="13"/>
      <c r="AO34" s="13"/>
    </row>
    <row r="35" ht="14.25" customHeight="1">
      <c r="A35" s="261" t="s">
        <v>1919</v>
      </c>
      <c r="B35" s="261" t="s">
        <v>5777</v>
      </c>
      <c r="C35" s="261" t="s">
        <v>6273</v>
      </c>
      <c r="D35" s="13" t="s">
        <v>1596</v>
      </c>
      <c r="E35" s="13" t="str">
        <f t="array" ref="E35">IFERROR(INDEX(REF_CODES!$B$142:$B$157,MATCH($D35,REF_CODES!$C$142:$C$157,0)),"")</f>
        <v>EP-RES</v>
      </c>
      <c r="F35" s="261" t="s">
        <v>6278</v>
      </c>
      <c r="G35" s="261" t="s">
        <v>6279</v>
      </c>
      <c r="H35" s="261" t="s">
        <v>6281</v>
      </c>
      <c r="I35" s="261" t="s">
        <v>6282</v>
      </c>
      <c r="J35" s="261" t="s">
        <v>2208</v>
      </c>
      <c r="K35" s="261" t="s">
        <v>2306</v>
      </c>
      <c r="L35" s="261" t="s">
        <v>2208</v>
      </c>
      <c r="M35" s="261" t="s">
        <v>2208</v>
      </c>
      <c r="N35" s="261" t="s">
        <v>5799</v>
      </c>
      <c r="O35" s="261" t="s">
        <v>5799</v>
      </c>
      <c r="P35" s="261" t="s">
        <v>5801</v>
      </c>
      <c r="Q35" s="261" t="s">
        <v>5801</v>
      </c>
      <c r="R35" s="261" t="s">
        <v>5801</v>
      </c>
      <c r="S35" s="261" t="s">
        <v>5801</v>
      </c>
      <c r="T35" s="261" t="s">
        <v>3320</v>
      </c>
      <c r="U35" s="261" t="s">
        <v>3320</v>
      </c>
      <c r="V35" s="261" t="s">
        <v>3320</v>
      </c>
      <c r="W35" s="261" t="s">
        <v>3320</v>
      </c>
      <c r="X35" s="13" t="s">
        <v>5214</v>
      </c>
      <c r="Y35" s="261" t="s">
        <v>6286</v>
      </c>
      <c r="Z35" s="261" t="s">
        <v>195</v>
      </c>
      <c r="AA35" s="261" t="s">
        <v>5195</v>
      </c>
      <c r="AN35" s="13"/>
      <c r="AO35" s="13"/>
    </row>
    <row r="36" ht="14.25" customHeight="1">
      <c r="A36" s="261" t="s">
        <v>1919</v>
      </c>
      <c r="B36" s="261" t="s">
        <v>5777</v>
      </c>
      <c r="C36" s="261" t="s">
        <v>6288</v>
      </c>
      <c r="D36" s="13" t="s">
        <v>1596</v>
      </c>
      <c r="E36" s="13" t="str">
        <f t="array" ref="E36">IFERROR(INDEX(REF_CODES!$B$142:$B$157,MATCH($D36,REF_CODES!$C$142:$C$157,0)),"")</f>
        <v>EP-RES</v>
      </c>
      <c r="F36" s="261" t="s">
        <v>6290</v>
      </c>
      <c r="G36" s="261" t="s">
        <v>6291</v>
      </c>
      <c r="H36" s="261" t="s">
        <v>6292</v>
      </c>
      <c r="I36" s="261" t="s">
        <v>6293</v>
      </c>
      <c r="J36" s="261" t="s">
        <v>2208</v>
      </c>
      <c r="K36" s="261" t="s">
        <v>2445</v>
      </c>
      <c r="L36" s="261" t="s">
        <v>2208</v>
      </c>
      <c r="M36" s="261" t="s">
        <v>2208</v>
      </c>
      <c r="N36" s="261" t="s">
        <v>5799</v>
      </c>
      <c r="O36" s="261" t="s">
        <v>5799</v>
      </c>
      <c r="P36" s="261" t="s">
        <v>5801</v>
      </c>
      <c r="Q36" s="261" t="s">
        <v>5801</v>
      </c>
      <c r="R36" s="261" t="s">
        <v>5801</v>
      </c>
      <c r="S36" s="261" t="s">
        <v>5801</v>
      </c>
      <c r="T36" s="261" t="s">
        <v>3320</v>
      </c>
      <c r="U36" s="261" t="s">
        <v>3320</v>
      </c>
      <c r="V36" s="261" t="s">
        <v>3320</v>
      </c>
      <c r="W36" s="261" t="s">
        <v>3320</v>
      </c>
      <c r="X36" s="13" t="s">
        <v>5214</v>
      </c>
      <c r="Y36" s="261" t="s">
        <v>6295</v>
      </c>
      <c r="Z36" s="261" t="s">
        <v>195</v>
      </c>
      <c r="AA36" s="261" t="s">
        <v>5195</v>
      </c>
      <c r="AN36" s="13"/>
      <c r="AO36" s="13"/>
    </row>
    <row r="37" ht="14.25" customHeight="1">
      <c r="A37" s="261" t="s">
        <v>1919</v>
      </c>
      <c r="B37" s="261" t="s">
        <v>5777</v>
      </c>
      <c r="C37" s="261" t="s">
        <v>6296</v>
      </c>
      <c r="D37" s="13" t="s">
        <v>1596</v>
      </c>
      <c r="E37" s="13" t="str">
        <f t="array" ref="E37">IFERROR(INDEX(REF_CODES!$B$142:$B$157,MATCH($D37,REF_CODES!$C$142:$C$157,0)),"")</f>
        <v>EP-RES</v>
      </c>
      <c r="F37" s="261" t="s">
        <v>6084</v>
      </c>
      <c r="G37" s="261" t="s">
        <v>6085</v>
      </c>
      <c r="H37" s="261" t="s">
        <v>3653</v>
      </c>
      <c r="I37" s="261" t="s">
        <v>6087</v>
      </c>
      <c r="J37" s="261" t="s">
        <v>2208</v>
      </c>
      <c r="K37" s="261" t="s">
        <v>6298</v>
      </c>
      <c r="L37" s="261" t="s">
        <v>2208</v>
      </c>
      <c r="M37" s="261" t="s">
        <v>2208</v>
      </c>
      <c r="N37" s="261" t="s">
        <v>5799</v>
      </c>
      <c r="O37" s="261" t="s">
        <v>5799</v>
      </c>
      <c r="P37" s="261" t="s">
        <v>5801</v>
      </c>
      <c r="Q37" s="261" t="s">
        <v>5801</v>
      </c>
      <c r="R37" s="261" t="s">
        <v>5801</v>
      </c>
      <c r="S37" s="261" t="s">
        <v>5801</v>
      </c>
      <c r="T37" s="261" t="s">
        <v>3320</v>
      </c>
      <c r="U37" s="261" t="s">
        <v>3320</v>
      </c>
      <c r="V37" s="261" t="s">
        <v>3320</v>
      </c>
      <c r="W37" s="261" t="s">
        <v>3320</v>
      </c>
      <c r="X37" s="13" t="s">
        <v>5214</v>
      </c>
      <c r="Y37" s="261" t="s">
        <v>6300</v>
      </c>
      <c r="Z37" s="261" t="s">
        <v>195</v>
      </c>
      <c r="AA37" s="261" t="s">
        <v>5195</v>
      </c>
      <c r="AN37" s="13"/>
      <c r="AO37" s="13"/>
    </row>
    <row r="38" ht="14.25" customHeight="1">
      <c r="A38" s="261" t="s">
        <v>1919</v>
      </c>
      <c r="B38" s="261" t="s">
        <v>5777</v>
      </c>
      <c r="C38" s="261" t="s">
        <v>6302</v>
      </c>
      <c r="D38" s="13" t="s">
        <v>1596</v>
      </c>
      <c r="E38" s="13" t="str">
        <f t="array" ref="E38">IFERROR(INDEX(REF_CODES!$B$142:$B$157,MATCH($D38,REF_CODES!$C$142:$C$157,0)),"")</f>
        <v>EP-RES</v>
      </c>
      <c r="F38" s="261" t="s">
        <v>6303</v>
      </c>
      <c r="G38" s="261" t="s">
        <v>6304</v>
      </c>
      <c r="H38" s="261" t="s">
        <v>6305</v>
      </c>
      <c r="I38" s="261" t="s">
        <v>6306</v>
      </c>
      <c r="J38" s="261" t="s">
        <v>2208</v>
      </c>
      <c r="K38" s="261" t="s">
        <v>2306</v>
      </c>
      <c r="L38" s="261" t="s">
        <v>2208</v>
      </c>
      <c r="M38" s="261" t="s">
        <v>2208</v>
      </c>
      <c r="N38" s="261" t="s">
        <v>5799</v>
      </c>
      <c r="O38" s="261" t="s">
        <v>5799</v>
      </c>
      <c r="P38" s="261" t="s">
        <v>5801</v>
      </c>
      <c r="Q38" s="261" t="s">
        <v>5801</v>
      </c>
      <c r="R38" s="261" t="s">
        <v>5801</v>
      </c>
      <c r="S38" s="261" t="s">
        <v>5801</v>
      </c>
      <c r="T38" s="261" t="s">
        <v>3320</v>
      </c>
      <c r="U38" s="261" t="s">
        <v>3320</v>
      </c>
      <c r="V38" s="261" t="s">
        <v>3320</v>
      </c>
      <c r="W38" s="261" t="s">
        <v>3320</v>
      </c>
      <c r="X38" s="13" t="s">
        <v>5214</v>
      </c>
      <c r="Y38" s="261" t="s">
        <v>6311</v>
      </c>
      <c r="Z38" s="261" t="s">
        <v>195</v>
      </c>
      <c r="AA38" s="261" t="s">
        <v>5195</v>
      </c>
      <c r="AN38" s="13"/>
      <c r="AO38" s="13"/>
    </row>
    <row r="39" ht="14.25" customHeight="1">
      <c r="A39" s="261" t="s">
        <v>1919</v>
      </c>
      <c r="B39" s="261" t="s">
        <v>5777</v>
      </c>
      <c r="C39" s="261" t="s">
        <v>6313</v>
      </c>
      <c r="D39" s="13" t="s">
        <v>1596</v>
      </c>
      <c r="E39" s="13" t="str">
        <f t="array" ref="E39">IFERROR(INDEX(REF_CODES!$B$142:$B$157,MATCH($D39,REF_CODES!$C$142:$C$157,0)),"")</f>
        <v>EP-RES</v>
      </c>
      <c r="F39" s="261" t="s">
        <v>6320</v>
      </c>
      <c r="G39" s="261" t="s">
        <v>6321</v>
      </c>
      <c r="H39" s="261" t="s">
        <v>6322</v>
      </c>
      <c r="I39" s="261" t="s">
        <v>6323</v>
      </c>
      <c r="J39" s="261" t="s">
        <v>2208</v>
      </c>
      <c r="K39" s="261" t="s">
        <v>2306</v>
      </c>
      <c r="L39" s="261" t="s">
        <v>2208</v>
      </c>
      <c r="M39" s="261" t="s">
        <v>2208</v>
      </c>
      <c r="N39" s="261" t="s">
        <v>5799</v>
      </c>
      <c r="O39" s="261" t="s">
        <v>5799</v>
      </c>
      <c r="P39" s="261" t="s">
        <v>5801</v>
      </c>
      <c r="Q39" s="261" t="s">
        <v>5801</v>
      </c>
      <c r="R39" s="261" t="s">
        <v>5801</v>
      </c>
      <c r="S39" s="261" t="s">
        <v>5801</v>
      </c>
      <c r="T39" s="261" t="s">
        <v>3320</v>
      </c>
      <c r="U39" s="261" t="s">
        <v>3320</v>
      </c>
      <c r="V39" s="261" t="s">
        <v>3320</v>
      </c>
      <c r="W39" s="261" t="s">
        <v>3320</v>
      </c>
      <c r="X39" s="13" t="s">
        <v>5214</v>
      </c>
      <c r="Y39" s="261" t="s">
        <v>6325</v>
      </c>
      <c r="Z39" s="261" t="s">
        <v>195</v>
      </c>
      <c r="AA39" s="261" t="s">
        <v>5195</v>
      </c>
      <c r="AN39" s="13"/>
      <c r="AO39" s="13"/>
    </row>
    <row r="40" ht="14.25" customHeight="1">
      <c r="A40" s="261" t="s">
        <v>2172</v>
      </c>
      <c r="B40" s="261" t="s">
        <v>5777</v>
      </c>
      <c r="C40" s="261" t="s">
        <v>6326</v>
      </c>
      <c r="D40" s="13" t="s">
        <v>1612</v>
      </c>
      <c r="E40" s="13" t="str">
        <f t="array" ref="E40">IFERROR(INDEX(REF_CODES!$B$142:$B$157,MATCH($D40,REF_CODES!$C$142:$C$157,0)),"")</f>
        <v>EP-BEA</v>
      </c>
      <c r="F40" s="261" t="s">
        <v>6328</v>
      </c>
      <c r="G40" s="261" t="s">
        <v>6329</v>
      </c>
      <c r="H40" s="261" t="s">
        <v>6330</v>
      </c>
      <c r="I40" s="261" t="s">
        <v>6331</v>
      </c>
      <c r="J40" s="261" t="s">
        <v>2208</v>
      </c>
      <c r="K40" s="261" t="s">
        <v>2519</v>
      </c>
      <c r="L40" s="261" t="s">
        <v>2208</v>
      </c>
      <c r="M40" s="261" t="s">
        <v>2208</v>
      </c>
      <c r="N40" s="261" t="s">
        <v>5799</v>
      </c>
      <c r="O40" s="261" t="s">
        <v>5799</v>
      </c>
      <c r="P40" s="261" t="s">
        <v>5801</v>
      </c>
      <c r="Q40" s="261" t="s">
        <v>5801</v>
      </c>
      <c r="R40" s="261" t="s">
        <v>5801</v>
      </c>
      <c r="S40" s="261" t="s">
        <v>5801</v>
      </c>
      <c r="T40" s="261" t="s">
        <v>3320</v>
      </c>
      <c r="U40" s="261" t="s">
        <v>3320</v>
      </c>
      <c r="V40" s="261" t="s">
        <v>3320</v>
      </c>
      <c r="W40" s="261" t="s">
        <v>3320</v>
      </c>
      <c r="X40" s="13" t="s">
        <v>5214</v>
      </c>
      <c r="Y40" s="261" t="s">
        <v>6332</v>
      </c>
      <c r="Z40" s="261" t="s">
        <v>195</v>
      </c>
      <c r="AA40" s="261" t="s">
        <v>5195</v>
      </c>
      <c r="AN40" s="13"/>
      <c r="AO40" s="13"/>
    </row>
    <row r="41" ht="14.25" customHeight="1">
      <c r="A41" s="261" t="s">
        <v>2172</v>
      </c>
      <c r="B41" s="261" t="s">
        <v>5777</v>
      </c>
      <c r="C41" s="261" t="s">
        <v>6333</v>
      </c>
      <c r="D41" s="261" t="s">
        <v>1612</v>
      </c>
      <c r="E41" s="261" t="str">
        <f t="array" ref="E41">IFERROR(INDEX(REF_CODES!$B$142:$B$157,MATCH($D41,REF_CODES!$C$142:$C$157,0)),"")</f>
        <v>EP-BEA</v>
      </c>
      <c r="F41" s="261" t="s">
        <v>6336</v>
      </c>
      <c r="G41" s="261" t="s">
        <v>2208</v>
      </c>
      <c r="H41" s="275" t="s">
        <v>6337</v>
      </c>
      <c r="I41" s="261" t="s">
        <v>2208</v>
      </c>
      <c r="J41" s="261" t="s">
        <v>2208</v>
      </c>
      <c r="K41" s="261" t="s">
        <v>2519</v>
      </c>
      <c r="L41" s="261" t="s">
        <v>2208</v>
      </c>
      <c r="M41" s="261" t="s">
        <v>2208</v>
      </c>
      <c r="N41" s="261" t="s">
        <v>5799</v>
      </c>
      <c r="O41" s="261" t="s">
        <v>5799</v>
      </c>
      <c r="P41" s="261" t="s">
        <v>5801</v>
      </c>
      <c r="Q41" s="261" t="s">
        <v>5801</v>
      </c>
      <c r="R41" s="261" t="s">
        <v>5801</v>
      </c>
      <c r="S41" s="261" t="s">
        <v>5801</v>
      </c>
      <c r="T41" s="261" t="s">
        <v>3320</v>
      </c>
      <c r="U41" s="261" t="s">
        <v>3320</v>
      </c>
      <c r="V41" s="261" t="s">
        <v>3320</v>
      </c>
      <c r="W41" s="261" t="s">
        <v>3320</v>
      </c>
      <c r="X41" s="13" t="s">
        <v>4817</v>
      </c>
      <c r="Y41" s="261" t="s">
        <v>6339</v>
      </c>
      <c r="Z41" s="261" t="s">
        <v>195</v>
      </c>
      <c r="AA41" s="261" t="s">
        <v>5195</v>
      </c>
    </row>
    <row r="42" ht="14.25" customHeight="1">
      <c r="A42" s="261" t="s">
        <v>2172</v>
      </c>
      <c r="B42" s="261" t="s">
        <v>5777</v>
      </c>
      <c r="C42" s="261" t="s">
        <v>6340</v>
      </c>
      <c r="D42" s="261" t="s">
        <v>1612</v>
      </c>
      <c r="E42" s="261" t="str">
        <f t="array" ref="E42">IFERROR(INDEX(REF_CODES!$B$142:$B$157,MATCH($D42,REF_CODES!$C$142:$C$157,0)),"")</f>
        <v>EP-BEA</v>
      </c>
      <c r="F42" s="261" t="s">
        <v>6342</v>
      </c>
      <c r="G42" s="261" t="s">
        <v>6343</v>
      </c>
      <c r="H42" s="261" t="s">
        <v>6345</v>
      </c>
      <c r="I42" s="261" t="s">
        <v>6346</v>
      </c>
      <c r="J42" s="261" t="s">
        <v>2208</v>
      </c>
      <c r="K42" s="261" t="s">
        <v>2519</v>
      </c>
      <c r="L42" s="261" t="s">
        <v>2208</v>
      </c>
      <c r="M42" s="261" t="s">
        <v>2208</v>
      </c>
      <c r="N42" s="261" t="s">
        <v>5799</v>
      </c>
      <c r="O42" s="261" t="s">
        <v>5799</v>
      </c>
      <c r="P42" s="261" t="s">
        <v>5801</v>
      </c>
      <c r="Q42" s="261" t="s">
        <v>5801</v>
      </c>
      <c r="R42" s="261" t="s">
        <v>5801</v>
      </c>
      <c r="S42" s="261" t="s">
        <v>5801</v>
      </c>
      <c r="T42" s="261" t="s">
        <v>3320</v>
      </c>
      <c r="U42" s="261" t="s">
        <v>3320</v>
      </c>
      <c r="V42" s="261" t="s">
        <v>3320</v>
      </c>
      <c r="W42" s="261" t="s">
        <v>3320</v>
      </c>
      <c r="X42" s="13" t="s">
        <v>4896</v>
      </c>
      <c r="Y42" s="261" t="s">
        <v>6350</v>
      </c>
      <c r="Z42" s="261" t="s">
        <v>195</v>
      </c>
      <c r="AA42" s="261" t="s">
        <v>5195</v>
      </c>
    </row>
    <row r="43" ht="14.25" customHeight="1">
      <c r="A43" s="261" t="s">
        <v>2172</v>
      </c>
      <c r="B43" s="261" t="s">
        <v>5777</v>
      </c>
      <c r="C43" s="261" t="s">
        <v>6351</v>
      </c>
      <c r="D43" s="261" t="s">
        <v>1612</v>
      </c>
      <c r="E43" s="261" t="str">
        <f t="array" ref="E43">IFERROR(INDEX(REF_CODES!$B$142:$B$157,MATCH($D43,REF_CODES!$C$142:$C$157,0)),"")</f>
        <v>EP-BEA</v>
      </c>
      <c r="F43" s="261" t="s">
        <v>6353</v>
      </c>
      <c r="G43" s="261" t="s">
        <v>6354</v>
      </c>
      <c r="H43" s="261" t="s">
        <v>6355</v>
      </c>
      <c r="I43" s="261" t="s">
        <v>2208</v>
      </c>
      <c r="J43" s="261" t="s">
        <v>2208</v>
      </c>
      <c r="K43" s="261" t="s">
        <v>2519</v>
      </c>
      <c r="L43" s="261" t="s">
        <v>2208</v>
      </c>
      <c r="M43" s="261" t="s">
        <v>2208</v>
      </c>
      <c r="N43" s="261" t="s">
        <v>5799</v>
      </c>
      <c r="O43" s="261" t="s">
        <v>5799</v>
      </c>
      <c r="P43" s="261" t="s">
        <v>5801</v>
      </c>
      <c r="Q43" s="261" t="s">
        <v>5801</v>
      </c>
      <c r="R43" s="261" t="s">
        <v>5801</v>
      </c>
      <c r="S43" s="261" t="s">
        <v>5801</v>
      </c>
      <c r="T43" s="261" t="s">
        <v>3320</v>
      </c>
      <c r="U43" s="261" t="s">
        <v>3320</v>
      </c>
      <c r="V43" s="261" t="s">
        <v>3320</v>
      </c>
      <c r="W43" s="261" t="s">
        <v>3320</v>
      </c>
      <c r="X43" s="13" t="s">
        <v>5214</v>
      </c>
      <c r="Y43" s="261" t="s">
        <v>6362</v>
      </c>
      <c r="Z43" s="261" t="s">
        <v>195</v>
      </c>
      <c r="AA43" s="261" t="s">
        <v>5195</v>
      </c>
    </row>
    <row r="44" ht="14.25" customHeight="1">
      <c r="A44" s="261" t="s">
        <v>2172</v>
      </c>
      <c r="B44" s="261" t="s">
        <v>5777</v>
      </c>
      <c r="C44" s="261" t="s">
        <v>6363</v>
      </c>
      <c r="D44" s="261" t="s">
        <v>1612</v>
      </c>
      <c r="E44" s="261" t="str">
        <f t="array" ref="E44">IFERROR(INDEX(REF_CODES!$B$142:$B$157,MATCH($D44,REF_CODES!$C$142:$C$157,0)),"")</f>
        <v>EP-BEA</v>
      </c>
      <c r="F44" s="261" t="s">
        <v>6365</v>
      </c>
      <c r="G44" s="261" t="s">
        <v>6366</v>
      </c>
      <c r="H44" s="261" t="s">
        <v>6367</v>
      </c>
      <c r="I44" s="261" t="s">
        <v>2208</v>
      </c>
      <c r="J44" s="261" t="s">
        <v>2208</v>
      </c>
      <c r="K44" s="261" t="s">
        <v>6368</v>
      </c>
      <c r="L44" s="261" t="s">
        <v>2208</v>
      </c>
      <c r="M44" s="261" t="s">
        <v>2208</v>
      </c>
      <c r="N44" s="261" t="s">
        <v>5799</v>
      </c>
      <c r="O44" s="261" t="s">
        <v>5799</v>
      </c>
      <c r="P44" s="261" t="s">
        <v>5801</v>
      </c>
      <c r="Q44" s="261" t="s">
        <v>5801</v>
      </c>
      <c r="R44" s="261" t="s">
        <v>5801</v>
      </c>
      <c r="S44" s="261" t="s">
        <v>5801</v>
      </c>
      <c r="T44" s="261" t="s">
        <v>3320</v>
      </c>
      <c r="U44" s="261" t="s">
        <v>3320</v>
      </c>
      <c r="V44" s="261" t="s">
        <v>3320</v>
      </c>
      <c r="W44" s="261" t="s">
        <v>3320</v>
      </c>
      <c r="X44" s="13" t="s">
        <v>5214</v>
      </c>
      <c r="Y44" s="261" t="s">
        <v>6369</v>
      </c>
      <c r="Z44" s="261" t="s">
        <v>195</v>
      </c>
      <c r="AA44" s="261" t="s">
        <v>5195</v>
      </c>
    </row>
    <row r="45" ht="14.25" customHeight="1">
      <c r="A45" s="261" t="s">
        <v>2172</v>
      </c>
      <c r="B45" s="261" t="s">
        <v>5777</v>
      </c>
      <c r="C45" s="261" t="s">
        <v>6371</v>
      </c>
      <c r="D45" s="261" t="s">
        <v>1612</v>
      </c>
      <c r="E45" s="261" t="str">
        <f t="array" ref="E45">IFERROR(INDEX(REF_CODES!$B$142:$B$157,MATCH($D45,REF_CODES!$C$142:$C$157,0)),"")</f>
        <v>EP-BEA</v>
      </c>
      <c r="F45" s="261" t="s">
        <v>6373</v>
      </c>
      <c r="G45" s="261" t="s">
        <v>6374</v>
      </c>
      <c r="H45" s="261" t="s">
        <v>6375</v>
      </c>
      <c r="I45" s="261" t="s">
        <v>2208</v>
      </c>
      <c r="J45" s="261" t="s">
        <v>2208</v>
      </c>
      <c r="K45" s="261" t="s">
        <v>6376</v>
      </c>
      <c r="L45" s="261" t="s">
        <v>2208</v>
      </c>
      <c r="M45" s="261" t="s">
        <v>2208</v>
      </c>
      <c r="N45" s="261" t="s">
        <v>5799</v>
      </c>
      <c r="O45" s="261" t="s">
        <v>5799</v>
      </c>
      <c r="P45" s="261" t="s">
        <v>5801</v>
      </c>
      <c r="Q45" s="261" t="s">
        <v>5801</v>
      </c>
      <c r="R45" s="261" t="s">
        <v>5801</v>
      </c>
      <c r="S45" s="261" t="s">
        <v>5801</v>
      </c>
      <c r="T45" s="261" t="s">
        <v>3320</v>
      </c>
      <c r="U45" s="261" t="s">
        <v>3320</v>
      </c>
      <c r="V45" s="261" t="s">
        <v>3320</v>
      </c>
      <c r="W45" s="261" t="s">
        <v>3320</v>
      </c>
      <c r="X45" s="13" t="s">
        <v>4896</v>
      </c>
      <c r="Y45" s="261" t="s">
        <v>6378</v>
      </c>
      <c r="Z45" s="261" t="s">
        <v>195</v>
      </c>
      <c r="AA45" s="261" t="s">
        <v>5195</v>
      </c>
    </row>
    <row r="46" ht="14.25" customHeight="1">
      <c r="A46" s="261" t="s">
        <v>2172</v>
      </c>
      <c r="B46" s="261" t="s">
        <v>5777</v>
      </c>
      <c r="C46" s="261" t="s">
        <v>6379</v>
      </c>
      <c r="D46" s="261" t="s">
        <v>1612</v>
      </c>
      <c r="E46" s="261" t="str">
        <f t="array" ref="E46">IFERROR(INDEX(REF_CODES!$B$142:$B$157,MATCH($D46,REF_CODES!$C$142:$C$157,0)),"")</f>
        <v>EP-BEA</v>
      </c>
      <c r="F46" s="261" t="s">
        <v>6381</v>
      </c>
      <c r="G46" s="261" t="s">
        <v>6382</v>
      </c>
      <c r="H46" s="261" t="s">
        <v>6383</v>
      </c>
      <c r="I46" s="261" t="s">
        <v>2208</v>
      </c>
      <c r="J46" s="261" t="s">
        <v>2208</v>
      </c>
      <c r="K46" s="261" t="s">
        <v>6384</v>
      </c>
      <c r="L46" s="261" t="s">
        <v>2208</v>
      </c>
      <c r="M46" s="261" t="s">
        <v>2208</v>
      </c>
      <c r="N46" s="261" t="s">
        <v>5799</v>
      </c>
      <c r="O46" s="261" t="s">
        <v>5799</v>
      </c>
      <c r="P46" s="261" t="s">
        <v>5801</v>
      </c>
      <c r="Q46" s="261" t="s">
        <v>5801</v>
      </c>
      <c r="R46" s="261" t="s">
        <v>5801</v>
      </c>
      <c r="S46" s="261" t="s">
        <v>5801</v>
      </c>
      <c r="T46" s="261" t="s">
        <v>3320</v>
      </c>
      <c r="U46" s="261" t="s">
        <v>3320</v>
      </c>
      <c r="V46" s="261" t="s">
        <v>3320</v>
      </c>
      <c r="W46" s="261" t="s">
        <v>3320</v>
      </c>
      <c r="X46" s="13" t="s">
        <v>5214</v>
      </c>
      <c r="Y46" s="261" t="s">
        <v>6387</v>
      </c>
      <c r="Z46" s="261" t="s">
        <v>195</v>
      </c>
      <c r="AA46" s="261" t="s">
        <v>5195</v>
      </c>
    </row>
    <row r="47" ht="14.25" customHeight="1">
      <c r="A47" s="261" t="s">
        <v>2172</v>
      </c>
      <c r="B47" s="261" t="s">
        <v>5777</v>
      </c>
      <c r="C47" s="261" t="s">
        <v>6388</v>
      </c>
      <c r="D47" s="261" t="s">
        <v>1612</v>
      </c>
      <c r="E47" s="261" t="str">
        <f t="array" ref="E47">IFERROR(INDEX(REF_CODES!$B$142:$B$157,MATCH($D47,REF_CODES!$C$142:$C$157,0)),"")</f>
        <v>EP-BEA</v>
      </c>
      <c r="F47" s="261" t="s">
        <v>6392</v>
      </c>
      <c r="G47" s="261" t="s">
        <v>2208</v>
      </c>
      <c r="H47" s="261" t="s">
        <v>2208</v>
      </c>
      <c r="I47" s="261" t="s">
        <v>2208</v>
      </c>
      <c r="J47" s="261" t="s">
        <v>2208</v>
      </c>
      <c r="K47" s="261" t="s">
        <v>6394</v>
      </c>
      <c r="L47" s="261" t="s">
        <v>2208</v>
      </c>
      <c r="M47" s="261" t="s">
        <v>2208</v>
      </c>
      <c r="N47" s="261" t="s">
        <v>5799</v>
      </c>
      <c r="O47" s="261" t="s">
        <v>5799</v>
      </c>
      <c r="P47" s="261" t="s">
        <v>5801</v>
      </c>
      <c r="Q47" s="261" t="s">
        <v>5801</v>
      </c>
      <c r="R47" s="261" t="s">
        <v>5801</v>
      </c>
      <c r="S47" s="261" t="s">
        <v>5801</v>
      </c>
      <c r="T47" s="261" t="s">
        <v>3320</v>
      </c>
      <c r="U47" s="261" t="s">
        <v>3320</v>
      </c>
      <c r="V47" s="261" t="s">
        <v>3320</v>
      </c>
      <c r="W47" s="261" t="s">
        <v>3320</v>
      </c>
      <c r="X47" s="13" t="s">
        <v>6396</v>
      </c>
      <c r="Y47" s="261" t="s">
        <v>6397</v>
      </c>
      <c r="Z47" s="261" t="s">
        <v>195</v>
      </c>
      <c r="AA47" s="261" t="s">
        <v>5195</v>
      </c>
    </row>
    <row r="48" ht="14.25" customHeight="1">
      <c r="A48" s="261" t="s">
        <v>2172</v>
      </c>
      <c r="B48" s="261" t="s">
        <v>5777</v>
      </c>
      <c r="C48" s="261" t="s">
        <v>6398</v>
      </c>
      <c r="D48" s="261" t="s">
        <v>1630</v>
      </c>
      <c r="E48" s="261" t="str">
        <f t="array" ref="E48">IFERROR(INDEX(REF_CODES!$B$142:$B$157,MATCH($D48,REF_CODES!$C$142:$C$157,0)),"")</f>
        <v>EP-JAR</v>
      </c>
      <c r="F48" s="261" t="s">
        <v>6404</v>
      </c>
      <c r="G48" s="261" t="s">
        <v>6405</v>
      </c>
      <c r="H48" s="261" t="s">
        <v>6406</v>
      </c>
      <c r="I48" s="261" t="s">
        <v>6407</v>
      </c>
      <c r="J48" s="261" t="s">
        <v>2208</v>
      </c>
      <c r="K48" s="261" t="s">
        <v>3523</v>
      </c>
      <c r="L48" s="261" t="s">
        <v>2208</v>
      </c>
      <c r="M48" s="261" t="s">
        <v>2208</v>
      </c>
      <c r="N48" s="261" t="s">
        <v>5799</v>
      </c>
      <c r="O48" s="261" t="s">
        <v>5799</v>
      </c>
      <c r="P48" s="261" t="s">
        <v>5801</v>
      </c>
      <c r="Q48" s="261" t="s">
        <v>5801</v>
      </c>
      <c r="R48" s="261" t="s">
        <v>5801</v>
      </c>
      <c r="S48" s="261" t="s">
        <v>5801</v>
      </c>
      <c r="T48" s="261" t="s">
        <v>3320</v>
      </c>
      <c r="U48" s="261" t="s">
        <v>3320</v>
      </c>
      <c r="V48" s="261" t="s">
        <v>3320</v>
      </c>
      <c r="W48" s="261" t="s">
        <v>3320</v>
      </c>
      <c r="X48" s="13" t="s">
        <v>5214</v>
      </c>
      <c r="Y48" s="261" t="s">
        <v>6409</v>
      </c>
      <c r="Z48" s="261" t="s">
        <v>195</v>
      </c>
      <c r="AA48" s="261" t="s">
        <v>5195</v>
      </c>
    </row>
    <row r="49" ht="14.25" customHeight="1">
      <c r="A49" s="261" t="s">
        <v>2172</v>
      </c>
      <c r="B49" s="261" t="s">
        <v>5777</v>
      </c>
      <c r="C49" s="261" t="s">
        <v>6412</v>
      </c>
      <c r="D49" s="261" t="s">
        <v>1630</v>
      </c>
      <c r="E49" s="261" t="str">
        <f t="array" ref="E49">IFERROR(INDEX(REF_CODES!$B$142:$B$157,MATCH($D49,REF_CODES!$C$142:$C$157,0)),"")</f>
        <v>EP-JAR</v>
      </c>
      <c r="F49" s="261" t="s">
        <v>6413</v>
      </c>
      <c r="G49" s="261" t="s">
        <v>2208</v>
      </c>
      <c r="H49" s="275" t="s">
        <v>5641</v>
      </c>
      <c r="I49" s="261" t="s">
        <v>6414</v>
      </c>
      <c r="J49" s="261" t="s">
        <v>2208</v>
      </c>
      <c r="K49" s="261" t="s">
        <v>4060</v>
      </c>
      <c r="L49" s="261" t="s">
        <v>2208</v>
      </c>
      <c r="M49" s="261" t="s">
        <v>2208</v>
      </c>
      <c r="N49" s="261" t="s">
        <v>5799</v>
      </c>
      <c r="O49" s="261" t="s">
        <v>5799</v>
      </c>
      <c r="P49" s="261" t="s">
        <v>5801</v>
      </c>
      <c r="Q49" s="261" t="s">
        <v>5801</v>
      </c>
      <c r="R49" s="261" t="s">
        <v>5801</v>
      </c>
      <c r="S49" s="261" t="s">
        <v>5801</v>
      </c>
      <c r="T49" s="261" t="s">
        <v>3320</v>
      </c>
      <c r="U49" s="261" t="s">
        <v>3320</v>
      </c>
      <c r="V49" s="261" t="s">
        <v>3320</v>
      </c>
      <c r="W49" s="261" t="s">
        <v>3320</v>
      </c>
      <c r="X49" s="13" t="s">
        <v>4817</v>
      </c>
      <c r="Y49" s="261" t="s">
        <v>6417</v>
      </c>
      <c r="Z49" s="261" t="s">
        <v>195</v>
      </c>
      <c r="AA49" s="261" t="s">
        <v>5195</v>
      </c>
    </row>
    <row r="50" ht="14.25" customHeight="1">
      <c r="A50" s="261" t="s">
        <v>2172</v>
      </c>
      <c r="B50" s="261" t="s">
        <v>5777</v>
      </c>
      <c r="C50" s="261" t="s">
        <v>6418</v>
      </c>
      <c r="D50" s="261" t="s">
        <v>1630</v>
      </c>
      <c r="E50" s="261" t="str">
        <f t="array" ref="E50">IFERROR(INDEX(REF_CODES!$B$142:$B$157,MATCH($D50,REF_CODES!$C$142:$C$157,0)),"")</f>
        <v>EP-JAR</v>
      </c>
      <c r="F50" s="261" t="s">
        <v>6419</v>
      </c>
      <c r="G50" s="261" t="s">
        <v>6420</v>
      </c>
      <c r="H50" s="261" t="s">
        <v>6421</v>
      </c>
      <c r="I50" s="261" t="s">
        <v>2208</v>
      </c>
      <c r="J50" s="261" t="s">
        <v>2208</v>
      </c>
      <c r="K50" s="261" t="s">
        <v>2191</v>
      </c>
      <c r="L50" s="261" t="s">
        <v>2208</v>
      </c>
      <c r="M50" s="261" t="s">
        <v>2208</v>
      </c>
      <c r="N50" s="261" t="s">
        <v>5799</v>
      </c>
      <c r="O50" s="261" t="s">
        <v>5799</v>
      </c>
      <c r="P50" s="261" t="s">
        <v>5801</v>
      </c>
      <c r="Q50" s="261" t="s">
        <v>5801</v>
      </c>
      <c r="R50" s="261" t="s">
        <v>5801</v>
      </c>
      <c r="S50" s="261" t="s">
        <v>5801</v>
      </c>
      <c r="T50" s="261" t="s">
        <v>3320</v>
      </c>
      <c r="U50" s="261" t="s">
        <v>3320</v>
      </c>
      <c r="V50" s="261" t="s">
        <v>3320</v>
      </c>
      <c r="W50" s="261" t="s">
        <v>3320</v>
      </c>
      <c r="X50" s="13" t="s">
        <v>5214</v>
      </c>
      <c r="Y50" s="261" t="s">
        <v>6423</v>
      </c>
      <c r="Z50" s="261" t="s">
        <v>195</v>
      </c>
      <c r="AA50" s="261" t="s">
        <v>5195</v>
      </c>
    </row>
    <row r="51" ht="14.25" customHeight="1">
      <c r="A51" s="261" t="s">
        <v>2172</v>
      </c>
      <c r="B51" s="261" t="s">
        <v>5777</v>
      </c>
      <c r="C51" s="261" t="s">
        <v>6424</v>
      </c>
      <c r="D51" s="261" t="s">
        <v>1630</v>
      </c>
      <c r="E51" s="261" t="str">
        <f t="array" ref="E51">IFERROR(INDEX(REF_CODES!$B$142:$B$157,MATCH($D51,REF_CODES!$C$142:$C$157,0)),"")</f>
        <v>EP-JAR</v>
      </c>
      <c r="F51" s="261" t="s">
        <v>6425</v>
      </c>
      <c r="G51" s="261" t="s">
        <v>6426</v>
      </c>
      <c r="H51" s="261" t="s">
        <v>4831</v>
      </c>
      <c r="I51" s="261" t="s">
        <v>2208</v>
      </c>
      <c r="J51" s="261" t="s">
        <v>2208</v>
      </c>
      <c r="K51" s="261" t="s">
        <v>6428</v>
      </c>
      <c r="L51" s="261" t="s">
        <v>2208</v>
      </c>
      <c r="M51" s="261" t="s">
        <v>2208</v>
      </c>
      <c r="N51" s="261" t="s">
        <v>5799</v>
      </c>
      <c r="O51" s="261" t="s">
        <v>5799</v>
      </c>
      <c r="P51" s="261" t="s">
        <v>5801</v>
      </c>
      <c r="Q51" s="261" t="s">
        <v>5801</v>
      </c>
      <c r="R51" s="261" t="s">
        <v>5801</v>
      </c>
      <c r="S51" s="261" t="s">
        <v>5801</v>
      </c>
      <c r="T51" s="261" t="s">
        <v>3320</v>
      </c>
      <c r="U51" s="261" t="s">
        <v>3320</v>
      </c>
      <c r="V51" s="261" t="s">
        <v>3320</v>
      </c>
      <c r="W51" s="261" t="s">
        <v>3320</v>
      </c>
      <c r="X51" s="13" t="s">
        <v>5214</v>
      </c>
      <c r="Y51" s="261" t="s">
        <v>6430</v>
      </c>
      <c r="Z51" s="261" t="s">
        <v>195</v>
      </c>
      <c r="AA51" s="261" t="s">
        <v>5195</v>
      </c>
    </row>
    <row r="52" ht="14.25" customHeight="1">
      <c r="A52" s="261" t="s">
        <v>2172</v>
      </c>
      <c r="B52" s="261" t="s">
        <v>5777</v>
      </c>
      <c r="C52" s="261" t="s">
        <v>6431</v>
      </c>
      <c r="D52" s="261" t="s">
        <v>1630</v>
      </c>
      <c r="E52" s="261" t="str">
        <f t="array" ref="E52">IFERROR(INDEX(REF_CODES!$B$142:$B$157,MATCH($D52,REF_CODES!$C$142:$C$157,0)),"")</f>
        <v>EP-JAR</v>
      </c>
      <c r="F52" s="261" t="s">
        <v>6434</v>
      </c>
      <c r="G52" s="261" t="s">
        <v>2208</v>
      </c>
      <c r="H52" s="261" t="s">
        <v>2208</v>
      </c>
      <c r="I52" s="261" t="s">
        <v>2208</v>
      </c>
      <c r="J52" s="261" t="s">
        <v>2208</v>
      </c>
      <c r="K52" s="261" t="s">
        <v>6435</v>
      </c>
      <c r="L52" s="261" t="s">
        <v>2208</v>
      </c>
      <c r="M52" s="261" t="s">
        <v>2208</v>
      </c>
      <c r="N52" s="261" t="s">
        <v>5799</v>
      </c>
      <c r="O52" s="261" t="s">
        <v>5799</v>
      </c>
      <c r="P52" s="261" t="s">
        <v>5801</v>
      </c>
      <c r="Q52" s="261" t="s">
        <v>5801</v>
      </c>
      <c r="R52" s="261" t="s">
        <v>5801</v>
      </c>
      <c r="S52" s="261" t="s">
        <v>5801</v>
      </c>
      <c r="T52" s="261" t="s">
        <v>3320</v>
      </c>
      <c r="U52" s="261" t="s">
        <v>3320</v>
      </c>
      <c r="V52" s="261" t="s">
        <v>3320</v>
      </c>
      <c r="W52" s="261" t="s">
        <v>3320</v>
      </c>
      <c r="X52" s="13" t="s">
        <v>4817</v>
      </c>
      <c r="Y52" s="261" t="s">
        <v>6436</v>
      </c>
      <c r="Z52" s="261" t="s">
        <v>195</v>
      </c>
      <c r="AA52" s="261" t="s">
        <v>5195</v>
      </c>
    </row>
    <row r="53" ht="14.25" customHeight="1">
      <c r="A53" s="261" t="s">
        <v>2172</v>
      </c>
      <c r="B53" s="261" t="s">
        <v>5777</v>
      </c>
      <c r="C53" s="261" t="s">
        <v>6437</v>
      </c>
      <c r="D53" s="261" t="s">
        <v>1630</v>
      </c>
      <c r="E53" s="261" t="str">
        <f t="array" ref="E53">IFERROR(INDEX(REF_CODES!$B$142:$B$157,MATCH($D53,REF_CODES!$C$142:$C$157,0)),"")</f>
        <v>EP-JAR</v>
      </c>
      <c r="F53" s="261" t="s">
        <v>3816</v>
      </c>
      <c r="G53" s="261" t="s">
        <v>3822</v>
      </c>
      <c r="H53" s="261" t="s">
        <v>5641</v>
      </c>
      <c r="I53" s="261" t="s">
        <v>2208</v>
      </c>
      <c r="J53" s="261" t="s">
        <v>2208</v>
      </c>
      <c r="K53" s="261" t="s">
        <v>4060</v>
      </c>
      <c r="L53" s="261" t="s">
        <v>2208</v>
      </c>
      <c r="M53" s="261" t="s">
        <v>2208</v>
      </c>
      <c r="N53" s="261" t="s">
        <v>5799</v>
      </c>
      <c r="O53" s="261" t="s">
        <v>5799</v>
      </c>
      <c r="P53" s="261" t="s">
        <v>5801</v>
      </c>
      <c r="Q53" s="261" t="s">
        <v>5801</v>
      </c>
      <c r="R53" s="261" t="s">
        <v>5801</v>
      </c>
      <c r="S53" s="261" t="s">
        <v>5801</v>
      </c>
      <c r="T53" s="261" t="s">
        <v>3320</v>
      </c>
      <c r="U53" s="261" t="s">
        <v>3320</v>
      </c>
      <c r="V53" s="261" t="s">
        <v>3320</v>
      </c>
      <c r="W53" s="261" t="s">
        <v>3320</v>
      </c>
      <c r="X53" s="13" t="s">
        <v>5214</v>
      </c>
      <c r="Y53" s="261" t="s">
        <v>6443</v>
      </c>
      <c r="Z53" s="261" t="s">
        <v>195</v>
      </c>
      <c r="AA53" s="261" t="s">
        <v>5195</v>
      </c>
    </row>
    <row r="54" ht="14.25" customHeight="1">
      <c r="A54" s="261" t="s">
        <v>2172</v>
      </c>
      <c r="B54" s="261" t="s">
        <v>5777</v>
      </c>
      <c r="C54" s="261" t="s">
        <v>6444</v>
      </c>
      <c r="D54" s="261" t="s">
        <v>1630</v>
      </c>
      <c r="E54" s="261" t="str">
        <f t="array" ref="E54">IFERROR(INDEX(REF_CODES!$B$142:$B$157,MATCH($D54,REF_CODES!$C$142:$C$157,0)),"")</f>
        <v>EP-JAR</v>
      </c>
      <c r="F54" s="261" t="s">
        <v>6446</v>
      </c>
      <c r="G54" s="261" t="s">
        <v>2208</v>
      </c>
      <c r="H54" s="261" t="s">
        <v>2208</v>
      </c>
      <c r="I54" s="261" t="s">
        <v>2208</v>
      </c>
      <c r="J54" s="261" t="s">
        <v>2208</v>
      </c>
      <c r="K54" s="261" t="s">
        <v>2306</v>
      </c>
      <c r="L54" s="261" t="s">
        <v>2208</v>
      </c>
      <c r="M54" s="261" t="s">
        <v>2208</v>
      </c>
      <c r="N54" s="261" t="s">
        <v>5799</v>
      </c>
      <c r="O54" s="261" t="s">
        <v>5799</v>
      </c>
      <c r="P54" s="261" t="s">
        <v>5801</v>
      </c>
      <c r="Q54" s="261" t="s">
        <v>5801</v>
      </c>
      <c r="R54" s="261" t="s">
        <v>5801</v>
      </c>
      <c r="S54" s="261" t="s">
        <v>5801</v>
      </c>
      <c r="T54" s="261" t="s">
        <v>3320</v>
      </c>
      <c r="U54" s="261" t="s">
        <v>3320</v>
      </c>
      <c r="V54" s="261" t="s">
        <v>3320</v>
      </c>
      <c r="W54" s="261" t="s">
        <v>3320</v>
      </c>
      <c r="X54" s="13" t="s">
        <v>6449</v>
      </c>
      <c r="Y54" s="261" t="s">
        <v>6451</v>
      </c>
      <c r="Z54" s="261" t="s">
        <v>195</v>
      </c>
      <c r="AA54" s="261" t="s">
        <v>5195</v>
      </c>
    </row>
    <row r="55" ht="14.25" customHeight="1">
      <c r="A55" s="261" t="s">
        <v>2172</v>
      </c>
      <c r="B55" s="261" t="s">
        <v>5777</v>
      </c>
      <c r="C55" s="261" t="s">
        <v>6453</v>
      </c>
      <c r="D55" s="261" t="s">
        <v>1630</v>
      </c>
      <c r="E55" s="261" t="str">
        <f t="array" ref="E55">IFERROR(INDEX(REF_CODES!$B$142:$B$157,MATCH($D55,REF_CODES!$C$142:$C$157,0)),"")</f>
        <v>EP-JAR</v>
      </c>
      <c r="F55" s="261" t="s">
        <v>3023</v>
      </c>
      <c r="G55" s="261" t="s">
        <v>6047</v>
      </c>
      <c r="H55" s="261" t="s">
        <v>3028</v>
      </c>
      <c r="I55" s="261" t="s">
        <v>2208</v>
      </c>
      <c r="J55" s="261" t="s">
        <v>2208</v>
      </c>
      <c r="K55" s="261" t="s">
        <v>4060</v>
      </c>
      <c r="L55" s="261" t="s">
        <v>2208</v>
      </c>
      <c r="M55" s="261" t="s">
        <v>2208</v>
      </c>
      <c r="N55" s="261" t="s">
        <v>5799</v>
      </c>
      <c r="O55" s="261" t="s">
        <v>5799</v>
      </c>
      <c r="P55" s="261" t="s">
        <v>5801</v>
      </c>
      <c r="Q55" s="261" t="s">
        <v>5801</v>
      </c>
      <c r="R55" s="261" t="s">
        <v>5801</v>
      </c>
      <c r="S55" s="261" t="s">
        <v>5801</v>
      </c>
      <c r="T55" s="261" t="s">
        <v>3320</v>
      </c>
      <c r="U55" s="261" t="s">
        <v>3320</v>
      </c>
      <c r="V55" s="261" t="s">
        <v>3320</v>
      </c>
      <c r="W55" s="261" t="s">
        <v>3320</v>
      </c>
      <c r="X55" s="13" t="s">
        <v>5214</v>
      </c>
      <c r="Y55" s="261" t="s">
        <v>6457</v>
      </c>
      <c r="Z55" s="261" t="s">
        <v>195</v>
      </c>
      <c r="AA55" s="261" t="s">
        <v>5195</v>
      </c>
    </row>
    <row r="56" ht="14.25" customHeight="1">
      <c r="A56" s="261" t="s">
        <v>2172</v>
      </c>
      <c r="B56" s="261" t="s">
        <v>5777</v>
      </c>
      <c r="C56" s="261" t="s">
        <v>6458</v>
      </c>
      <c r="D56" s="261" t="s">
        <v>1637</v>
      </c>
      <c r="E56" s="261" t="str">
        <f t="array" ref="E56">IFERROR(INDEX(REF_CODES!$B$142:$B$157,MATCH($D56,REF_CODES!$C$142:$C$157,0)),"")</f>
        <v>EP-REC</v>
      </c>
      <c r="F56" s="261" t="s">
        <v>6461</v>
      </c>
      <c r="G56" s="261" t="s">
        <v>4014</v>
      </c>
      <c r="H56" s="261" t="s">
        <v>4013</v>
      </c>
      <c r="I56" s="261" t="s">
        <v>6462</v>
      </c>
      <c r="J56" s="261" t="s">
        <v>2208</v>
      </c>
      <c r="K56" s="261" t="s">
        <v>6463</v>
      </c>
      <c r="L56" s="261" t="s">
        <v>2208</v>
      </c>
      <c r="M56" s="261" t="s">
        <v>2208</v>
      </c>
      <c r="N56" s="261" t="s">
        <v>5799</v>
      </c>
      <c r="O56" s="261" t="s">
        <v>5799</v>
      </c>
      <c r="P56" s="261" t="s">
        <v>5801</v>
      </c>
      <c r="Q56" s="261" t="s">
        <v>5801</v>
      </c>
      <c r="R56" s="261" t="s">
        <v>5801</v>
      </c>
      <c r="S56" s="261" t="s">
        <v>5801</v>
      </c>
      <c r="T56" s="261" t="s">
        <v>3320</v>
      </c>
      <c r="U56" s="261" t="s">
        <v>3320</v>
      </c>
      <c r="V56" s="261" t="s">
        <v>3320</v>
      </c>
      <c r="W56" s="261" t="s">
        <v>3320</v>
      </c>
      <c r="X56" s="13" t="s">
        <v>5214</v>
      </c>
      <c r="Y56" s="261" t="s">
        <v>6465</v>
      </c>
      <c r="Z56" s="261" t="s">
        <v>195</v>
      </c>
      <c r="AA56" s="261" t="s">
        <v>5195</v>
      </c>
    </row>
    <row r="57" ht="14.25" customHeight="1">
      <c r="A57" s="261" t="s">
        <v>2172</v>
      </c>
      <c r="B57" s="261" t="s">
        <v>5777</v>
      </c>
      <c r="C57" s="261" t="s">
        <v>6466</v>
      </c>
      <c r="D57" s="261" t="s">
        <v>1637</v>
      </c>
      <c r="E57" s="261" t="str">
        <f t="array" ref="E57">IFERROR(INDEX(REF_CODES!$B$142:$B$157,MATCH($D57,REF_CODES!$C$142:$C$157,0)),"")</f>
        <v>EP-REC</v>
      </c>
      <c r="F57" s="261" t="s">
        <v>6470</v>
      </c>
      <c r="G57" s="261" t="s">
        <v>2208</v>
      </c>
      <c r="H57" s="261" t="s">
        <v>6471</v>
      </c>
      <c r="I57" s="261" t="s">
        <v>6462</v>
      </c>
      <c r="J57" s="261" t="s">
        <v>2208</v>
      </c>
      <c r="K57" s="261" t="s">
        <v>2511</v>
      </c>
      <c r="L57" s="261" t="s">
        <v>2208</v>
      </c>
      <c r="M57" s="261" t="s">
        <v>2208</v>
      </c>
      <c r="N57" s="261" t="s">
        <v>5799</v>
      </c>
      <c r="O57" s="261" t="s">
        <v>5799</v>
      </c>
      <c r="P57" s="261" t="s">
        <v>5801</v>
      </c>
      <c r="Q57" s="261" t="s">
        <v>5801</v>
      </c>
      <c r="R57" s="261" t="s">
        <v>5801</v>
      </c>
      <c r="S57" s="261" t="s">
        <v>5801</v>
      </c>
      <c r="T57" s="261" t="s">
        <v>3320</v>
      </c>
      <c r="U57" s="261" t="s">
        <v>3320</v>
      </c>
      <c r="V57" s="261" t="s">
        <v>3320</v>
      </c>
      <c r="W57" s="261" t="s">
        <v>3320</v>
      </c>
      <c r="X57" s="13" t="s">
        <v>6472</v>
      </c>
      <c r="Y57" s="261" t="s">
        <v>6473</v>
      </c>
      <c r="Z57" s="261" t="s">
        <v>195</v>
      </c>
      <c r="AA57" s="261" t="s">
        <v>5195</v>
      </c>
    </row>
    <row r="58" ht="14.25" customHeight="1">
      <c r="A58" s="261" t="s">
        <v>2172</v>
      </c>
      <c r="B58" s="261" t="s">
        <v>5777</v>
      </c>
      <c r="C58" s="261" t="s">
        <v>6475</v>
      </c>
      <c r="D58" s="261" t="s">
        <v>1637</v>
      </c>
      <c r="E58" s="261" t="str">
        <f t="array" ref="E58">IFERROR(INDEX(REF_CODES!$B$142:$B$157,MATCH($D58,REF_CODES!$C$142:$C$157,0)),"")</f>
        <v>EP-REC</v>
      </c>
      <c r="F58" s="261" t="s">
        <v>6479</v>
      </c>
      <c r="G58" s="261" t="s">
        <v>6480</v>
      </c>
      <c r="H58" s="261" t="s">
        <v>6482</v>
      </c>
      <c r="I58" s="261" t="s">
        <v>6483</v>
      </c>
      <c r="J58" s="261" t="s">
        <v>2208</v>
      </c>
      <c r="K58" s="261" t="s">
        <v>3236</v>
      </c>
      <c r="L58" s="261" t="s">
        <v>2208</v>
      </c>
      <c r="M58" s="261" t="s">
        <v>2208</v>
      </c>
      <c r="N58" s="261" t="s">
        <v>5799</v>
      </c>
      <c r="O58" s="261" t="s">
        <v>5799</v>
      </c>
      <c r="P58" s="261" t="s">
        <v>5801</v>
      </c>
      <c r="Q58" s="261" t="s">
        <v>5801</v>
      </c>
      <c r="R58" s="261" t="s">
        <v>5801</v>
      </c>
      <c r="S58" s="261" t="s">
        <v>5801</v>
      </c>
      <c r="T58" s="261" t="s">
        <v>3320</v>
      </c>
      <c r="U58" s="261" t="s">
        <v>3320</v>
      </c>
      <c r="V58" s="261" t="s">
        <v>3320</v>
      </c>
      <c r="W58" s="261" t="s">
        <v>3320</v>
      </c>
      <c r="X58" s="13" t="s">
        <v>5214</v>
      </c>
      <c r="Y58" s="261" t="s">
        <v>6484</v>
      </c>
      <c r="Z58" s="261" t="s">
        <v>195</v>
      </c>
      <c r="AA58" s="261" t="s">
        <v>5195</v>
      </c>
    </row>
    <row r="59" ht="14.25" customHeight="1">
      <c r="A59" s="261" t="s">
        <v>2172</v>
      </c>
      <c r="B59" s="261" t="s">
        <v>5777</v>
      </c>
      <c r="C59" s="261" t="s">
        <v>6485</v>
      </c>
      <c r="D59" s="261" t="s">
        <v>1637</v>
      </c>
      <c r="E59" s="261" t="str">
        <f t="array" ref="E59">IFERROR(INDEX(REF_CODES!$B$142:$B$157,MATCH($D59,REF_CODES!$C$142:$C$157,0)),"")</f>
        <v>EP-REC</v>
      </c>
      <c r="F59" s="261" t="s">
        <v>6488</v>
      </c>
      <c r="G59" s="261" t="s">
        <v>2712</v>
      </c>
      <c r="H59" s="261" t="s">
        <v>2710</v>
      </c>
      <c r="I59" s="261" t="s">
        <v>6489</v>
      </c>
      <c r="J59" s="261" t="s">
        <v>2208</v>
      </c>
      <c r="K59" s="261" t="s">
        <v>3421</v>
      </c>
      <c r="L59" s="261" t="s">
        <v>2208</v>
      </c>
      <c r="M59" s="261" t="s">
        <v>2208</v>
      </c>
      <c r="N59" s="261" t="s">
        <v>5799</v>
      </c>
      <c r="O59" s="261" t="s">
        <v>5799</v>
      </c>
      <c r="P59" s="261" t="s">
        <v>5801</v>
      </c>
      <c r="Q59" s="261" t="s">
        <v>5801</v>
      </c>
      <c r="R59" s="261" t="s">
        <v>5801</v>
      </c>
      <c r="S59" s="261" t="s">
        <v>5801</v>
      </c>
      <c r="T59" s="261" t="s">
        <v>3320</v>
      </c>
      <c r="U59" s="261" t="s">
        <v>3320</v>
      </c>
      <c r="V59" s="261" t="s">
        <v>3320</v>
      </c>
      <c r="W59" s="261" t="s">
        <v>3320</v>
      </c>
      <c r="X59" s="13" t="s">
        <v>5214</v>
      </c>
      <c r="Y59" s="261" t="s">
        <v>6492</v>
      </c>
      <c r="Z59" s="261" t="s">
        <v>195</v>
      </c>
      <c r="AA59" s="261" t="s">
        <v>5195</v>
      </c>
    </row>
    <row r="60" ht="14.25" customHeight="1">
      <c r="A60" s="261" t="s">
        <v>2172</v>
      </c>
      <c r="B60" s="261" t="s">
        <v>5777</v>
      </c>
      <c r="C60" s="261" t="s">
        <v>6493</v>
      </c>
      <c r="D60" s="261" t="s">
        <v>1637</v>
      </c>
      <c r="E60" s="261" t="str">
        <f t="array" ref="E60">IFERROR(INDEX(REF_CODES!$B$142:$B$157,MATCH($D60,REF_CODES!$C$142:$C$157,0)),"")</f>
        <v>EP-REC</v>
      </c>
      <c r="F60" s="261" t="s">
        <v>6495</v>
      </c>
      <c r="G60" s="261" t="s">
        <v>2208</v>
      </c>
      <c r="H60" s="261" t="s">
        <v>2208</v>
      </c>
      <c r="I60" s="261" t="s">
        <v>2208</v>
      </c>
      <c r="J60" s="261" t="s">
        <v>2208</v>
      </c>
      <c r="K60" s="261" t="s">
        <v>2306</v>
      </c>
      <c r="L60" s="261" t="s">
        <v>2208</v>
      </c>
      <c r="M60" s="261" t="s">
        <v>2208</v>
      </c>
      <c r="N60" s="261" t="s">
        <v>5799</v>
      </c>
      <c r="O60" s="261" t="s">
        <v>5799</v>
      </c>
      <c r="P60" s="261" t="s">
        <v>5801</v>
      </c>
      <c r="Q60" s="261" t="s">
        <v>5801</v>
      </c>
      <c r="R60" s="261" t="s">
        <v>5801</v>
      </c>
      <c r="S60" s="261" t="s">
        <v>5801</v>
      </c>
      <c r="T60" s="261" t="s">
        <v>3320</v>
      </c>
      <c r="U60" s="261" t="s">
        <v>3320</v>
      </c>
      <c r="V60" s="261" t="s">
        <v>3320</v>
      </c>
      <c r="W60" s="261" t="s">
        <v>3320</v>
      </c>
      <c r="X60" s="13" t="s">
        <v>6449</v>
      </c>
      <c r="Y60" s="261" t="s">
        <v>6496</v>
      </c>
      <c r="Z60" s="261" t="s">
        <v>195</v>
      </c>
      <c r="AA60" s="261" t="s">
        <v>5195</v>
      </c>
    </row>
    <row r="61" ht="14.25" customHeight="1">
      <c r="A61" s="261" t="s">
        <v>2172</v>
      </c>
      <c r="B61" s="261" t="s">
        <v>5777</v>
      </c>
      <c r="C61" s="261" t="s">
        <v>6498</v>
      </c>
      <c r="D61" s="261" t="s">
        <v>1637</v>
      </c>
      <c r="E61" s="261" t="str">
        <f t="array" ref="E61">IFERROR(INDEX(REF_CODES!$B$142:$B$157,MATCH($D61,REF_CODES!$C$142:$C$157,0)),"")</f>
        <v>EP-REC</v>
      </c>
      <c r="F61" s="261" t="s">
        <v>6446</v>
      </c>
      <c r="G61" s="261" t="s">
        <v>2208</v>
      </c>
      <c r="H61" s="261" t="s">
        <v>2208</v>
      </c>
      <c r="I61" s="261" t="s">
        <v>2208</v>
      </c>
      <c r="J61" s="261" t="s">
        <v>2208</v>
      </c>
      <c r="K61" s="261" t="s">
        <v>2306</v>
      </c>
      <c r="L61" s="261" t="s">
        <v>2208</v>
      </c>
      <c r="M61" s="261" t="s">
        <v>2208</v>
      </c>
      <c r="N61" s="261" t="s">
        <v>5799</v>
      </c>
      <c r="O61" s="261" t="s">
        <v>5799</v>
      </c>
      <c r="P61" s="261" t="s">
        <v>5801</v>
      </c>
      <c r="Q61" s="261" t="s">
        <v>5801</v>
      </c>
      <c r="R61" s="261" t="s">
        <v>5801</v>
      </c>
      <c r="S61" s="261" t="s">
        <v>5801</v>
      </c>
      <c r="T61" s="261" t="s">
        <v>3320</v>
      </c>
      <c r="U61" s="261" t="s">
        <v>3320</v>
      </c>
      <c r="V61" s="261" t="s">
        <v>3320</v>
      </c>
      <c r="W61" s="261" t="s">
        <v>3320</v>
      </c>
      <c r="X61" s="13" t="s">
        <v>6449</v>
      </c>
      <c r="Y61" s="261" t="s">
        <v>6499</v>
      </c>
      <c r="Z61" s="261" t="s">
        <v>195</v>
      </c>
      <c r="AA61" s="261" t="s">
        <v>5195</v>
      </c>
    </row>
    <row r="62" ht="14.25" customHeight="1">
      <c r="A62" s="261" t="s">
        <v>2172</v>
      </c>
      <c r="B62" s="261" t="s">
        <v>5777</v>
      </c>
      <c r="C62" s="261" t="s">
        <v>6500</v>
      </c>
      <c r="D62" s="261" t="s">
        <v>1637</v>
      </c>
      <c r="E62" s="261" t="str">
        <f t="array" ref="E62">IFERROR(INDEX(REF_CODES!$B$142:$B$157,MATCH($D62,REF_CODES!$C$142:$C$157,0)),"")</f>
        <v>EP-REC</v>
      </c>
      <c r="F62" s="261" t="s">
        <v>6502</v>
      </c>
      <c r="G62" s="261" t="s">
        <v>2208</v>
      </c>
      <c r="H62" s="261" t="s">
        <v>2208</v>
      </c>
      <c r="I62" s="261" t="s">
        <v>2208</v>
      </c>
      <c r="J62" s="261" t="s">
        <v>2208</v>
      </c>
      <c r="K62" s="261" t="s">
        <v>6503</v>
      </c>
      <c r="L62" s="261" t="s">
        <v>2208</v>
      </c>
      <c r="M62" s="261" t="s">
        <v>2208</v>
      </c>
      <c r="N62" s="261" t="s">
        <v>5799</v>
      </c>
      <c r="O62" s="261" t="s">
        <v>5799</v>
      </c>
      <c r="P62" s="261" t="s">
        <v>5801</v>
      </c>
      <c r="Q62" s="261" t="s">
        <v>5801</v>
      </c>
      <c r="R62" s="261" t="s">
        <v>5801</v>
      </c>
      <c r="S62" s="261" t="s">
        <v>5801</v>
      </c>
      <c r="T62" s="261" t="s">
        <v>3320</v>
      </c>
      <c r="U62" s="261" t="s">
        <v>3320</v>
      </c>
      <c r="V62" s="261" t="s">
        <v>3320</v>
      </c>
      <c r="W62" s="261" t="s">
        <v>3320</v>
      </c>
      <c r="X62" s="13" t="s">
        <v>6449</v>
      </c>
      <c r="Y62" s="261" t="s">
        <v>6506</v>
      </c>
      <c r="Z62" s="261" t="s">
        <v>195</v>
      </c>
      <c r="AA62" s="261" t="s">
        <v>5195</v>
      </c>
    </row>
    <row r="63" ht="14.25" customHeight="1">
      <c r="A63" s="261" t="s">
        <v>2172</v>
      </c>
      <c r="B63" s="261" t="s">
        <v>5777</v>
      </c>
      <c r="C63" s="261" t="s">
        <v>6507</v>
      </c>
      <c r="D63" s="261" t="s">
        <v>1647</v>
      </c>
      <c r="E63" s="261" t="str">
        <f t="array" ref="E63">IFERROR(INDEX(REF_CODES!$B$142:$B$157,MATCH($D63,REF_CODES!$C$142:$C$157,0)),"")</f>
        <v>EP-SEM</v>
      </c>
      <c r="F63" s="261" t="s">
        <v>6508</v>
      </c>
      <c r="G63" s="261" t="s">
        <v>6509</v>
      </c>
      <c r="H63" s="261" t="s">
        <v>6510</v>
      </c>
      <c r="I63" s="261" t="s">
        <v>6462</v>
      </c>
      <c r="J63" s="261" t="s">
        <v>2208</v>
      </c>
      <c r="K63" s="261" t="s">
        <v>2224</v>
      </c>
      <c r="L63" s="261" t="s">
        <v>2208</v>
      </c>
      <c r="M63" s="261" t="s">
        <v>2208</v>
      </c>
      <c r="N63" s="261" t="s">
        <v>5799</v>
      </c>
      <c r="O63" s="261" t="s">
        <v>5799</v>
      </c>
      <c r="P63" s="261" t="s">
        <v>5801</v>
      </c>
      <c r="Q63" s="261" t="s">
        <v>5801</v>
      </c>
      <c r="R63" s="261" t="s">
        <v>5801</v>
      </c>
      <c r="S63" s="261" t="s">
        <v>5801</v>
      </c>
      <c r="T63" s="261" t="s">
        <v>3320</v>
      </c>
      <c r="U63" s="261" t="s">
        <v>3320</v>
      </c>
      <c r="V63" s="261" t="s">
        <v>3320</v>
      </c>
      <c r="W63" s="261" t="s">
        <v>3320</v>
      </c>
      <c r="X63" s="13" t="s">
        <v>5214</v>
      </c>
      <c r="Y63" s="261" t="s">
        <v>6512</v>
      </c>
      <c r="Z63" s="261" t="s">
        <v>195</v>
      </c>
      <c r="AA63" s="261" t="s">
        <v>5195</v>
      </c>
    </row>
    <row r="64" ht="14.25" customHeight="1">
      <c r="A64" s="261" t="s">
        <v>2172</v>
      </c>
      <c r="B64" s="261" t="s">
        <v>5777</v>
      </c>
      <c r="C64" s="261" t="s">
        <v>6513</v>
      </c>
      <c r="D64" s="261" t="s">
        <v>1647</v>
      </c>
      <c r="E64" s="261" t="str">
        <f t="array" ref="E64">IFERROR(INDEX(REF_CODES!$B$142:$B$157,MATCH($D64,REF_CODES!$C$142:$C$157,0)),"")</f>
        <v>EP-SEM</v>
      </c>
      <c r="F64" s="261" t="s">
        <v>6515</v>
      </c>
      <c r="G64" s="261" t="s">
        <v>4275</v>
      </c>
      <c r="H64" s="261" t="s">
        <v>4274</v>
      </c>
      <c r="I64" s="261" t="s">
        <v>6462</v>
      </c>
      <c r="J64" s="261" t="s">
        <v>2208</v>
      </c>
      <c r="K64" s="261" t="s">
        <v>2224</v>
      </c>
      <c r="L64" s="261" t="s">
        <v>2208</v>
      </c>
      <c r="M64" s="261" t="s">
        <v>2208</v>
      </c>
      <c r="N64" s="261" t="s">
        <v>5799</v>
      </c>
      <c r="O64" s="261" t="s">
        <v>5799</v>
      </c>
      <c r="P64" s="261" t="s">
        <v>5801</v>
      </c>
      <c r="Q64" s="261" t="s">
        <v>5801</v>
      </c>
      <c r="R64" s="261" t="s">
        <v>5801</v>
      </c>
      <c r="S64" s="261" t="s">
        <v>5801</v>
      </c>
      <c r="T64" s="261" t="s">
        <v>3320</v>
      </c>
      <c r="U64" s="261" t="s">
        <v>3320</v>
      </c>
      <c r="V64" s="261" t="s">
        <v>3320</v>
      </c>
      <c r="W64" s="261" t="s">
        <v>3320</v>
      </c>
      <c r="X64" s="13" t="s">
        <v>5214</v>
      </c>
      <c r="Y64" s="261" t="s">
        <v>6518</v>
      </c>
      <c r="Z64" s="261" t="s">
        <v>195</v>
      </c>
      <c r="AA64" s="261" t="s">
        <v>5195</v>
      </c>
    </row>
    <row r="65" ht="14.25" customHeight="1">
      <c r="A65" s="261" t="s">
        <v>2172</v>
      </c>
      <c r="B65" s="261" t="s">
        <v>5777</v>
      </c>
      <c r="C65" s="261" t="s">
        <v>6519</v>
      </c>
      <c r="D65" s="261" t="s">
        <v>1647</v>
      </c>
      <c r="E65" s="261" t="str">
        <f t="array" ref="E65">IFERROR(INDEX(REF_CODES!$B$142:$B$157,MATCH($D65,REF_CODES!$C$142:$C$157,0)),"")</f>
        <v>EP-SEM</v>
      </c>
      <c r="F65" s="261" t="s">
        <v>6521</v>
      </c>
      <c r="G65" s="261" t="s">
        <v>4001</v>
      </c>
      <c r="H65" s="261" t="s">
        <v>4000</v>
      </c>
      <c r="I65" s="261" t="s">
        <v>6462</v>
      </c>
      <c r="J65" s="261" t="s">
        <v>2208</v>
      </c>
      <c r="K65" s="261" t="s">
        <v>6522</v>
      </c>
      <c r="L65" s="261" t="s">
        <v>2208</v>
      </c>
      <c r="M65" s="261" t="s">
        <v>2208</v>
      </c>
      <c r="N65" s="261" t="s">
        <v>5799</v>
      </c>
      <c r="O65" s="261" t="s">
        <v>5799</v>
      </c>
      <c r="P65" s="261" t="s">
        <v>5801</v>
      </c>
      <c r="Q65" s="261" t="s">
        <v>5801</v>
      </c>
      <c r="R65" s="261" t="s">
        <v>5801</v>
      </c>
      <c r="S65" s="261" t="s">
        <v>5801</v>
      </c>
      <c r="T65" s="261" t="s">
        <v>3320</v>
      </c>
      <c r="U65" s="261" t="s">
        <v>3320</v>
      </c>
      <c r="V65" s="261" t="s">
        <v>3320</v>
      </c>
      <c r="W65" s="261" t="s">
        <v>3320</v>
      </c>
      <c r="X65" s="13" t="s">
        <v>5214</v>
      </c>
      <c r="Y65" s="261" t="s">
        <v>6524</v>
      </c>
      <c r="Z65" s="261" t="s">
        <v>195</v>
      </c>
      <c r="AA65" s="261" t="s">
        <v>5195</v>
      </c>
    </row>
    <row r="66" ht="14.25" customHeight="1">
      <c r="A66" s="261" t="s">
        <v>2172</v>
      </c>
      <c r="B66" s="261" t="s">
        <v>5777</v>
      </c>
      <c r="C66" s="261" t="s">
        <v>6526</v>
      </c>
      <c r="D66" s="261" t="s">
        <v>1647</v>
      </c>
      <c r="E66" s="261" t="str">
        <f t="array" ref="E66">IFERROR(INDEX(REF_CODES!$B$142:$B$157,MATCH($D66,REF_CODES!$C$142:$C$157,0)),"")</f>
        <v>EP-SEM</v>
      </c>
      <c r="F66" s="261" t="s">
        <v>6529</v>
      </c>
      <c r="G66" s="261" t="s">
        <v>6530</v>
      </c>
      <c r="H66" s="261" t="s">
        <v>6531</v>
      </c>
      <c r="I66" s="261" t="s">
        <v>2208</v>
      </c>
      <c r="J66" s="261" t="s">
        <v>2208</v>
      </c>
      <c r="K66" s="261" t="s">
        <v>2224</v>
      </c>
      <c r="L66" s="261" t="s">
        <v>2208</v>
      </c>
      <c r="M66" s="261" t="s">
        <v>2208</v>
      </c>
      <c r="N66" s="261" t="s">
        <v>5799</v>
      </c>
      <c r="O66" s="261" t="s">
        <v>5799</v>
      </c>
      <c r="P66" s="261" t="s">
        <v>5801</v>
      </c>
      <c r="Q66" s="261" t="s">
        <v>5801</v>
      </c>
      <c r="R66" s="261" t="s">
        <v>5801</v>
      </c>
      <c r="S66" s="261" t="s">
        <v>5801</v>
      </c>
      <c r="T66" s="261" t="s">
        <v>3320</v>
      </c>
      <c r="U66" s="261" t="s">
        <v>3320</v>
      </c>
      <c r="V66" s="261" t="s">
        <v>3320</v>
      </c>
      <c r="W66" s="261" t="s">
        <v>3320</v>
      </c>
      <c r="X66" s="13" t="s">
        <v>5214</v>
      </c>
      <c r="Y66" s="261" t="s">
        <v>6532</v>
      </c>
      <c r="Z66" s="261" t="s">
        <v>195</v>
      </c>
      <c r="AA66" s="261" t="s">
        <v>5195</v>
      </c>
    </row>
    <row r="67" ht="14.25" customHeight="1">
      <c r="A67" s="261" t="s">
        <v>2172</v>
      </c>
      <c r="B67" s="261" t="s">
        <v>5777</v>
      </c>
      <c r="C67" s="261" t="s">
        <v>6533</v>
      </c>
      <c r="D67" s="261" t="s">
        <v>1647</v>
      </c>
      <c r="E67" s="261" t="str">
        <f t="array" ref="E67">IFERROR(INDEX(REF_CODES!$B$142:$B$157,MATCH($D67,REF_CODES!$C$142:$C$157,0)),"")</f>
        <v>EP-SEM</v>
      </c>
      <c r="F67" s="261" t="s">
        <v>2597</v>
      </c>
      <c r="G67" s="261" t="s">
        <v>2607</v>
      </c>
      <c r="H67" s="261" t="s">
        <v>2605</v>
      </c>
      <c r="I67" s="261" t="s">
        <v>2208</v>
      </c>
      <c r="J67" s="261" t="s">
        <v>2208</v>
      </c>
      <c r="K67" s="261" t="s">
        <v>6536</v>
      </c>
      <c r="L67" s="261" t="s">
        <v>2208</v>
      </c>
      <c r="M67" s="261" t="s">
        <v>2208</v>
      </c>
      <c r="N67" s="261" t="s">
        <v>5799</v>
      </c>
      <c r="O67" s="261" t="s">
        <v>5799</v>
      </c>
      <c r="P67" s="261" t="s">
        <v>5801</v>
      </c>
      <c r="Q67" s="261" t="s">
        <v>5801</v>
      </c>
      <c r="R67" s="261" t="s">
        <v>5801</v>
      </c>
      <c r="S67" s="261" t="s">
        <v>5801</v>
      </c>
      <c r="T67" s="261" t="s">
        <v>3320</v>
      </c>
      <c r="U67" s="261" t="s">
        <v>3320</v>
      </c>
      <c r="V67" s="261" t="s">
        <v>3320</v>
      </c>
      <c r="W67" s="261" t="s">
        <v>3320</v>
      </c>
      <c r="X67" s="13" t="s">
        <v>5214</v>
      </c>
      <c r="Y67" s="261" t="s">
        <v>6537</v>
      </c>
      <c r="Z67" s="261" t="s">
        <v>195</v>
      </c>
      <c r="AA67" s="261" t="s">
        <v>5195</v>
      </c>
    </row>
    <row r="68" ht="14.25" customHeight="1">
      <c r="A68" s="261" t="s">
        <v>2172</v>
      </c>
      <c r="B68" s="261" t="s">
        <v>5777</v>
      </c>
      <c r="C68" s="261" t="s">
        <v>6538</v>
      </c>
      <c r="D68" s="261" t="s">
        <v>1647</v>
      </c>
      <c r="E68" s="261" t="str">
        <f t="array" ref="E68">IFERROR(INDEX(REF_CODES!$B$142:$B$157,MATCH($D68,REF_CODES!$C$142:$C$157,0)),"")</f>
        <v>EP-SEM</v>
      </c>
      <c r="F68" s="261" t="s">
        <v>2721</v>
      </c>
      <c r="G68" s="261" t="s">
        <v>6541</v>
      </c>
      <c r="H68" s="261" t="s">
        <v>2726</v>
      </c>
      <c r="I68" s="261" t="s">
        <v>2208</v>
      </c>
      <c r="J68" s="261" t="s">
        <v>2208</v>
      </c>
      <c r="K68" s="261" t="s">
        <v>2306</v>
      </c>
      <c r="L68" s="261" t="s">
        <v>2208</v>
      </c>
      <c r="M68" s="261" t="s">
        <v>2208</v>
      </c>
      <c r="N68" s="261" t="s">
        <v>5799</v>
      </c>
      <c r="O68" s="261" t="s">
        <v>5799</v>
      </c>
      <c r="P68" s="261" t="s">
        <v>5801</v>
      </c>
      <c r="Q68" s="261" t="s">
        <v>5801</v>
      </c>
      <c r="R68" s="261" t="s">
        <v>5801</v>
      </c>
      <c r="S68" s="261" t="s">
        <v>5801</v>
      </c>
      <c r="T68" s="261" t="s">
        <v>3320</v>
      </c>
      <c r="U68" s="261" t="s">
        <v>3320</v>
      </c>
      <c r="V68" s="261" t="s">
        <v>3320</v>
      </c>
      <c r="W68" s="261" t="s">
        <v>3320</v>
      </c>
      <c r="X68" s="13" t="s">
        <v>4896</v>
      </c>
      <c r="Y68" s="261" t="s">
        <v>6543</v>
      </c>
      <c r="Z68" s="261" t="s">
        <v>195</v>
      </c>
      <c r="AA68" s="261" t="s">
        <v>5195</v>
      </c>
    </row>
    <row r="69" ht="14.25" customHeight="1">
      <c r="A69" s="261" t="s">
        <v>2172</v>
      </c>
      <c r="B69" s="261" t="s">
        <v>5777</v>
      </c>
      <c r="C69" s="261" t="s">
        <v>6544</v>
      </c>
      <c r="D69" s="261" t="s">
        <v>1647</v>
      </c>
      <c r="E69" s="261" t="str">
        <f t="array" ref="E69">IFERROR(INDEX(REF_CODES!$B$142:$B$157,MATCH($D69,REF_CODES!$C$142:$C$157,0)),"")</f>
        <v>EP-SEM</v>
      </c>
      <c r="F69" s="261" t="s">
        <v>6547</v>
      </c>
      <c r="G69" s="261" t="s">
        <v>6548</v>
      </c>
      <c r="H69" s="261" t="s">
        <v>6097</v>
      </c>
      <c r="I69" s="261" t="s">
        <v>2208</v>
      </c>
      <c r="J69" s="261" t="s">
        <v>2208</v>
      </c>
      <c r="K69" s="261" t="s">
        <v>2306</v>
      </c>
      <c r="L69" s="261" t="s">
        <v>2208</v>
      </c>
      <c r="M69" s="261" t="s">
        <v>2208</v>
      </c>
      <c r="N69" s="261" t="s">
        <v>5799</v>
      </c>
      <c r="O69" s="261" t="s">
        <v>5799</v>
      </c>
      <c r="P69" s="261" t="s">
        <v>5801</v>
      </c>
      <c r="Q69" s="261" t="s">
        <v>5801</v>
      </c>
      <c r="R69" s="261" t="s">
        <v>5801</v>
      </c>
      <c r="S69" s="261" t="s">
        <v>5801</v>
      </c>
      <c r="T69" s="261" t="s">
        <v>3320</v>
      </c>
      <c r="U69" s="261" t="s">
        <v>3320</v>
      </c>
      <c r="V69" s="261" t="s">
        <v>3320</v>
      </c>
      <c r="W69" s="261" t="s">
        <v>3320</v>
      </c>
      <c r="X69" s="13" t="s">
        <v>4896</v>
      </c>
      <c r="Y69" s="261" t="s">
        <v>6551</v>
      </c>
      <c r="Z69" s="261" t="s">
        <v>195</v>
      </c>
      <c r="AA69" s="261" t="s">
        <v>5195</v>
      </c>
    </row>
    <row r="70" ht="14.25" customHeight="1">
      <c r="A70" s="261" t="s">
        <v>2172</v>
      </c>
      <c r="B70" s="261" t="s">
        <v>5777</v>
      </c>
      <c r="C70" s="261" t="s">
        <v>6552</v>
      </c>
      <c r="D70" s="261" t="s">
        <v>1647</v>
      </c>
      <c r="E70" s="261" t="str">
        <f t="array" ref="E70">IFERROR(INDEX(REF_CODES!$B$142:$B$157,MATCH($D70,REF_CODES!$C$142:$C$157,0)),"")</f>
        <v>EP-SEM</v>
      </c>
      <c r="F70" s="261" t="s">
        <v>2839</v>
      </c>
      <c r="G70" s="261" t="s">
        <v>6556</v>
      </c>
      <c r="H70" s="261" t="s">
        <v>2846</v>
      </c>
      <c r="I70" s="261" t="s">
        <v>2208</v>
      </c>
      <c r="J70" s="261" t="s">
        <v>2208</v>
      </c>
      <c r="K70" s="261" t="s">
        <v>2306</v>
      </c>
      <c r="L70" s="261" t="s">
        <v>2208</v>
      </c>
      <c r="M70" s="261" t="s">
        <v>2208</v>
      </c>
      <c r="N70" s="261" t="s">
        <v>5799</v>
      </c>
      <c r="O70" s="261" t="s">
        <v>5799</v>
      </c>
      <c r="P70" s="261" t="s">
        <v>5801</v>
      </c>
      <c r="Q70" s="261" t="s">
        <v>5801</v>
      </c>
      <c r="R70" s="261" t="s">
        <v>5801</v>
      </c>
      <c r="S70" s="261" t="s">
        <v>5801</v>
      </c>
      <c r="T70" s="261" t="s">
        <v>3320</v>
      </c>
      <c r="U70" s="261" t="s">
        <v>3320</v>
      </c>
      <c r="V70" s="261" t="s">
        <v>3320</v>
      </c>
      <c r="W70" s="261" t="s">
        <v>3320</v>
      </c>
      <c r="X70" s="13" t="s">
        <v>5214</v>
      </c>
      <c r="Y70" s="261" t="s">
        <v>6557</v>
      </c>
      <c r="Z70" s="261" t="s">
        <v>195</v>
      </c>
      <c r="AA70" s="261" t="s">
        <v>5195</v>
      </c>
    </row>
    <row r="71" ht="14.25" customHeight="1">
      <c r="A71" s="261" t="s">
        <v>2172</v>
      </c>
      <c r="B71" s="261" t="s">
        <v>5777</v>
      </c>
      <c r="C71" s="261" t="s">
        <v>6558</v>
      </c>
      <c r="D71" s="261" t="s">
        <v>1647</v>
      </c>
      <c r="E71" s="261" t="str">
        <f t="array" ref="E71">IFERROR(INDEX(REF_CODES!$B$142:$B$157,MATCH($D71,REF_CODES!$C$142:$C$157,0)),"")</f>
        <v>EP-SEM</v>
      </c>
      <c r="F71" s="261" t="s">
        <v>6560</v>
      </c>
      <c r="G71" s="261" t="s">
        <v>6561</v>
      </c>
      <c r="H71" s="261" t="s">
        <v>6562</v>
      </c>
      <c r="I71" s="261" t="s">
        <v>6462</v>
      </c>
      <c r="J71" s="261" t="s">
        <v>2208</v>
      </c>
      <c r="K71" s="261" t="s">
        <v>6563</v>
      </c>
      <c r="L71" s="261" t="s">
        <v>2208</v>
      </c>
      <c r="M71" s="261" t="s">
        <v>2208</v>
      </c>
      <c r="N71" s="261" t="s">
        <v>5799</v>
      </c>
      <c r="O71" s="261" t="s">
        <v>5799</v>
      </c>
      <c r="P71" s="261" t="s">
        <v>5801</v>
      </c>
      <c r="Q71" s="261" t="s">
        <v>5801</v>
      </c>
      <c r="R71" s="261" t="s">
        <v>5801</v>
      </c>
      <c r="S71" s="261" t="s">
        <v>5801</v>
      </c>
      <c r="T71" s="261" t="s">
        <v>3320</v>
      </c>
      <c r="U71" s="261" t="s">
        <v>3320</v>
      </c>
      <c r="V71" s="261" t="s">
        <v>3320</v>
      </c>
      <c r="W71" s="261" t="s">
        <v>3320</v>
      </c>
      <c r="X71" s="13" t="s">
        <v>5214</v>
      </c>
      <c r="Y71" s="261" t="s">
        <v>6566</v>
      </c>
      <c r="Z71" s="261" t="s">
        <v>195</v>
      </c>
      <c r="AA71" s="261" t="s">
        <v>5195</v>
      </c>
    </row>
    <row r="72" ht="14.25" customHeight="1">
      <c r="A72" s="261" t="s">
        <v>2172</v>
      </c>
      <c r="B72" s="261" t="s">
        <v>5777</v>
      </c>
      <c r="C72" s="261" t="s">
        <v>6567</v>
      </c>
      <c r="D72" s="261" t="s">
        <v>1686</v>
      </c>
      <c r="E72" s="261" t="str">
        <f t="array" ref="E72">IFERROR(INDEX(REF_CODES!$B$142:$B$157,MATCH($D72,REF_CODES!$C$142:$C$157,0)),"")</f>
        <v>EP-EVT</v>
      </c>
      <c r="F72" s="261" t="s">
        <v>6502</v>
      </c>
      <c r="G72" s="261" t="s">
        <v>2208</v>
      </c>
      <c r="H72" s="261" t="s">
        <v>2208</v>
      </c>
      <c r="I72" s="261" t="s">
        <v>2208</v>
      </c>
      <c r="J72" s="261" t="s">
        <v>2208</v>
      </c>
      <c r="K72" s="261" t="s">
        <v>6503</v>
      </c>
      <c r="L72" s="261" t="s">
        <v>2208</v>
      </c>
      <c r="M72" s="261" t="s">
        <v>2208</v>
      </c>
      <c r="N72" s="261" t="s">
        <v>5799</v>
      </c>
      <c r="O72" s="261" t="s">
        <v>5799</v>
      </c>
      <c r="P72" s="261" t="s">
        <v>5801</v>
      </c>
      <c r="Q72" s="261" t="s">
        <v>5801</v>
      </c>
      <c r="R72" s="261" t="s">
        <v>5801</v>
      </c>
      <c r="S72" s="261" t="s">
        <v>5801</v>
      </c>
      <c r="T72" s="261" t="s">
        <v>3320</v>
      </c>
      <c r="U72" s="261" t="s">
        <v>3320</v>
      </c>
      <c r="V72" s="261" t="s">
        <v>3320</v>
      </c>
      <c r="W72" s="261" t="s">
        <v>3320</v>
      </c>
      <c r="X72" s="13" t="s">
        <v>6449</v>
      </c>
      <c r="Y72" s="261" t="s">
        <v>6572</v>
      </c>
      <c r="Z72" s="261" t="s">
        <v>195</v>
      </c>
      <c r="AA72" s="261" t="s">
        <v>5195</v>
      </c>
    </row>
    <row r="73" ht="14.25" customHeight="1">
      <c r="A73" s="261" t="s">
        <v>2172</v>
      </c>
      <c r="B73" s="261" t="s">
        <v>5777</v>
      </c>
      <c r="C73" s="261" t="s">
        <v>6573</v>
      </c>
      <c r="D73" s="261" t="s">
        <v>1686</v>
      </c>
      <c r="E73" s="261" t="str">
        <f t="array" ref="E73">IFERROR(INDEX(REF_CODES!$B$142:$B$157,MATCH($D73,REF_CODES!$C$142:$C$157,0)),"")</f>
        <v>EP-EVT</v>
      </c>
      <c r="F73" s="261" t="s">
        <v>6574</v>
      </c>
      <c r="G73" s="261" t="s">
        <v>2208</v>
      </c>
      <c r="H73" s="261" t="s">
        <v>2208</v>
      </c>
      <c r="I73" s="261" t="s">
        <v>2208</v>
      </c>
      <c r="J73" s="261" t="s">
        <v>2208</v>
      </c>
      <c r="K73" s="261" t="s">
        <v>2208</v>
      </c>
      <c r="L73" s="261" t="s">
        <v>2208</v>
      </c>
      <c r="M73" s="261" t="s">
        <v>2208</v>
      </c>
      <c r="N73" s="261" t="s">
        <v>5799</v>
      </c>
      <c r="O73" s="261" t="s">
        <v>5799</v>
      </c>
      <c r="P73" s="261" t="s">
        <v>5801</v>
      </c>
      <c r="Q73" s="261" t="s">
        <v>5801</v>
      </c>
      <c r="R73" s="261" t="s">
        <v>5801</v>
      </c>
      <c r="S73" s="261" t="s">
        <v>5801</v>
      </c>
      <c r="T73" s="261" t="s">
        <v>3320</v>
      </c>
      <c r="U73" s="261" t="s">
        <v>3320</v>
      </c>
      <c r="V73" s="261" t="s">
        <v>3320</v>
      </c>
      <c r="W73" s="261" t="s">
        <v>3320</v>
      </c>
      <c r="X73" s="13" t="s">
        <v>4817</v>
      </c>
      <c r="Y73" s="261" t="s">
        <v>6576</v>
      </c>
      <c r="Z73" s="261" t="s">
        <v>195</v>
      </c>
      <c r="AA73" s="261" t="s">
        <v>5195</v>
      </c>
    </row>
    <row r="74" ht="14.25" customHeight="1">
      <c r="A74" s="261" t="s">
        <v>2172</v>
      </c>
      <c r="B74" s="261" t="s">
        <v>5777</v>
      </c>
      <c r="C74" s="261" t="s">
        <v>6577</v>
      </c>
      <c r="D74" s="261" t="s">
        <v>1686</v>
      </c>
      <c r="E74" s="261" t="str">
        <f t="array" ref="E74">IFERROR(INDEX(REF_CODES!$B$142:$B$157,MATCH($D74,REF_CODES!$C$142:$C$157,0)),"")</f>
        <v>EP-EVT</v>
      </c>
      <c r="F74" s="261" t="s">
        <v>6582</v>
      </c>
      <c r="G74" s="261" t="s">
        <v>2208</v>
      </c>
      <c r="H74" s="261" t="s">
        <v>2208</v>
      </c>
      <c r="I74" s="261" t="s">
        <v>2208</v>
      </c>
      <c r="J74" s="261" t="s">
        <v>2208</v>
      </c>
      <c r="K74" s="261" t="s">
        <v>2208</v>
      </c>
      <c r="L74" s="261" t="s">
        <v>2208</v>
      </c>
      <c r="M74" s="261" t="s">
        <v>2208</v>
      </c>
      <c r="N74" s="261" t="s">
        <v>5799</v>
      </c>
      <c r="O74" s="261" t="s">
        <v>5799</v>
      </c>
      <c r="P74" s="261" t="s">
        <v>5801</v>
      </c>
      <c r="Q74" s="261" t="s">
        <v>5801</v>
      </c>
      <c r="R74" s="261" t="s">
        <v>5801</v>
      </c>
      <c r="S74" s="261" t="s">
        <v>5801</v>
      </c>
      <c r="T74" s="261" t="s">
        <v>3320</v>
      </c>
      <c r="U74" s="261" t="s">
        <v>3320</v>
      </c>
      <c r="V74" s="261" t="s">
        <v>3320</v>
      </c>
      <c r="W74" s="261" t="s">
        <v>3320</v>
      </c>
      <c r="X74" s="13" t="s">
        <v>4817</v>
      </c>
      <c r="Y74" s="261" t="s">
        <v>6584</v>
      </c>
      <c r="Z74" s="261" t="s">
        <v>195</v>
      </c>
      <c r="AA74" s="261" t="s">
        <v>5195</v>
      </c>
    </row>
    <row r="75" ht="14.25" customHeight="1">
      <c r="A75" s="261" t="s">
        <v>2172</v>
      </c>
      <c r="B75" s="261" t="s">
        <v>5777</v>
      </c>
      <c r="C75" s="261" t="s">
        <v>6586</v>
      </c>
      <c r="D75" s="261" t="s">
        <v>1686</v>
      </c>
      <c r="E75" s="261" t="str">
        <f t="array" ref="E75">IFERROR(INDEX(REF_CODES!$B$142:$B$157,MATCH($D75,REF_CODES!$C$142:$C$157,0)),"")</f>
        <v>EP-EVT</v>
      </c>
      <c r="F75" s="261" t="s">
        <v>6589</v>
      </c>
      <c r="G75" s="261" t="s">
        <v>6480</v>
      </c>
      <c r="H75" s="261" t="s">
        <v>6482</v>
      </c>
      <c r="I75" s="261" t="s">
        <v>2208</v>
      </c>
      <c r="J75" s="261" t="s">
        <v>2208</v>
      </c>
      <c r="K75" s="261" t="s">
        <v>3236</v>
      </c>
      <c r="L75" s="261" t="s">
        <v>2208</v>
      </c>
      <c r="M75" s="261" t="s">
        <v>2208</v>
      </c>
      <c r="N75" s="261" t="s">
        <v>5799</v>
      </c>
      <c r="O75" s="261" t="s">
        <v>5799</v>
      </c>
      <c r="P75" s="261" t="s">
        <v>5801</v>
      </c>
      <c r="Q75" s="261" t="s">
        <v>5801</v>
      </c>
      <c r="R75" s="261" t="s">
        <v>5801</v>
      </c>
      <c r="S75" s="261" t="s">
        <v>5801</v>
      </c>
      <c r="T75" s="261" t="s">
        <v>3320</v>
      </c>
      <c r="U75" s="261" t="s">
        <v>3320</v>
      </c>
      <c r="V75" s="261" t="s">
        <v>3320</v>
      </c>
      <c r="W75" s="261" t="s">
        <v>3320</v>
      </c>
      <c r="X75" s="13" t="s">
        <v>5214</v>
      </c>
      <c r="Y75" s="261" t="s">
        <v>6592</v>
      </c>
      <c r="Z75" s="261" t="s">
        <v>195</v>
      </c>
      <c r="AA75" s="261" t="s">
        <v>5195</v>
      </c>
    </row>
    <row r="76" ht="14.25" customHeight="1">
      <c r="A76" s="261" t="s">
        <v>2172</v>
      </c>
      <c r="B76" s="261" t="s">
        <v>5777</v>
      </c>
      <c r="C76" s="261" t="s">
        <v>6595</v>
      </c>
      <c r="D76" s="261" t="s">
        <v>1686</v>
      </c>
      <c r="E76" s="261" t="str">
        <f t="array" ref="E76">IFERROR(INDEX(REF_CODES!$B$142:$B$157,MATCH($D76,REF_CODES!$C$142:$C$157,0)),"")</f>
        <v>EP-EVT</v>
      </c>
      <c r="F76" s="261" t="s">
        <v>6597</v>
      </c>
      <c r="G76" s="261" t="s">
        <v>2208</v>
      </c>
      <c r="H76" s="261" t="s">
        <v>2208</v>
      </c>
      <c r="I76" s="261" t="s">
        <v>2208</v>
      </c>
      <c r="J76" s="261" t="s">
        <v>2208</v>
      </c>
      <c r="K76" s="261" t="s">
        <v>2208</v>
      </c>
      <c r="L76" s="261" t="s">
        <v>2208</v>
      </c>
      <c r="M76" s="261" t="s">
        <v>2208</v>
      </c>
      <c r="N76" s="261" t="s">
        <v>5799</v>
      </c>
      <c r="O76" s="261" t="s">
        <v>5799</v>
      </c>
      <c r="P76" s="261" t="s">
        <v>5801</v>
      </c>
      <c r="Q76" s="261" t="s">
        <v>5801</v>
      </c>
      <c r="R76" s="261" t="s">
        <v>5801</v>
      </c>
      <c r="S76" s="261" t="s">
        <v>5801</v>
      </c>
      <c r="T76" s="261" t="s">
        <v>3320</v>
      </c>
      <c r="U76" s="261" t="s">
        <v>3320</v>
      </c>
      <c r="V76" s="261" t="s">
        <v>3320</v>
      </c>
      <c r="W76" s="261" t="s">
        <v>3320</v>
      </c>
      <c r="X76" s="13" t="s">
        <v>4817</v>
      </c>
      <c r="Y76" s="261" t="s">
        <v>6598</v>
      </c>
      <c r="Z76" s="261" t="s">
        <v>195</v>
      </c>
      <c r="AA76" s="261" t="s">
        <v>5195</v>
      </c>
    </row>
    <row r="77" ht="14.25" customHeight="1">
      <c r="A77" s="261" t="s">
        <v>2172</v>
      </c>
      <c r="B77" s="261" t="s">
        <v>5777</v>
      </c>
      <c r="C77" s="261" t="s">
        <v>6600</v>
      </c>
      <c r="D77" s="261" t="s">
        <v>1686</v>
      </c>
      <c r="E77" s="261" t="str">
        <f t="array" ref="E77">IFERROR(INDEX(REF_CODES!$B$142:$B$157,MATCH($D77,REF_CODES!$C$142:$C$157,0)),"")</f>
        <v>EP-EVT</v>
      </c>
      <c r="F77" s="261" t="s">
        <v>6603</v>
      </c>
      <c r="G77" s="261" t="s">
        <v>6604</v>
      </c>
      <c r="H77" s="261" t="s">
        <v>6605</v>
      </c>
      <c r="I77" s="261" t="s">
        <v>2208</v>
      </c>
      <c r="J77" s="261" t="s">
        <v>2208</v>
      </c>
      <c r="K77" s="261" t="s">
        <v>6606</v>
      </c>
      <c r="L77" s="261" t="s">
        <v>2208</v>
      </c>
      <c r="M77" s="261" t="s">
        <v>2208</v>
      </c>
      <c r="N77" s="261" t="s">
        <v>5799</v>
      </c>
      <c r="O77" s="261" t="s">
        <v>5799</v>
      </c>
      <c r="P77" s="261" t="s">
        <v>5801</v>
      </c>
      <c r="Q77" s="261" t="s">
        <v>5801</v>
      </c>
      <c r="R77" s="261" t="s">
        <v>5801</v>
      </c>
      <c r="S77" s="261" t="s">
        <v>5801</v>
      </c>
      <c r="T77" s="261" t="s">
        <v>3320</v>
      </c>
      <c r="U77" s="261" t="s">
        <v>3320</v>
      </c>
      <c r="V77" s="261" t="s">
        <v>3320</v>
      </c>
      <c r="W77" s="261" t="s">
        <v>3320</v>
      </c>
      <c r="X77" s="13" t="s">
        <v>5214</v>
      </c>
      <c r="Y77" s="261" t="s">
        <v>6608</v>
      </c>
      <c r="Z77" s="261" t="s">
        <v>195</v>
      </c>
      <c r="AA77" s="261" t="s">
        <v>5195</v>
      </c>
    </row>
    <row r="78" ht="14.25" customHeight="1">
      <c r="A78" s="261" t="s">
        <v>2172</v>
      </c>
      <c r="B78" s="261" t="s">
        <v>5777</v>
      </c>
      <c r="C78" s="261" t="s">
        <v>6610</v>
      </c>
      <c r="D78" s="261" t="s">
        <v>1657</v>
      </c>
      <c r="E78" s="261" t="str">
        <f t="array" ref="E78">IFERROR(INDEX(REF_CODES!$B$142:$B$157,MATCH($D78,REF_CODES!$C$142:$C$157,0)),"")</f>
        <v>EP-SPA</v>
      </c>
      <c r="F78" s="261" t="s">
        <v>2719</v>
      </c>
      <c r="G78" s="261" t="s">
        <v>6611</v>
      </c>
      <c r="H78" s="261" t="s">
        <v>5287</v>
      </c>
      <c r="I78" s="261" t="s">
        <v>6612</v>
      </c>
      <c r="J78" s="261" t="s">
        <v>2208</v>
      </c>
      <c r="K78" s="261" t="s">
        <v>1918</v>
      </c>
      <c r="L78" s="261" t="s">
        <v>2208</v>
      </c>
      <c r="M78" s="261" t="s">
        <v>2208</v>
      </c>
      <c r="N78" s="261" t="s">
        <v>5799</v>
      </c>
      <c r="O78" s="261" t="s">
        <v>5799</v>
      </c>
      <c r="P78" s="261" t="s">
        <v>5801</v>
      </c>
      <c r="Q78" s="261" t="s">
        <v>5801</v>
      </c>
      <c r="R78" s="261" t="s">
        <v>5801</v>
      </c>
      <c r="S78" s="261" t="s">
        <v>5801</v>
      </c>
      <c r="T78" s="261" t="s">
        <v>3320</v>
      </c>
      <c r="U78" s="261" t="s">
        <v>3320</v>
      </c>
      <c r="V78" s="261" t="s">
        <v>3320</v>
      </c>
      <c r="W78" s="261" t="s">
        <v>3320</v>
      </c>
      <c r="X78" s="13" t="s">
        <v>5214</v>
      </c>
      <c r="Y78" s="261" t="s">
        <v>6615</v>
      </c>
      <c r="Z78" s="261" t="s">
        <v>195</v>
      </c>
      <c r="AA78" s="261" t="s">
        <v>5195</v>
      </c>
    </row>
    <row r="79" ht="14.25" customHeight="1">
      <c r="A79" s="261" t="s">
        <v>2172</v>
      </c>
      <c r="B79" s="261" t="s">
        <v>5777</v>
      </c>
      <c r="C79" s="261" t="s">
        <v>6617</v>
      </c>
      <c r="D79" s="261" t="s">
        <v>1657</v>
      </c>
      <c r="E79" s="261" t="str">
        <f t="array" ref="E79">IFERROR(INDEX(REF_CODES!$B$142:$B$157,MATCH($D79,REF_CODES!$C$142:$C$157,0)),"")</f>
        <v>EP-SPA</v>
      </c>
      <c r="F79" s="261" t="s">
        <v>5295</v>
      </c>
      <c r="G79" s="261" t="s">
        <v>2208</v>
      </c>
      <c r="H79" s="275" t="s">
        <v>5296</v>
      </c>
      <c r="I79" s="261" t="s">
        <v>6620</v>
      </c>
      <c r="J79" s="261" t="s">
        <v>2208</v>
      </c>
      <c r="K79" s="261" t="s">
        <v>2306</v>
      </c>
      <c r="L79" s="261" t="s">
        <v>2208</v>
      </c>
      <c r="M79" s="261" t="s">
        <v>2208</v>
      </c>
      <c r="N79" s="261" t="s">
        <v>5799</v>
      </c>
      <c r="O79" s="261" t="s">
        <v>5799</v>
      </c>
      <c r="P79" s="261" t="s">
        <v>5801</v>
      </c>
      <c r="Q79" s="261" t="s">
        <v>5801</v>
      </c>
      <c r="R79" s="261" t="s">
        <v>5801</v>
      </c>
      <c r="S79" s="261" t="s">
        <v>5801</v>
      </c>
      <c r="T79" s="261" t="s">
        <v>3320</v>
      </c>
      <c r="U79" s="261" t="s">
        <v>3320</v>
      </c>
      <c r="V79" s="261" t="s">
        <v>3320</v>
      </c>
      <c r="W79" s="261" t="s">
        <v>3320</v>
      </c>
      <c r="X79" s="13" t="s">
        <v>4817</v>
      </c>
      <c r="Y79" s="261" t="s">
        <v>6623</v>
      </c>
      <c r="Z79" s="261" t="s">
        <v>195</v>
      </c>
      <c r="AA79" s="261" t="s">
        <v>5195</v>
      </c>
    </row>
    <row r="80" ht="14.25" customHeight="1">
      <c r="A80" s="261" t="s">
        <v>2172</v>
      </c>
      <c r="B80" s="261" t="s">
        <v>5777</v>
      </c>
      <c r="C80" s="261" t="s">
        <v>6624</v>
      </c>
      <c r="D80" s="261" t="s">
        <v>1657</v>
      </c>
      <c r="E80" s="261" t="str">
        <f t="array" ref="E80">IFERROR(INDEX(REF_CODES!$B$142:$B$157,MATCH($D80,REF_CODES!$C$142:$C$157,0)),"")</f>
        <v>EP-SPA</v>
      </c>
      <c r="F80" s="261" t="s">
        <v>5302</v>
      </c>
      <c r="G80" s="261" t="s">
        <v>6629</v>
      </c>
      <c r="H80" s="261" t="s">
        <v>5076</v>
      </c>
      <c r="I80" s="261" t="s">
        <v>6630</v>
      </c>
      <c r="J80" s="261" t="s">
        <v>2208</v>
      </c>
      <c r="K80" s="261" t="s">
        <v>2514</v>
      </c>
      <c r="L80" s="261" t="s">
        <v>2208</v>
      </c>
      <c r="M80" s="261" t="s">
        <v>2208</v>
      </c>
      <c r="N80" s="261" t="s">
        <v>5799</v>
      </c>
      <c r="O80" s="261" t="s">
        <v>5799</v>
      </c>
      <c r="P80" s="261" t="s">
        <v>5801</v>
      </c>
      <c r="Q80" s="261" t="s">
        <v>5801</v>
      </c>
      <c r="R80" s="261" t="s">
        <v>5801</v>
      </c>
      <c r="S80" s="261" t="s">
        <v>5801</v>
      </c>
      <c r="T80" s="261" t="s">
        <v>3320</v>
      </c>
      <c r="U80" s="261" t="s">
        <v>3320</v>
      </c>
      <c r="V80" s="261" t="s">
        <v>3320</v>
      </c>
      <c r="W80" s="261" t="s">
        <v>3320</v>
      </c>
      <c r="X80" s="13" t="s">
        <v>5214</v>
      </c>
      <c r="Y80" s="261" t="s">
        <v>6631</v>
      </c>
      <c r="Z80" s="261" t="s">
        <v>195</v>
      </c>
      <c r="AA80" s="261" t="s">
        <v>5195</v>
      </c>
    </row>
    <row r="81" ht="14.25" customHeight="1">
      <c r="A81" s="261" t="s">
        <v>2172</v>
      </c>
      <c r="B81" s="261" t="s">
        <v>5777</v>
      </c>
      <c r="C81" s="261" t="s">
        <v>6632</v>
      </c>
      <c r="D81" s="261" t="s">
        <v>1657</v>
      </c>
      <c r="E81" s="261" t="str">
        <f t="array" ref="E81">IFERROR(INDEX(REF_CODES!$B$142:$B$157,MATCH($D81,REF_CODES!$C$142:$C$157,0)),"")</f>
        <v>EP-SPA</v>
      </c>
      <c r="F81" s="261" t="s">
        <v>5308</v>
      </c>
      <c r="G81" s="261" t="s">
        <v>2712</v>
      </c>
      <c r="H81" s="261" t="s">
        <v>2710</v>
      </c>
      <c r="I81" s="261" t="s">
        <v>6489</v>
      </c>
      <c r="J81" s="261" t="s">
        <v>2208</v>
      </c>
      <c r="K81" s="261" t="s">
        <v>2707</v>
      </c>
      <c r="L81" s="261" t="s">
        <v>2208</v>
      </c>
      <c r="M81" s="261" t="s">
        <v>2208</v>
      </c>
      <c r="N81" s="261" t="s">
        <v>5799</v>
      </c>
      <c r="O81" s="261" t="s">
        <v>5799</v>
      </c>
      <c r="P81" s="261" t="s">
        <v>5801</v>
      </c>
      <c r="Q81" s="261" t="s">
        <v>5801</v>
      </c>
      <c r="R81" s="261" t="s">
        <v>5801</v>
      </c>
      <c r="S81" s="261" t="s">
        <v>5801</v>
      </c>
      <c r="T81" s="261" t="s">
        <v>3320</v>
      </c>
      <c r="U81" s="261" t="s">
        <v>3320</v>
      </c>
      <c r="V81" s="261" t="s">
        <v>3320</v>
      </c>
      <c r="W81" s="261" t="s">
        <v>3320</v>
      </c>
      <c r="X81" s="13" t="s">
        <v>5214</v>
      </c>
      <c r="Y81" s="261" t="s">
        <v>6635</v>
      </c>
      <c r="Z81" s="261" t="s">
        <v>195</v>
      </c>
      <c r="AA81" s="261" t="s">
        <v>5195</v>
      </c>
    </row>
    <row r="82" ht="14.25" customHeight="1">
      <c r="A82" s="261" t="s">
        <v>2172</v>
      </c>
      <c r="B82" s="261" t="s">
        <v>5777</v>
      </c>
      <c r="C82" s="261" t="s">
        <v>6636</v>
      </c>
      <c r="D82" s="261" t="s">
        <v>1657</v>
      </c>
      <c r="E82" s="261" t="str">
        <f t="array" ref="E82">IFERROR(INDEX(REF_CODES!$B$142:$B$157,MATCH($D82,REF_CODES!$C$142:$C$157,0)),"")</f>
        <v>EP-SPA</v>
      </c>
      <c r="F82" s="261" t="s">
        <v>5317</v>
      </c>
      <c r="G82" s="261" t="s">
        <v>6638</v>
      </c>
      <c r="H82" s="261" t="s">
        <v>5858</v>
      </c>
      <c r="I82" s="261" t="s">
        <v>2208</v>
      </c>
      <c r="J82" s="261" t="s">
        <v>2208</v>
      </c>
      <c r="K82" s="261" t="s">
        <v>1918</v>
      </c>
      <c r="L82" s="261" t="s">
        <v>2208</v>
      </c>
      <c r="M82" s="261" t="s">
        <v>2208</v>
      </c>
      <c r="N82" s="261" t="s">
        <v>5799</v>
      </c>
      <c r="O82" s="261" t="s">
        <v>5799</v>
      </c>
      <c r="P82" s="261" t="s">
        <v>5801</v>
      </c>
      <c r="Q82" s="261" t="s">
        <v>5801</v>
      </c>
      <c r="R82" s="261" t="s">
        <v>5801</v>
      </c>
      <c r="S82" s="261" t="s">
        <v>5801</v>
      </c>
      <c r="T82" s="261" t="s">
        <v>3320</v>
      </c>
      <c r="U82" s="261" t="s">
        <v>3320</v>
      </c>
      <c r="V82" s="261" t="s">
        <v>3320</v>
      </c>
      <c r="W82" s="261" t="s">
        <v>3320</v>
      </c>
      <c r="X82" s="13" t="s">
        <v>5214</v>
      </c>
      <c r="Y82" s="261" t="s">
        <v>6640</v>
      </c>
      <c r="Z82" s="261" t="s">
        <v>195</v>
      </c>
      <c r="AA82" s="261" t="s">
        <v>5195</v>
      </c>
    </row>
    <row r="83" ht="14.25" customHeight="1">
      <c r="A83" s="261" t="s">
        <v>2172</v>
      </c>
      <c r="B83" s="261" t="s">
        <v>5777</v>
      </c>
      <c r="C83" s="261" t="s">
        <v>6641</v>
      </c>
      <c r="D83" s="261" t="s">
        <v>1657</v>
      </c>
      <c r="E83" s="261" t="str">
        <f t="array" ref="E83">IFERROR(INDEX(REF_CODES!$B$142:$B$157,MATCH($D83,REF_CODES!$C$142:$C$157,0)),"")</f>
        <v>EP-SPA</v>
      </c>
      <c r="F83" s="261" t="s">
        <v>6642</v>
      </c>
      <c r="G83" s="261" t="s">
        <v>2208</v>
      </c>
      <c r="H83" s="261" t="s">
        <v>2208</v>
      </c>
      <c r="I83" s="261" t="s">
        <v>2208</v>
      </c>
      <c r="J83" s="261" t="s">
        <v>2208</v>
      </c>
      <c r="K83" s="261" t="s">
        <v>6644</v>
      </c>
      <c r="L83" s="261" t="s">
        <v>2208</v>
      </c>
      <c r="M83" s="261" t="s">
        <v>2208</v>
      </c>
      <c r="N83" s="261" t="s">
        <v>5799</v>
      </c>
      <c r="O83" s="261" t="s">
        <v>5799</v>
      </c>
      <c r="P83" s="261" t="s">
        <v>5801</v>
      </c>
      <c r="Q83" s="261" t="s">
        <v>5801</v>
      </c>
      <c r="R83" s="261" t="s">
        <v>5801</v>
      </c>
      <c r="S83" s="261" t="s">
        <v>5801</v>
      </c>
      <c r="T83" s="261" t="s">
        <v>3320</v>
      </c>
      <c r="U83" s="261" t="s">
        <v>3320</v>
      </c>
      <c r="V83" s="261" t="s">
        <v>3320</v>
      </c>
      <c r="W83" s="261" t="s">
        <v>3320</v>
      </c>
      <c r="X83" s="13" t="s">
        <v>4817</v>
      </c>
      <c r="Y83" s="261" t="s">
        <v>6646</v>
      </c>
      <c r="Z83" s="261" t="s">
        <v>195</v>
      </c>
      <c r="AA83" s="261" t="s">
        <v>5195</v>
      </c>
    </row>
    <row r="84" ht="14.25" customHeight="1">
      <c r="A84" s="261" t="s">
        <v>2172</v>
      </c>
      <c r="B84" s="261" t="s">
        <v>5777</v>
      </c>
      <c r="C84" s="261" t="s">
        <v>6647</v>
      </c>
      <c r="D84" s="261" t="s">
        <v>1657</v>
      </c>
      <c r="E84" s="261" t="str">
        <f t="array" ref="E84">IFERROR(INDEX(REF_CODES!$B$142:$B$157,MATCH($D84,REF_CODES!$C$142:$C$157,0)),"")</f>
        <v>EP-SPA</v>
      </c>
      <c r="F84" s="261" t="s">
        <v>5325</v>
      </c>
      <c r="G84" s="261" t="s">
        <v>2208</v>
      </c>
      <c r="H84" s="275" t="s">
        <v>5327</v>
      </c>
      <c r="I84" s="261" t="s">
        <v>2208</v>
      </c>
      <c r="J84" s="261" t="s">
        <v>2208</v>
      </c>
      <c r="K84" s="261" t="s">
        <v>2306</v>
      </c>
      <c r="L84" s="261" t="s">
        <v>2208</v>
      </c>
      <c r="M84" s="261" t="s">
        <v>2208</v>
      </c>
      <c r="N84" s="261" t="s">
        <v>5799</v>
      </c>
      <c r="O84" s="261" t="s">
        <v>5799</v>
      </c>
      <c r="P84" s="261" t="s">
        <v>5801</v>
      </c>
      <c r="Q84" s="261" t="s">
        <v>5801</v>
      </c>
      <c r="R84" s="261" t="s">
        <v>5801</v>
      </c>
      <c r="S84" s="261" t="s">
        <v>5801</v>
      </c>
      <c r="T84" s="261" t="s">
        <v>3320</v>
      </c>
      <c r="U84" s="261" t="s">
        <v>3320</v>
      </c>
      <c r="V84" s="261" t="s">
        <v>3320</v>
      </c>
      <c r="W84" s="261" t="s">
        <v>3320</v>
      </c>
      <c r="X84" s="13" t="s">
        <v>4817</v>
      </c>
      <c r="Y84" s="261" t="s">
        <v>6650</v>
      </c>
      <c r="Z84" s="261" t="s">
        <v>195</v>
      </c>
      <c r="AA84" s="261" t="s">
        <v>5195</v>
      </c>
    </row>
    <row r="85" ht="14.25" customHeight="1">
      <c r="A85" s="261" t="s">
        <v>2172</v>
      </c>
      <c r="B85" s="261" t="s">
        <v>5777</v>
      </c>
      <c r="C85" s="261" t="s">
        <v>6651</v>
      </c>
      <c r="D85" s="261" t="s">
        <v>1657</v>
      </c>
      <c r="E85" s="261" t="str">
        <f t="array" ref="E85">IFERROR(INDEX(REF_CODES!$B$142:$B$157,MATCH($D85,REF_CODES!$C$142:$C$157,0)),"")</f>
        <v>EP-SPA</v>
      </c>
      <c r="F85" s="261" t="s">
        <v>6652</v>
      </c>
      <c r="G85" s="261" t="s">
        <v>6653</v>
      </c>
      <c r="H85" s="261" t="s">
        <v>2765</v>
      </c>
      <c r="I85" s="261" t="s">
        <v>2208</v>
      </c>
      <c r="J85" s="261" t="s">
        <v>2208</v>
      </c>
      <c r="K85" s="261" t="s">
        <v>2306</v>
      </c>
      <c r="L85" s="261" t="s">
        <v>2208</v>
      </c>
      <c r="M85" s="261" t="s">
        <v>2208</v>
      </c>
      <c r="N85" s="261" t="s">
        <v>5799</v>
      </c>
      <c r="O85" s="261" t="s">
        <v>5799</v>
      </c>
      <c r="P85" s="261" t="s">
        <v>5801</v>
      </c>
      <c r="Q85" s="261" t="s">
        <v>5801</v>
      </c>
      <c r="R85" s="261" t="s">
        <v>5801</v>
      </c>
      <c r="S85" s="261" t="s">
        <v>5801</v>
      </c>
      <c r="T85" s="261" t="s">
        <v>3320</v>
      </c>
      <c r="U85" s="261" t="s">
        <v>3320</v>
      </c>
      <c r="V85" s="261" t="s">
        <v>3320</v>
      </c>
      <c r="W85" s="261" t="s">
        <v>3320</v>
      </c>
      <c r="X85" s="13" t="s">
        <v>5214</v>
      </c>
      <c r="Y85" s="261" t="s">
        <v>6657</v>
      </c>
      <c r="Z85" s="261" t="s">
        <v>195</v>
      </c>
      <c r="AA85" s="261" t="s">
        <v>5195</v>
      </c>
    </row>
    <row r="86" ht="14.25" customHeight="1">
      <c r="A86" s="261" t="s">
        <v>2172</v>
      </c>
      <c r="B86" s="261" t="s">
        <v>5777</v>
      </c>
      <c r="C86" s="261" t="s">
        <v>6659</v>
      </c>
      <c r="D86" s="261" t="s">
        <v>1657</v>
      </c>
      <c r="E86" s="261" t="str">
        <f t="array" ref="E86">IFERROR(INDEX(REF_CODES!$B$142:$B$157,MATCH($D86,REF_CODES!$C$142:$C$157,0)),"")</f>
        <v>EP-SPA</v>
      </c>
      <c r="F86" s="261" t="s">
        <v>4402</v>
      </c>
      <c r="G86" s="261" t="s">
        <v>2208</v>
      </c>
      <c r="H86" s="261" t="s">
        <v>2208</v>
      </c>
      <c r="I86" s="261" t="s">
        <v>6660</v>
      </c>
      <c r="J86" s="261" t="s">
        <v>2208</v>
      </c>
      <c r="K86" s="261" t="s">
        <v>2306</v>
      </c>
      <c r="L86" s="261" t="s">
        <v>2208</v>
      </c>
      <c r="M86" s="261" t="s">
        <v>2208</v>
      </c>
      <c r="N86" s="261" t="s">
        <v>5799</v>
      </c>
      <c r="O86" s="261" t="s">
        <v>5799</v>
      </c>
      <c r="P86" s="261" t="s">
        <v>5801</v>
      </c>
      <c r="Q86" s="261" t="s">
        <v>5801</v>
      </c>
      <c r="R86" s="261" t="s">
        <v>5801</v>
      </c>
      <c r="S86" s="261" t="s">
        <v>5801</v>
      </c>
      <c r="T86" s="261" t="s">
        <v>3320</v>
      </c>
      <c r="U86" s="261" t="s">
        <v>3320</v>
      </c>
      <c r="V86" s="261" t="s">
        <v>3320</v>
      </c>
      <c r="W86" s="261" t="s">
        <v>3320</v>
      </c>
      <c r="X86" s="13" t="s">
        <v>4817</v>
      </c>
      <c r="Y86" s="261" t="s">
        <v>6661</v>
      </c>
      <c r="Z86" s="261" t="s">
        <v>195</v>
      </c>
      <c r="AA86" s="261" t="s">
        <v>5195</v>
      </c>
    </row>
    <row r="87" ht="14.25" customHeight="1">
      <c r="A87" s="261" t="s">
        <v>2172</v>
      </c>
      <c r="B87" s="261" t="s">
        <v>5777</v>
      </c>
      <c r="C87" s="261" t="s">
        <v>6662</v>
      </c>
      <c r="D87" s="261" t="s">
        <v>1666</v>
      </c>
      <c r="E87" s="261" t="str">
        <f t="array" ref="E87">IFERROR(INDEX(REF_CODES!$B$142:$B$157,MATCH($D87,REF_CODES!$C$142:$C$157,0)),"")</f>
        <v>EP-GAL</v>
      </c>
      <c r="F87" s="261" t="s">
        <v>6665</v>
      </c>
      <c r="G87" s="261" t="s">
        <v>4495</v>
      </c>
      <c r="H87" s="261" t="s">
        <v>6666</v>
      </c>
      <c r="I87" s="261" t="s">
        <v>2208</v>
      </c>
      <c r="J87" s="261" t="s">
        <v>2208</v>
      </c>
      <c r="K87" s="261" t="s">
        <v>1926</v>
      </c>
      <c r="L87" s="261" t="s">
        <v>2208</v>
      </c>
      <c r="M87" s="261" t="s">
        <v>2208</v>
      </c>
      <c r="N87" s="261" t="s">
        <v>5799</v>
      </c>
      <c r="O87" s="261" t="s">
        <v>5799</v>
      </c>
      <c r="P87" s="261" t="s">
        <v>5801</v>
      </c>
      <c r="Q87" s="261" t="s">
        <v>5801</v>
      </c>
      <c r="R87" s="261" t="s">
        <v>5801</v>
      </c>
      <c r="S87" s="261" t="s">
        <v>5801</v>
      </c>
      <c r="T87" s="261" t="s">
        <v>3320</v>
      </c>
      <c r="U87" s="261" t="s">
        <v>3320</v>
      </c>
      <c r="V87" s="261" t="s">
        <v>3320</v>
      </c>
      <c r="W87" s="261" t="s">
        <v>3320</v>
      </c>
      <c r="X87" s="13" t="s">
        <v>5214</v>
      </c>
      <c r="Y87" s="261" t="s">
        <v>6670</v>
      </c>
      <c r="Z87" s="261" t="s">
        <v>195</v>
      </c>
      <c r="AA87" s="261" t="s">
        <v>5195</v>
      </c>
    </row>
    <row r="88" ht="14.25" customHeight="1">
      <c r="A88" s="261" t="s">
        <v>2172</v>
      </c>
      <c r="B88" s="261" t="s">
        <v>5777</v>
      </c>
      <c r="C88" s="261" t="s">
        <v>6671</v>
      </c>
      <c r="D88" s="261" t="s">
        <v>1666</v>
      </c>
      <c r="E88" s="261" t="str">
        <f t="array" ref="E88">IFERROR(INDEX(REF_CODES!$B$142:$B$157,MATCH($D88,REF_CODES!$C$142:$C$157,0)),"")</f>
        <v>EP-GAL</v>
      </c>
      <c r="F88" s="261" t="s">
        <v>6672</v>
      </c>
      <c r="G88" s="261" t="s">
        <v>6673</v>
      </c>
      <c r="H88" s="261" t="s">
        <v>6674</v>
      </c>
      <c r="I88" s="261" t="s">
        <v>2208</v>
      </c>
      <c r="J88" s="261" t="s">
        <v>2208</v>
      </c>
      <c r="K88" s="261" t="s">
        <v>2191</v>
      </c>
      <c r="L88" s="261" t="s">
        <v>2208</v>
      </c>
      <c r="M88" s="261" t="s">
        <v>2208</v>
      </c>
      <c r="N88" s="261" t="s">
        <v>5799</v>
      </c>
      <c r="O88" s="261" t="s">
        <v>5799</v>
      </c>
      <c r="P88" s="261" t="s">
        <v>5801</v>
      </c>
      <c r="Q88" s="261" t="s">
        <v>5801</v>
      </c>
      <c r="R88" s="261" t="s">
        <v>5801</v>
      </c>
      <c r="S88" s="261" t="s">
        <v>5801</v>
      </c>
      <c r="T88" s="261" t="s">
        <v>3320</v>
      </c>
      <c r="U88" s="261" t="s">
        <v>3320</v>
      </c>
      <c r="V88" s="261" t="s">
        <v>3320</v>
      </c>
      <c r="W88" s="261" t="s">
        <v>3320</v>
      </c>
      <c r="X88" s="13" t="s">
        <v>5214</v>
      </c>
      <c r="Y88" s="261" t="s">
        <v>6675</v>
      </c>
      <c r="Z88" s="261" t="s">
        <v>195</v>
      </c>
      <c r="AA88" s="261" t="s">
        <v>5195</v>
      </c>
    </row>
    <row r="89" ht="14.25" customHeight="1">
      <c r="A89" s="261" t="s">
        <v>2172</v>
      </c>
      <c r="B89" s="261" t="s">
        <v>5777</v>
      </c>
      <c r="C89" s="261" t="s">
        <v>6677</v>
      </c>
      <c r="D89" s="261" t="s">
        <v>1666</v>
      </c>
      <c r="E89" s="261" t="str">
        <f t="array" ref="E89">IFERROR(INDEX(REF_CODES!$B$142:$B$157,MATCH($D89,REF_CODES!$C$142:$C$157,0)),"")</f>
        <v>EP-GAL</v>
      </c>
      <c r="F89" s="261" t="s">
        <v>6678</v>
      </c>
      <c r="G89" s="261" t="s">
        <v>6679</v>
      </c>
      <c r="H89" s="261" t="s">
        <v>6680</v>
      </c>
      <c r="I89" s="261" t="s">
        <v>2208</v>
      </c>
      <c r="J89" s="261" t="s">
        <v>2208</v>
      </c>
      <c r="K89" s="261" t="s">
        <v>2191</v>
      </c>
      <c r="L89" s="261" t="s">
        <v>2208</v>
      </c>
      <c r="M89" s="261" t="s">
        <v>2208</v>
      </c>
      <c r="N89" s="261" t="s">
        <v>5799</v>
      </c>
      <c r="O89" s="261" t="s">
        <v>5799</v>
      </c>
      <c r="P89" s="261" t="s">
        <v>5801</v>
      </c>
      <c r="Q89" s="261" t="s">
        <v>5801</v>
      </c>
      <c r="R89" s="261" t="s">
        <v>5801</v>
      </c>
      <c r="S89" s="261" t="s">
        <v>5801</v>
      </c>
      <c r="T89" s="261" t="s">
        <v>3320</v>
      </c>
      <c r="U89" s="261" t="s">
        <v>3320</v>
      </c>
      <c r="V89" s="261" t="s">
        <v>3320</v>
      </c>
      <c r="W89" s="261" t="s">
        <v>3320</v>
      </c>
      <c r="X89" s="261" t="s">
        <v>5214</v>
      </c>
      <c r="Y89" s="261" t="s">
        <v>6682</v>
      </c>
      <c r="Z89" s="261" t="s">
        <v>195</v>
      </c>
      <c r="AA89" s="261" t="s">
        <v>5195</v>
      </c>
    </row>
    <row r="90" ht="14.25" customHeight="1">
      <c r="A90" s="261" t="s">
        <v>2172</v>
      </c>
      <c r="B90" s="261" t="s">
        <v>5777</v>
      </c>
      <c r="C90" s="261" t="s">
        <v>6683</v>
      </c>
      <c r="D90" s="287" t="s">
        <v>1675</v>
      </c>
      <c r="E90" s="287" t="str">
        <f t="array" ref="E90">IFERROR(INDEX(REF_CODES!$B$142:$B$157,MATCH($D90,REF_CODES!$C$142:$C$157,0)),"")</f>
        <v>EP-YAC</v>
      </c>
      <c r="F90" s="288" t="s">
        <v>6687</v>
      </c>
      <c r="G90" s="261" t="s">
        <v>1229</v>
      </c>
      <c r="H90" s="261" t="s">
        <v>1229</v>
      </c>
      <c r="I90" s="261" t="s">
        <v>4024</v>
      </c>
      <c r="J90" s="261" t="s">
        <v>2208</v>
      </c>
      <c r="K90" s="261" t="s">
        <v>6689</v>
      </c>
      <c r="L90" s="261" t="s">
        <v>2208</v>
      </c>
      <c r="M90" s="261" t="s">
        <v>2208</v>
      </c>
      <c r="N90" s="261" t="s">
        <v>5799</v>
      </c>
      <c r="O90" s="261" t="s">
        <v>5799</v>
      </c>
      <c r="P90" s="261" t="s">
        <v>5801</v>
      </c>
      <c r="Q90" s="261" t="s">
        <v>5801</v>
      </c>
      <c r="R90" s="261" t="s">
        <v>5801</v>
      </c>
      <c r="S90" s="261" t="s">
        <v>5801</v>
      </c>
      <c r="T90" s="261" t="s">
        <v>3320</v>
      </c>
      <c r="U90" s="261" t="s">
        <v>3320</v>
      </c>
      <c r="V90" s="261" t="s">
        <v>3320</v>
      </c>
      <c r="W90" s="261" t="s">
        <v>3320</v>
      </c>
      <c r="X90" s="261" t="s">
        <v>4024</v>
      </c>
      <c r="Y90" s="261" t="s">
        <v>6691</v>
      </c>
      <c r="Z90" s="261" t="s">
        <v>195</v>
      </c>
      <c r="AA90" s="261" t="s">
        <v>5195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AO$2">
    <sortState ref="A2:AO2">
      <sortCondition ref="C2"/>
    </sortState>
  </autoFilter>
  <mergeCells count="1">
    <mergeCell ref="B1:Y1"/>
  </mergeCells>
  <dataValidations>
    <dataValidation type="list" allowBlank="1" showErrorMessage="1" sqref="AO3:AO40">
      <formula1>POI_TAGS</formula1>
    </dataValidation>
    <dataValidation type="list" allowBlank="1" showErrorMessage="1" sqref="X3:X88">
      <formula1>"Non contacté,Contact identifié,Échange réalisé,Relance 1,Relance 2,Convention envoyée,Convention signée,Actif SOLÝ"</formula1>
    </dataValidation>
    <dataValidation type="list" allowBlank="1" showErrorMessage="1" sqref="AN3:AN40">
      <formula1>ACC_TAGS</formula1>
    </dataValidation>
    <dataValidation type="list" allowBlank="1" showErrorMessage="1" sqref="D3:D40">
      <formula1>REF_CODES!$C$142:$C$157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3" width="17.75"/>
    <col customWidth="1" min="4" max="4" width="18.38"/>
    <col customWidth="1" min="5" max="5" width="17.75"/>
    <col customWidth="1" min="6" max="6" width="18.13"/>
    <col customWidth="1" min="7" max="7" width="36.63"/>
    <col customWidth="1" min="8" max="8" width="17.75"/>
    <col customWidth="1" min="9" max="9" width="18.0"/>
    <col customWidth="1" min="10" max="10" width="17.75"/>
    <col customWidth="1" min="11" max="11" width="23.0"/>
    <col customWidth="1" min="12" max="12" width="17.75"/>
    <col customWidth="1" min="13" max="13" width="21.0"/>
    <col customWidth="1" min="14" max="14" width="27.0"/>
    <col customWidth="1" min="15" max="15" width="20.0"/>
    <col customWidth="1" min="16" max="16" width="29.0"/>
    <col customWidth="1" min="17" max="17" width="30.0"/>
    <col customWidth="1" min="18" max="18" width="24.0"/>
    <col customWidth="1" min="19" max="19" width="28.0"/>
    <col customWidth="1" min="20" max="21" width="17.75"/>
    <col customWidth="1" min="22" max="26" width="20.0"/>
    <col customWidth="1" min="27" max="27" width="26.0"/>
    <col customWidth="1" min="28" max="29" width="17.75"/>
  </cols>
  <sheetData>
    <row r="1" ht="14.25" customHeight="1">
      <c r="A1" s="6"/>
      <c r="B1" s="6" t="s">
        <v>6875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42.0" customHeight="1">
      <c r="A2" s="289"/>
      <c r="B2" s="289" t="s">
        <v>8</v>
      </c>
      <c r="C2" s="289" t="s">
        <v>10</v>
      </c>
      <c r="D2" s="289" t="s">
        <v>6876</v>
      </c>
      <c r="E2" s="289" t="s">
        <v>6877</v>
      </c>
      <c r="F2" s="289" t="s">
        <v>6878</v>
      </c>
      <c r="G2" s="289" t="s">
        <v>6879</v>
      </c>
      <c r="H2" s="289" t="s">
        <v>6880</v>
      </c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  <c r="AB2" s="289"/>
      <c r="AC2" s="289"/>
    </row>
    <row r="3" ht="14.25" customHeight="1">
      <c r="A3" s="290"/>
      <c r="B3" s="13" t="s">
        <v>563</v>
      </c>
      <c r="C3" s="13" t="s">
        <v>6881</v>
      </c>
      <c r="D3" s="290">
        <v>25.0</v>
      </c>
      <c r="E3" s="290">
        <v>80.0</v>
      </c>
      <c r="F3" s="290">
        <v>150.0</v>
      </c>
      <c r="G3" s="291">
        <v>0.7</v>
      </c>
      <c r="H3" s="292">
        <v>4.0</v>
      </c>
    </row>
    <row r="4" ht="14.25" customHeight="1">
      <c r="A4" s="290"/>
      <c r="B4" s="13" t="s">
        <v>570</v>
      </c>
      <c r="C4" s="13" t="s">
        <v>6882</v>
      </c>
      <c r="D4" s="290">
        <v>45.0</v>
      </c>
      <c r="E4" s="290">
        <v>150.0</v>
      </c>
      <c r="F4" s="290">
        <v>280.0</v>
      </c>
      <c r="G4" s="291">
        <v>1.0</v>
      </c>
      <c r="H4" s="292">
        <v>4.0</v>
      </c>
    </row>
    <row r="5" ht="14.25" customHeight="1">
      <c r="A5" s="290"/>
      <c r="B5" s="13" t="s">
        <v>578</v>
      </c>
      <c r="C5" s="13" t="s">
        <v>6883</v>
      </c>
      <c r="D5" s="290">
        <v>45.0</v>
      </c>
      <c r="E5" s="290">
        <v>120.0</v>
      </c>
      <c r="F5" s="290">
        <v>220.0</v>
      </c>
      <c r="G5" s="291">
        <v>0.9</v>
      </c>
      <c r="H5" s="292">
        <v>6.0</v>
      </c>
    </row>
    <row r="6" ht="14.25" customHeight="1">
      <c r="A6" s="290"/>
      <c r="B6" s="13" t="s">
        <v>573</v>
      </c>
      <c r="C6" s="13" t="s">
        <v>6884</v>
      </c>
      <c r="D6" s="290">
        <v>60.0</v>
      </c>
      <c r="E6" s="290">
        <v>180.0</v>
      </c>
      <c r="F6" s="290">
        <v>350.0</v>
      </c>
      <c r="G6" s="291">
        <v>1.2</v>
      </c>
      <c r="H6" s="292">
        <v>4.0</v>
      </c>
    </row>
    <row r="7" ht="14.25" customHeight="1">
      <c r="B7" s="261" t="s">
        <v>2125</v>
      </c>
      <c r="C7" s="208" t="s">
        <v>6885</v>
      </c>
      <c r="D7" s="290">
        <v>70.0</v>
      </c>
      <c r="E7" s="290">
        <v>180.0</v>
      </c>
      <c r="F7" s="290">
        <v>320.0</v>
      </c>
      <c r="G7" s="291">
        <v>1.2</v>
      </c>
      <c r="H7" s="292">
        <v>15.0</v>
      </c>
    </row>
    <row r="8" ht="15.0" customHeight="1">
      <c r="B8" s="293" t="s">
        <v>6886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/>
      <c r="V8" s="8"/>
      <c r="W8" s="8"/>
      <c r="X8" s="8"/>
      <c r="Y8" s="8"/>
      <c r="Z8" s="8"/>
    </row>
    <row r="9" ht="42.0" customHeight="1">
      <c r="A9" s="231" t="s">
        <v>2134</v>
      </c>
      <c r="B9" s="231" t="s">
        <v>2136</v>
      </c>
      <c r="C9" s="231" t="s">
        <v>2137</v>
      </c>
      <c r="D9" s="231" t="s">
        <v>2152</v>
      </c>
      <c r="E9" s="231" t="s">
        <v>8</v>
      </c>
      <c r="F9" s="231" t="s">
        <v>2134</v>
      </c>
      <c r="G9" s="231" t="s">
        <v>4693</v>
      </c>
      <c r="H9" s="231" t="s">
        <v>4695</v>
      </c>
      <c r="I9" s="231" t="s">
        <v>4697</v>
      </c>
      <c r="J9" s="231" t="s">
        <v>5743</v>
      </c>
      <c r="K9" s="231" t="s">
        <v>6887</v>
      </c>
      <c r="L9" s="231" t="s">
        <v>6888</v>
      </c>
      <c r="M9" s="231" t="s">
        <v>6889</v>
      </c>
      <c r="N9" s="231" t="s">
        <v>6890</v>
      </c>
      <c r="O9" s="231" t="s">
        <v>6891</v>
      </c>
      <c r="P9" s="231" t="s">
        <v>6892</v>
      </c>
      <c r="Q9" s="231" t="s">
        <v>6893</v>
      </c>
      <c r="R9" s="231" t="s">
        <v>6894</v>
      </c>
      <c r="S9" s="231" t="s">
        <v>6895</v>
      </c>
      <c r="T9" s="231" t="s">
        <v>4713</v>
      </c>
      <c r="U9" s="231" t="s">
        <v>2135</v>
      </c>
      <c r="V9" s="231" t="s">
        <v>2185</v>
      </c>
      <c r="W9" s="231" t="s">
        <v>2158</v>
      </c>
      <c r="X9" s="231" t="s">
        <v>2159</v>
      </c>
      <c r="Y9" s="231" t="s">
        <v>27</v>
      </c>
      <c r="Z9" s="231" t="s">
        <v>6896</v>
      </c>
      <c r="AA9" s="231" t="s">
        <v>6897</v>
      </c>
      <c r="AB9" s="231" t="s">
        <v>5839</v>
      </c>
      <c r="AC9" s="231" t="s">
        <v>2178</v>
      </c>
    </row>
    <row r="10" ht="14.25" customHeight="1">
      <c r="A10" s="13" t="s">
        <v>1919</v>
      </c>
      <c r="B10" s="13" t="s">
        <v>527</v>
      </c>
      <c r="C10" s="13" t="s">
        <v>6898</v>
      </c>
      <c r="D10" s="13" t="s">
        <v>566</v>
      </c>
      <c r="E10" s="13" t="str">
        <f t="array" ref="E10">IFERROR(INDEX(REF_CODES!$B:$B,MATCH($D10,REF_CODES!$C:$C,0)),"")</f>
        <v>TR-BER</v>
      </c>
      <c r="F10" s="13" t="s">
        <v>1919</v>
      </c>
      <c r="G10" s="13" t="s">
        <v>6899</v>
      </c>
      <c r="H10" s="252" t="s">
        <v>4791</v>
      </c>
      <c r="I10" s="5" t="s">
        <v>6900</v>
      </c>
      <c r="J10" s="252" t="s">
        <v>2334</v>
      </c>
      <c r="K10" s="252" t="s">
        <v>4727</v>
      </c>
      <c r="L10" s="13" t="s">
        <v>6901</v>
      </c>
      <c r="M10" s="252" t="s">
        <v>6902</v>
      </c>
      <c r="N10" s="252" t="s">
        <v>6903</v>
      </c>
      <c r="O10" s="5" t="s">
        <v>6904</v>
      </c>
      <c r="P10" s="5" t="s">
        <v>6905</v>
      </c>
      <c r="Q10" s="5" t="s">
        <v>6906</v>
      </c>
      <c r="R10" s="5" t="s">
        <v>6906</v>
      </c>
      <c r="S10" s="5" t="s">
        <v>6906</v>
      </c>
      <c r="T10" s="252" t="s">
        <v>4727</v>
      </c>
      <c r="U10" s="252" t="s">
        <v>4727</v>
      </c>
      <c r="V10" s="5" t="s">
        <v>188</v>
      </c>
      <c r="W10" s="5" t="s">
        <v>469</v>
      </c>
      <c r="X10" s="5" t="s">
        <v>498</v>
      </c>
      <c r="Y10" s="5" t="s">
        <v>6907</v>
      </c>
      <c r="Z10" s="5" t="s">
        <v>6908</v>
      </c>
      <c r="AA10" s="13" t="s">
        <v>6909</v>
      </c>
      <c r="AB10" s="13" t="s">
        <v>6910</v>
      </c>
      <c r="AC10" s="13" t="s">
        <v>2398</v>
      </c>
    </row>
    <row r="11" ht="14.25" customHeight="1">
      <c r="A11" s="13" t="s">
        <v>1919</v>
      </c>
      <c r="B11" s="13" t="s">
        <v>527</v>
      </c>
      <c r="C11" s="13" t="s">
        <v>6911</v>
      </c>
      <c r="D11" s="13" t="s">
        <v>566</v>
      </c>
      <c r="E11" s="13" t="str">
        <f t="array" ref="E11">IFERROR(INDEX(REF_CODES!$B:$B,MATCH($D11,REF_CODES!$C:$C,0)),"")</f>
        <v>TR-BER</v>
      </c>
      <c r="F11" s="13" t="s">
        <v>1919</v>
      </c>
      <c r="G11" s="13" t="s">
        <v>6912</v>
      </c>
      <c r="H11" s="252" t="s">
        <v>4791</v>
      </c>
      <c r="I11" s="5" t="s">
        <v>6913</v>
      </c>
      <c r="J11" s="252" t="s">
        <v>2334</v>
      </c>
      <c r="K11" s="252" t="s">
        <v>4727</v>
      </c>
      <c r="L11" s="13" t="s">
        <v>6901</v>
      </c>
      <c r="M11" s="252" t="s">
        <v>6902</v>
      </c>
      <c r="N11" s="252" t="s">
        <v>6903</v>
      </c>
      <c r="O11" s="5" t="s">
        <v>6904</v>
      </c>
      <c r="P11" s="5" t="s">
        <v>6905</v>
      </c>
      <c r="Q11" s="5" t="s">
        <v>6906</v>
      </c>
      <c r="R11" s="5" t="s">
        <v>6906</v>
      </c>
      <c r="S11" s="5" t="s">
        <v>6906</v>
      </c>
      <c r="T11" s="252" t="s">
        <v>4727</v>
      </c>
      <c r="U11" s="252" t="s">
        <v>4727</v>
      </c>
      <c r="V11" s="5" t="s">
        <v>195</v>
      </c>
      <c r="W11" s="5" t="s">
        <v>469</v>
      </c>
      <c r="X11" s="5" t="s">
        <v>498</v>
      </c>
      <c r="Y11" s="5" t="s">
        <v>6907</v>
      </c>
      <c r="Z11" s="5" t="s">
        <v>6908</v>
      </c>
      <c r="AA11" s="13" t="s">
        <v>6914</v>
      </c>
      <c r="AB11" s="252" t="s">
        <v>2208</v>
      </c>
      <c r="AC11" s="13" t="s">
        <v>2398</v>
      </c>
    </row>
    <row r="12" ht="14.25" customHeight="1">
      <c r="A12" s="13" t="s">
        <v>1919</v>
      </c>
      <c r="B12" s="13" t="s">
        <v>527</v>
      </c>
      <c r="C12" s="13" t="s">
        <v>6915</v>
      </c>
      <c r="D12" s="13" t="s">
        <v>566</v>
      </c>
      <c r="E12" s="13" t="str">
        <f t="array" ref="E12">IFERROR(INDEX(REF_CODES!$B:$B,MATCH($D12,REF_CODES!$C:$C,0)),"")</f>
        <v>TR-BER</v>
      </c>
      <c r="F12" s="13" t="s">
        <v>1919</v>
      </c>
      <c r="G12" s="13" t="s">
        <v>6916</v>
      </c>
      <c r="H12" s="252" t="s">
        <v>4791</v>
      </c>
      <c r="I12" s="5" t="s">
        <v>6900</v>
      </c>
      <c r="J12" s="252" t="s">
        <v>2334</v>
      </c>
      <c r="K12" s="252" t="s">
        <v>4727</v>
      </c>
      <c r="L12" s="13" t="s">
        <v>6901</v>
      </c>
      <c r="M12" s="252" t="s">
        <v>6902</v>
      </c>
      <c r="N12" s="252" t="s">
        <v>6903</v>
      </c>
      <c r="O12" s="5" t="s">
        <v>6904</v>
      </c>
      <c r="P12" s="5" t="s">
        <v>6905</v>
      </c>
      <c r="Q12" s="5" t="s">
        <v>6906</v>
      </c>
      <c r="R12" s="5" t="s">
        <v>6906</v>
      </c>
      <c r="S12" s="5" t="s">
        <v>6906</v>
      </c>
      <c r="T12" s="252" t="s">
        <v>4727</v>
      </c>
      <c r="U12" s="252" t="s">
        <v>4727</v>
      </c>
      <c r="V12" s="5" t="s">
        <v>195</v>
      </c>
      <c r="W12" s="5" t="s">
        <v>469</v>
      </c>
      <c r="X12" s="5" t="s">
        <v>498</v>
      </c>
      <c r="Y12" s="5" t="s">
        <v>6907</v>
      </c>
      <c r="Z12" s="5" t="s">
        <v>6908</v>
      </c>
      <c r="AA12" s="13" t="s">
        <v>6914</v>
      </c>
      <c r="AB12" s="252" t="s">
        <v>2208</v>
      </c>
      <c r="AC12" s="13" t="s">
        <v>2398</v>
      </c>
    </row>
    <row r="13" ht="14.25" customHeight="1">
      <c r="A13" s="13" t="s">
        <v>1919</v>
      </c>
      <c r="B13" s="13" t="s">
        <v>527</v>
      </c>
      <c r="C13" s="13" t="s">
        <v>6917</v>
      </c>
      <c r="D13" s="13" t="s">
        <v>566</v>
      </c>
      <c r="E13" s="13" t="str">
        <f t="array" ref="E13">IFERROR(INDEX(REF_CODES!$B:$B,MATCH($D13,REF_CODES!$C:$C,0)),"")</f>
        <v>TR-BER</v>
      </c>
      <c r="F13" s="13" t="s">
        <v>1919</v>
      </c>
      <c r="G13" s="13" t="s">
        <v>6918</v>
      </c>
      <c r="H13" s="252" t="s">
        <v>4791</v>
      </c>
      <c r="I13" s="5" t="s">
        <v>6900</v>
      </c>
      <c r="J13" s="252" t="s">
        <v>2334</v>
      </c>
      <c r="K13" s="252" t="s">
        <v>4727</v>
      </c>
      <c r="L13" s="13" t="s">
        <v>668</v>
      </c>
      <c r="M13" s="252" t="s">
        <v>6902</v>
      </c>
      <c r="N13" s="252" t="s">
        <v>6903</v>
      </c>
      <c r="O13" s="5" t="s">
        <v>6904</v>
      </c>
      <c r="P13" s="5" t="s">
        <v>6905</v>
      </c>
      <c r="Q13" s="5" t="s">
        <v>6906</v>
      </c>
      <c r="R13" s="5" t="s">
        <v>6906</v>
      </c>
      <c r="S13" s="5" t="s">
        <v>6906</v>
      </c>
      <c r="T13" s="252" t="s">
        <v>4727</v>
      </c>
      <c r="U13" s="252" t="s">
        <v>4727</v>
      </c>
      <c r="V13" s="5" t="s">
        <v>188</v>
      </c>
      <c r="W13" s="5" t="s">
        <v>469</v>
      </c>
      <c r="X13" s="5" t="s">
        <v>498</v>
      </c>
      <c r="Y13" s="5" t="s">
        <v>6907</v>
      </c>
      <c r="Z13" s="5" t="s">
        <v>6908</v>
      </c>
      <c r="AA13" s="13" t="s">
        <v>6919</v>
      </c>
      <c r="AB13" s="252" t="s">
        <v>2208</v>
      </c>
      <c r="AC13" s="13" t="s">
        <v>2398</v>
      </c>
    </row>
    <row r="14" ht="14.25" customHeight="1">
      <c r="A14" s="13" t="s">
        <v>1919</v>
      </c>
      <c r="B14" s="13" t="s">
        <v>527</v>
      </c>
      <c r="C14" s="13" t="s">
        <v>6920</v>
      </c>
      <c r="D14" s="13" t="s">
        <v>571</v>
      </c>
      <c r="E14" s="13" t="str">
        <f t="array" ref="E14">IFERROR(INDEX(REF_CODES!$B:$B,MATCH($D14,REF_CODES!$C:$C,0)),"")</f>
        <v>TR-BEL</v>
      </c>
      <c r="F14" s="13" t="s">
        <v>1919</v>
      </c>
      <c r="G14" s="13" t="s">
        <v>6921</v>
      </c>
      <c r="H14" s="252" t="s">
        <v>4791</v>
      </c>
      <c r="I14" s="5" t="s">
        <v>6900</v>
      </c>
      <c r="J14" s="252" t="s">
        <v>2334</v>
      </c>
      <c r="K14" s="252" t="s">
        <v>4727</v>
      </c>
      <c r="L14" s="13" t="s">
        <v>6901</v>
      </c>
      <c r="M14" s="252" t="s">
        <v>6902</v>
      </c>
      <c r="N14" s="252" t="s">
        <v>6903</v>
      </c>
      <c r="O14" s="5" t="s">
        <v>6904</v>
      </c>
      <c r="P14" s="5" t="s">
        <v>6905</v>
      </c>
      <c r="Q14" s="5" t="s">
        <v>6906</v>
      </c>
      <c r="R14" s="5" t="s">
        <v>6906</v>
      </c>
      <c r="S14" s="5" t="s">
        <v>6906</v>
      </c>
      <c r="T14" s="252" t="s">
        <v>4727</v>
      </c>
      <c r="U14" s="252" t="s">
        <v>4727</v>
      </c>
      <c r="V14" s="5" t="s">
        <v>195</v>
      </c>
      <c r="W14" s="5" t="s">
        <v>469</v>
      </c>
      <c r="X14" s="5" t="s">
        <v>498</v>
      </c>
      <c r="Y14" s="5" t="s">
        <v>6907</v>
      </c>
      <c r="Z14" s="5" t="s">
        <v>6908</v>
      </c>
      <c r="AA14" s="13" t="s">
        <v>6922</v>
      </c>
      <c r="AB14" s="252" t="s">
        <v>2208</v>
      </c>
      <c r="AC14" s="13" t="s">
        <v>2398</v>
      </c>
    </row>
    <row r="15" ht="14.25" customHeight="1">
      <c r="A15" s="13" t="s">
        <v>1919</v>
      </c>
      <c r="B15" s="13" t="s">
        <v>527</v>
      </c>
      <c r="C15" s="13" t="s">
        <v>6923</v>
      </c>
      <c r="D15" s="13" t="s">
        <v>566</v>
      </c>
      <c r="E15" s="13" t="str">
        <f t="array" ref="E15">IFERROR(INDEX(REF_CODES!$B:$B,MATCH($D15,REF_CODES!$C:$C,0)),"")</f>
        <v>TR-BER</v>
      </c>
      <c r="F15" s="13" t="s">
        <v>1919</v>
      </c>
      <c r="G15" s="13" t="s">
        <v>6924</v>
      </c>
      <c r="H15" s="252" t="s">
        <v>4791</v>
      </c>
      <c r="I15" s="5" t="s">
        <v>6900</v>
      </c>
      <c r="J15" s="252" t="s">
        <v>2334</v>
      </c>
      <c r="K15" s="252" t="s">
        <v>4727</v>
      </c>
      <c r="L15" s="13" t="s">
        <v>6925</v>
      </c>
      <c r="M15" s="252" t="s">
        <v>6902</v>
      </c>
      <c r="N15" s="252" t="s">
        <v>6903</v>
      </c>
      <c r="O15" s="5" t="s">
        <v>6904</v>
      </c>
      <c r="P15" s="13" t="s">
        <v>2398</v>
      </c>
      <c r="Q15" s="5" t="s">
        <v>6906</v>
      </c>
      <c r="R15" s="5" t="s">
        <v>6906</v>
      </c>
      <c r="S15" s="5" t="s">
        <v>6906</v>
      </c>
      <c r="T15" s="252" t="s">
        <v>4727</v>
      </c>
      <c r="U15" s="252" t="s">
        <v>4727</v>
      </c>
      <c r="V15" s="5" t="s">
        <v>188</v>
      </c>
      <c r="W15" s="5" t="s">
        <v>469</v>
      </c>
      <c r="X15" s="5" t="s">
        <v>498</v>
      </c>
      <c r="Y15" s="5" t="s">
        <v>6907</v>
      </c>
      <c r="Z15" s="5" t="s">
        <v>6908</v>
      </c>
      <c r="AA15" s="13" t="s">
        <v>563</v>
      </c>
      <c r="AB15" s="252" t="s">
        <v>2208</v>
      </c>
      <c r="AC15" s="13" t="s">
        <v>2398</v>
      </c>
    </row>
    <row r="16" ht="14.25" customHeight="1">
      <c r="A16" s="13" t="s">
        <v>1919</v>
      </c>
      <c r="B16" s="13" t="s">
        <v>527</v>
      </c>
      <c r="C16" s="13" t="s">
        <v>6926</v>
      </c>
      <c r="D16" s="13" t="s">
        <v>571</v>
      </c>
      <c r="E16" s="13" t="str">
        <f t="array" ref="E16">IFERROR(INDEX(REF_CODES!$B:$B,MATCH($D16,REF_CODES!$C:$C,0)),"")</f>
        <v>TR-BEL</v>
      </c>
      <c r="F16" s="13" t="s">
        <v>1919</v>
      </c>
      <c r="G16" s="13" t="s">
        <v>6927</v>
      </c>
      <c r="H16" s="252" t="s">
        <v>4791</v>
      </c>
      <c r="I16" s="5" t="s">
        <v>6900</v>
      </c>
      <c r="J16" s="252" t="s">
        <v>2334</v>
      </c>
      <c r="K16" s="252" t="s">
        <v>4727</v>
      </c>
      <c r="L16" s="13" t="s">
        <v>6901</v>
      </c>
      <c r="M16" s="252" t="s">
        <v>6902</v>
      </c>
      <c r="N16" s="252" t="s">
        <v>6903</v>
      </c>
      <c r="O16" s="5" t="s">
        <v>6904</v>
      </c>
      <c r="P16" s="5" t="s">
        <v>6905</v>
      </c>
      <c r="Q16" s="5" t="s">
        <v>6906</v>
      </c>
      <c r="R16" s="5" t="s">
        <v>6906</v>
      </c>
      <c r="S16" s="5" t="s">
        <v>6906</v>
      </c>
      <c r="T16" s="252" t="s">
        <v>4727</v>
      </c>
      <c r="U16" s="252" t="s">
        <v>4727</v>
      </c>
      <c r="V16" s="5" t="s">
        <v>195</v>
      </c>
      <c r="W16" s="5" t="s">
        <v>469</v>
      </c>
      <c r="X16" s="5" t="s">
        <v>498</v>
      </c>
      <c r="Y16" s="5" t="s">
        <v>6907</v>
      </c>
      <c r="Z16" s="5" t="s">
        <v>6908</v>
      </c>
      <c r="AA16" s="13" t="s">
        <v>6928</v>
      </c>
      <c r="AB16" s="252" t="s">
        <v>2208</v>
      </c>
      <c r="AC16" s="13" t="s">
        <v>2398</v>
      </c>
    </row>
    <row r="17" ht="14.25" customHeight="1">
      <c r="A17" s="13" t="s">
        <v>1919</v>
      </c>
      <c r="B17" s="13" t="s">
        <v>527</v>
      </c>
      <c r="C17" s="13" t="s">
        <v>6929</v>
      </c>
      <c r="D17" s="252" t="s">
        <v>4727</v>
      </c>
      <c r="E17" s="5" t="str">
        <f t="array" ref="E17">IFERROR(INDEX(REF_CODES!$B:$B,MATCH($D17,REF_CODES!$C:$C,0)),"")</f>
        <v/>
      </c>
      <c r="F17" s="13" t="s">
        <v>1919</v>
      </c>
      <c r="G17" s="13" t="s">
        <v>6930</v>
      </c>
      <c r="H17" s="252" t="s">
        <v>4791</v>
      </c>
      <c r="I17" s="5" t="s">
        <v>6931</v>
      </c>
      <c r="J17" s="252" t="s">
        <v>2334</v>
      </c>
      <c r="K17" s="252" t="s">
        <v>4727</v>
      </c>
      <c r="L17" s="13" t="s">
        <v>6932</v>
      </c>
      <c r="M17" s="252" t="s">
        <v>6902</v>
      </c>
      <c r="N17" s="252" t="s">
        <v>6903</v>
      </c>
      <c r="O17" s="5" t="s">
        <v>6904</v>
      </c>
      <c r="P17" s="5" t="s">
        <v>6905</v>
      </c>
      <c r="Q17" s="5" t="s">
        <v>6906</v>
      </c>
      <c r="R17" s="5" t="s">
        <v>6906</v>
      </c>
      <c r="S17" s="5" t="s">
        <v>6906</v>
      </c>
      <c r="T17" s="252" t="s">
        <v>4727</v>
      </c>
      <c r="U17" s="13" t="s">
        <v>6933</v>
      </c>
      <c r="V17" s="5" t="s">
        <v>188</v>
      </c>
      <c r="W17" s="5" t="s">
        <v>469</v>
      </c>
      <c r="X17" s="5" t="s">
        <v>498</v>
      </c>
      <c r="Y17" s="5" t="s">
        <v>6907</v>
      </c>
      <c r="Z17" s="5" t="s">
        <v>6908</v>
      </c>
      <c r="AA17" s="13" t="s">
        <v>6934</v>
      </c>
      <c r="AB17" s="252" t="s">
        <v>2208</v>
      </c>
      <c r="AC17" s="13" t="s">
        <v>2398</v>
      </c>
    </row>
    <row r="18" ht="14.25" customHeight="1">
      <c r="A18" s="13" t="s">
        <v>1919</v>
      </c>
      <c r="B18" s="13" t="s">
        <v>527</v>
      </c>
      <c r="C18" s="13" t="s">
        <v>6935</v>
      </c>
      <c r="D18" s="252" t="s">
        <v>4727</v>
      </c>
      <c r="E18" s="5" t="str">
        <f t="array" ref="E18">IFERROR(INDEX(REF_CODES!$B:$B,MATCH($D18,REF_CODES!$C:$C,0)),"")</f>
        <v/>
      </c>
      <c r="F18" s="13" t="s">
        <v>1919</v>
      </c>
      <c r="G18" s="13" t="s">
        <v>6936</v>
      </c>
      <c r="H18" s="252" t="s">
        <v>4791</v>
      </c>
      <c r="I18" s="5" t="s">
        <v>6900</v>
      </c>
      <c r="J18" s="252" t="s">
        <v>2334</v>
      </c>
      <c r="K18" s="252" t="s">
        <v>4727</v>
      </c>
      <c r="L18" s="13" t="s">
        <v>6932</v>
      </c>
      <c r="M18" s="252" t="s">
        <v>6902</v>
      </c>
      <c r="N18" s="252" t="s">
        <v>6903</v>
      </c>
      <c r="O18" s="5" t="s">
        <v>6904</v>
      </c>
      <c r="P18" s="5" t="s">
        <v>6905</v>
      </c>
      <c r="Q18" s="5" t="s">
        <v>6906</v>
      </c>
      <c r="R18" s="5" t="s">
        <v>6906</v>
      </c>
      <c r="S18" s="5" t="s">
        <v>6906</v>
      </c>
      <c r="T18" s="252" t="s">
        <v>4727</v>
      </c>
      <c r="U18" s="13" t="s">
        <v>6933</v>
      </c>
      <c r="V18" s="5" t="s">
        <v>188</v>
      </c>
      <c r="W18" s="5" t="s">
        <v>469</v>
      </c>
      <c r="X18" s="5" t="s">
        <v>498</v>
      </c>
      <c r="Y18" s="5" t="s">
        <v>6907</v>
      </c>
      <c r="Z18" s="5" t="s">
        <v>6908</v>
      </c>
      <c r="AA18" s="13" t="s">
        <v>6934</v>
      </c>
      <c r="AB18" s="252" t="s">
        <v>2208</v>
      </c>
      <c r="AC18" s="13" t="s">
        <v>2398</v>
      </c>
    </row>
    <row r="19" ht="14.25" customHeight="1">
      <c r="A19" s="13" t="s">
        <v>1919</v>
      </c>
      <c r="B19" s="13" t="s">
        <v>527</v>
      </c>
      <c r="C19" s="13" t="s">
        <v>6937</v>
      </c>
      <c r="D19" s="252" t="s">
        <v>4727</v>
      </c>
      <c r="E19" s="5" t="str">
        <f t="array" ref="E19">IFERROR(INDEX(REF_CODES!$B:$B,MATCH($D19,REF_CODES!$C:$C,0)),"")</f>
        <v/>
      </c>
      <c r="F19" s="13" t="s">
        <v>1919</v>
      </c>
      <c r="G19" s="13" t="s">
        <v>6938</v>
      </c>
      <c r="H19" s="252" t="s">
        <v>4791</v>
      </c>
      <c r="I19" s="5" t="s">
        <v>6939</v>
      </c>
      <c r="J19" s="252" t="s">
        <v>2334</v>
      </c>
      <c r="K19" s="252" t="s">
        <v>4727</v>
      </c>
      <c r="L19" s="13" t="s">
        <v>6932</v>
      </c>
      <c r="M19" s="252" t="s">
        <v>6902</v>
      </c>
      <c r="N19" s="252" t="s">
        <v>6903</v>
      </c>
      <c r="O19" s="5" t="s">
        <v>6904</v>
      </c>
      <c r="P19" s="5" t="s">
        <v>6905</v>
      </c>
      <c r="Q19" s="5" t="s">
        <v>6906</v>
      </c>
      <c r="R19" s="5" t="s">
        <v>6906</v>
      </c>
      <c r="S19" s="5" t="s">
        <v>6906</v>
      </c>
      <c r="T19" s="252" t="s">
        <v>4727</v>
      </c>
      <c r="U19" s="13" t="s">
        <v>6933</v>
      </c>
      <c r="V19" s="5" t="s">
        <v>188</v>
      </c>
      <c r="W19" s="5" t="s">
        <v>469</v>
      </c>
      <c r="X19" s="5" t="s">
        <v>498</v>
      </c>
      <c r="Y19" s="5" t="s">
        <v>6907</v>
      </c>
      <c r="Z19" s="5" t="s">
        <v>6908</v>
      </c>
      <c r="AA19" s="13" t="s">
        <v>6934</v>
      </c>
      <c r="AB19" s="252" t="s">
        <v>2208</v>
      </c>
      <c r="AC19" s="13" t="s">
        <v>2398</v>
      </c>
    </row>
    <row r="20" ht="14.25" customHeight="1">
      <c r="A20" s="13" t="s">
        <v>1919</v>
      </c>
      <c r="B20" s="13" t="s">
        <v>527</v>
      </c>
      <c r="C20" s="13" t="s">
        <v>6940</v>
      </c>
      <c r="D20" s="13" t="s">
        <v>566</v>
      </c>
      <c r="E20" s="13" t="str">
        <f t="array" ref="E20">IFERROR(INDEX(REF_CODES!$B:$B,MATCH($D20,REF_CODES!$C:$C,0)),"")</f>
        <v>TR-BER</v>
      </c>
      <c r="F20" s="13" t="s">
        <v>1919</v>
      </c>
      <c r="G20" s="13" t="s">
        <v>6941</v>
      </c>
      <c r="H20" s="252" t="s">
        <v>4791</v>
      </c>
      <c r="I20" s="13" t="s">
        <v>6942</v>
      </c>
      <c r="J20" s="252" t="s">
        <v>2334</v>
      </c>
      <c r="K20" s="13" t="s">
        <v>6943</v>
      </c>
      <c r="L20" s="5" t="s">
        <v>6944</v>
      </c>
      <c r="M20" s="252" t="s">
        <v>6902</v>
      </c>
      <c r="N20" s="252" t="s">
        <v>6903</v>
      </c>
      <c r="O20" s="5" t="s">
        <v>6904</v>
      </c>
      <c r="P20" s="5" t="s">
        <v>6905</v>
      </c>
      <c r="Q20" s="5" t="s">
        <v>6906</v>
      </c>
      <c r="R20" s="5" t="s">
        <v>6906</v>
      </c>
      <c r="S20" s="5" t="s">
        <v>6906</v>
      </c>
      <c r="T20" s="252" t="s">
        <v>6945</v>
      </c>
      <c r="U20" s="13" t="s">
        <v>6946</v>
      </c>
      <c r="V20" s="5" t="s">
        <v>188</v>
      </c>
      <c r="W20" s="5" t="s">
        <v>469</v>
      </c>
      <c r="X20" s="5" t="s">
        <v>498</v>
      </c>
      <c r="Y20" s="5" t="s">
        <v>6907</v>
      </c>
      <c r="Z20" s="5" t="s">
        <v>6908</v>
      </c>
      <c r="AA20" s="13" t="s">
        <v>3320</v>
      </c>
      <c r="AB20" s="5" t="s">
        <v>6947</v>
      </c>
      <c r="AC20" s="5" t="s">
        <v>6948</v>
      </c>
    </row>
    <row r="21" ht="14.25" customHeight="1">
      <c r="A21" s="13" t="s">
        <v>1919</v>
      </c>
      <c r="B21" s="13" t="s">
        <v>527</v>
      </c>
      <c r="C21" s="13" t="s">
        <v>6949</v>
      </c>
      <c r="D21" s="252" t="s">
        <v>4727</v>
      </c>
      <c r="E21" s="13" t="str">
        <f t="array" ref="E21">IFERROR(INDEX(REF_CODES!$B:$B,MATCH($D21,REF_CODES!$C:$C,0)),"")</f>
        <v/>
      </c>
      <c r="F21" s="13" t="s">
        <v>1919</v>
      </c>
      <c r="G21" s="13" t="s">
        <v>6950</v>
      </c>
      <c r="H21" s="252" t="s">
        <v>4791</v>
      </c>
      <c r="I21" s="13" t="s">
        <v>6951</v>
      </c>
      <c r="J21" s="252" t="s">
        <v>2334</v>
      </c>
      <c r="K21" s="252" t="s">
        <v>4727</v>
      </c>
      <c r="L21" s="5" t="s">
        <v>6944</v>
      </c>
      <c r="M21" s="252" t="s">
        <v>6902</v>
      </c>
      <c r="N21" s="252" t="s">
        <v>6903</v>
      </c>
      <c r="O21" s="5" t="s">
        <v>6904</v>
      </c>
      <c r="P21" s="5" t="s">
        <v>6905</v>
      </c>
      <c r="Q21" s="5" t="s">
        <v>6906</v>
      </c>
      <c r="R21" s="5" t="s">
        <v>6906</v>
      </c>
      <c r="S21" s="5" t="s">
        <v>6906</v>
      </c>
      <c r="T21" s="13" t="s">
        <v>6952</v>
      </c>
      <c r="U21" s="13" t="s">
        <v>6953</v>
      </c>
      <c r="V21" s="5" t="s">
        <v>188</v>
      </c>
      <c r="W21" s="5" t="s">
        <v>469</v>
      </c>
      <c r="X21" s="5" t="s">
        <v>498</v>
      </c>
      <c r="Y21" s="5" t="s">
        <v>6907</v>
      </c>
      <c r="Z21" s="5" t="s">
        <v>6908</v>
      </c>
      <c r="AA21" s="13" t="s">
        <v>6954</v>
      </c>
      <c r="AB21" s="5" t="s">
        <v>6947</v>
      </c>
      <c r="AC21" s="5" t="s">
        <v>6948</v>
      </c>
    </row>
    <row r="22" ht="14.25" customHeight="1">
      <c r="A22" s="13" t="s">
        <v>1919</v>
      </c>
      <c r="B22" s="13" t="s">
        <v>527</v>
      </c>
      <c r="C22" s="13" t="s">
        <v>6955</v>
      </c>
      <c r="D22" s="252" t="s">
        <v>4727</v>
      </c>
      <c r="E22" s="13" t="str">
        <f t="array" ref="E22">IFERROR(INDEX(REF_CODES!$B:$B,MATCH($D22,REF_CODES!$C:$C,0)),"")</f>
        <v/>
      </c>
      <c r="F22" s="13" t="s">
        <v>1919</v>
      </c>
      <c r="G22" s="13" t="s">
        <v>6956</v>
      </c>
      <c r="H22" s="252" t="s">
        <v>4791</v>
      </c>
      <c r="I22" s="13" t="s">
        <v>6957</v>
      </c>
      <c r="J22" s="252" t="s">
        <v>2334</v>
      </c>
      <c r="K22" s="252" t="s">
        <v>4727</v>
      </c>
      <c r="L22" s="5" t="s">
        <v>6944</v>
      </c>
      <c r="M22" s="252" t="s">
        <v>6902</v>
      </c>
      <c r="N22" s="252" t="s">
        <v>6903</v>
      </c>
      <c r="O22" s="5" t="s">
        <v>6904</v>
      </c>
      <c r="P22" s="5" t="s">
        <v>6905</v>
      </c>
      <c r="Q22" s="5" t="s">
        <v>6906</v>
      </c>
      <c r="R22" s="5" t="s">
        <v>6906</v>
      </c>
      <c r="S22" s="5" t="s">
        <v>6906</v>
      </c>
      <c r="T22" s="13" t="s">
        <v>6952</v>
      </c>
      <c r="U22" s="13" t="s">
        <v>6958</v>
      </c>
      <c r="V22" s="5" t="s">
        <v>188</v>
      </c>
      <c r="W22" s="5" t="s">
        <v>469</v>
      </c>
      <c r="X22" s="5" t="s">
        <v>498</v>
      </c>
      <c r="Y22" s="5" t="s">
        <v>6907</v>
      </c>
      <c r="Z22" s="5" t="s">
        <v>6908</v>
      </c>
      <c r="AA22" s="13" t="s">
        <v>6954</v>
      </c>
      <c r="AB22" s="5" t="s">
        <v>6947</v>
      </c>
      <c r="AC22" s="13" t="s">
        <v>2398</v>
      </c>
    </row>
    <row r="23" ht="14.25" customHeight="1">
      <c r="A23" s="13" t="s">
        <v>1919</v>
      </c>
      <c r="B23" s="13" t="s">
        <v>527</v>
      </c>
      <c r="C23" s="13" t="s">
        <v>6959</v>
      </c>
      <c r="D23" s="13" t="s">
        <v>571</v>
      </c>
      <c r="E23" s="13" t="str">
        <f t="array" ref="E23">IFERROR(INDEX(REF_CODES!$B:$B,MATCH($D23,REF_CODES!$C:$C,0)),"")</f>
        <v>TR-BEL</v>
      </c>
      <c r="F23" s="13" t="s">
        <v>1919</v>
      </c>
      <c r="G23" s="13" t="s">
        <v>6960</v>
      </c>
      <c r="H23" s="252" t="s">
        <v>4791</v>
      </c>
      <c r="I23" s="13" t="s">
        <v>6961</v>
      </c>
      <c r="J23" s="252" t="s">
        <v>2334</v>
      </c>
      <c r="K23" s="252" t="s">
        <v>4727</v>
      </c>
      <c r="L23" s="5" t="s">
        <v>6944</v>
      </c>
      <c r="M23" s="252" t="s">
        <v>6902</v>
      </c>
      <c r="N23" s="252" t="s">
        <v>6903</v>
      </c>
      <c r="O23" s="5" t="s">
        <v>6904</v>
      </c>
      <c r="P23" s="5" t="s">
        <v>6905</v>
      </c>
      <c r="Q23" s="5" t="s">
        <v>6906</v>
      </c>
      <c r="R23" s="5" t="s">
        <v>6906</v>
      </c>
      <c r="S23" s="5" t="s">
        <v>6906</v>
      </c>
      <c r="T23" s="13" t="s">
        <v>6952</v>
      </c>
      <c r="U23" s="13" t="s">
        <v>6962</v>
      </c>
      <c r="V23" s="5" t="s">
        <v>195</v>
      </c>
      <c r="W23" s="5" t="s">
        <v>469</v>
      </c>
      <c r="X23" s="5" t="s">
        <v>498</v>
      </c>
      <c r="Y23" s="5" t="s">
        <v>6907</v>
      </c>
      <c r="Z23" s="5" t="s">
        <v>6908</v>
      </c>
      <c r="AA23" s="13" t="s">
        <v>3320</v>
      </c>
      <c r="AB23" s="5" t="s">
        <v>6947</v>
      </c>
      <c r="AC23" s="5" t="s">
        <v>6948</v>
      </c>
    </row>
    <row r="24" ht="14.25" customHeight="1">
      <c r="A24" s="13" t="s">
        <v>1919</v>
      </c>
      <c r="B24" s="13" t="s">
        <v>527</v>
      </c>
      <c r="C24" s="13" t="s">
        <v>6963</v>
      </c>
      <c r="D24" s="13" t="s">
        <v>566</v>
      </c>
      <c r="E24" s="13" t="str">
        <f t="array" ref="E24">IFERROR(INDEX(REF_CODES!$B:$B,MATCH($D24,REF_CODES!$C:$C,0)),"")</f>
        <v>TR-BER</v>
      </c>
      <c r="F24" s="13" t="s">
        <v>1919</v>
      </c>
      <c r="G24" s="13" t="s">
        <v>6964</v>
      </c>
      <c r="H24" s="252" t="s">
        <v>4791</v>
      </c>
      <c r="I24" s="13" t="s">
        <v>6965</v>
      </c>
      <c r="J24" s="252" t="s">
        <v>2334</v>
      </c>
      <c r="K24" s="252" t="s">
        <v>4727</v>
      </c>
      <c r="L24" s="5" t="s">
        <v>6944</v>
      </c>
      <c r="M24" s="252" t="s">
        <v>6902</v>
      </c>
      <c r="N24" s="252" t="s">
        <v>6903</v>
      </c>
      <c r="O24" s="5" t="s">
        <v>6904</v>
      </c>
      <c r="P24" s="5" t="s">
        <v>6905</v>
      </c>
      <c r="Q24" s="5" t="s">
        <v>6906</v>
      </c>
      <c r="R24" s="5" t="s">
        <v>6906</v>
      </c>
      <c r="S24" s="5" t="s">
        <v>6906</v>
      </c>
      <c r="T24" s="13" t="s">
        <v>6952</v>
      </c>
      <c r="U24" s="13" t="s">
        <v>6966</v>
      </c>
      <c r="V24" s="5" t="s">
        <v>195</v>
      </c>
      <c r="W24" s="5" t="s">
        <v>469</v>
      </c>
      <c r="X24" s="5" t="s">
        <v>498</v>
      </c>
      <c r="Y24" s="5" t="s">
        <v>6907</v>
      </c>
      <c r="Z24" s="5" t="s">
        <v>6908</v>
      </c>
      <c r="AA24" s="13" t="s">
        <v>3320</v>
      </c>
      <c r="AB24" s="5" t="s">
        <v>6947</v>
      </c>
      <c r="AC24" s="5" t="s">
        <v>6948</v>
      </c>
    </row>
    <row r="25" ht="14.25" customHeight="1">
      <c r="A25" s="13" t="s">
        <v>1919</v>
      </c>
      <c r="B25" s="13" t="s">
        <v>527</v>
      </c>
      <c r="C25" s="13" t="s">
        <v>6967</v>
      </c>
      <c r="D25" s="13" t="s">
        <v>571</v>
      </c>
      <c r="E25" s="13" t="str">
        <f t="array" ref="E25">IFERROR(INDEX(REF_CODES!$B:$B,MATCH($D25,REF_CODES!$C:$C,0)),"")</f>
        <v>TR-BEL</v>
      </c>
      <c r="F25" s="13" t="s">
        <v>1919</v>
      </c>
      <c r="G25" s="13" t="s">
        <v>6968</v>
      </c>
      <c r="H25" s="252" t="s">
        <v>4791</v>
      </c>
      <c r="I25" s="5" t="s">
        <v>6900</v>
      </c>
      <c r="J25" s="252" t="s">
        <v>2334</v>
      </c>
      <c r="K25" s="252" t="s">
        <v>4727</v>
      </c>
      <c r="L25" s="5" t="s">
        <v>6944</v>
      </c>
      <c r="M25" s="252" t="s">
        <v>6902</v>
      </c>
      <c r="N25" s="252" t="s">
        <v>6903</v>
      </c>
      <c r="O25" s="5" t="s">
        <v>6904</v>
      </c>
      <c r="P25" s="5" t="s">
        <v>6905</v>
      </c>
      <c r="Q25" s="5" t="s">
        <v>6906</v>
      </c>
      <c r="R25" s="5" t="s">
        <v>6906</v>
      </c>
      <c r="S25" s="5" t="s">
        <v>6906</v>
      </c>
      <c r="T25" s="13" t="s">
        <v>6952</v>
      </c>
      <c r="U25" s="13" t="s">
        <v>6969</v>
      </c>
      <c r="V25" s="5" t="s">
        <v>195</v>
      </c>
      <c r="W25" s="5" t="s">
        <v>469</v>
      </c>
      <c r="X25" s="5" t="s">
        <v>498</v>
      </c>
      <c r="Y25" s="5" t="s">
        <v>6907</v>
      </c>
      <c r="Z25" s="5" t="s">
        <v>6908</v>
      </c>
      <c r="AA25" s="13" t="s">
        <v>3320</v>
      </c>
      <c r="AB25" s="5" t="s">
        <v>6947</v>
      </c>
      <c r="AC25" s="5" t="s">
        <v>6948</v>
      </c>
    </row>
    <row r="26" ht="14.25" customHeight="1">
      <c r="A26" s="13" t="s">
        <v>1919</v>
      </c>
      <c r="B26" s="13" t="s">
        <v>527</v>
      </c>
      <c r="C26" s="13" t="s">
        <v>6970</v>
      </c>
      <c r="D26" s="13" t="s">
        <v>571</v>
      </c>
      <c r="E26" s="13" t="str">
        <f t="array" ref="E26">IFERROR(INDEX(REF_CODES!$B:$B,MATCH($D26,REF_CODES!$C:$C,0)),"")</f>
        <v>TR-BEL</v>
      </c>
      <c r="F26" s="13" t="s">
        <v>1919</v>
      </c>
      <c r="G26" s="13" t="s">
        <v>6971</v>
      </c>
      <c r="H26" s="252" t="s">
        <v>4791</v>
      </c>
      <c r="I26" s="13" t="s">
        <v>6972</v>
      </c>
      <c r="J26" s="252" t="s">
        <v>2334</v>
      </c>
      <c r="K26" s="252" t="s">
        <v>4727</v>
      </c>
      <c r="L26" s="5" t="s">
        <v>6944</v>
      </c>
      <c r="M26" s="252" t="s">
        <v>6902</v>
      </c>
      <c r="N26" s="252" t="s">
        <v>6903</v>
      </c>
      <c r="O26" s="5" t="s">
        <v>6904</v>
      </c>
      <c r="P26" s="5" t="s">
        <v>6905</v>
      </c>
      <c r="Q26" s="5" t="s">
        <v>6906</v>
      </c>
      <c r="R26" s="5" t="s">
        <v>6906</v>
      </c>
      <c r="S26" s="5" t="s">
        <v>6906</v>
      </c>
      <c r="T26" s="13" t="s">
        <v>6952</v>
      </c>
      <c r="U26" s="13" t="s">
        <v>6973</v>
      </c>
      <c r="V26" s="5" t="s">
        <v>195</v>
      </c>
      <c r="W26" s="5" t="s">
        <v>469</v>
      </c>
      <c r="X26" s="5" t="s">
        <v>498</v>
      </c>
      <c r="Y26" s="5" t="s">
        <v>6907</v>
      </c>
      <c r="Z26" s="5" t="s">
        <v>6908</v>
      </c>
      <c r="AA26" s="13" t="s">
        <v>3320</v>
      </c>
      <c r="AB26" s="5" t="s">
        <v>6947</v>
      </c>
      <c r="AC26" s="5" t="s">
        <v>6948</v>
      </c>
    </row>
    <row r="27" ht="14.25" customHeight="1">
      <c r="A27" s="13" t="s">
        <v>1919</v>
      </c>
      <c r="B27" s="13" t="s">
        <v>527</v>
      </c>
      <c r="C27" s="13" t="s">
        <v>6974</v>
      </c>
      <c r="D27" s="13" t="s">
        <v>571</v>
      </c>
      <c r="E27" s="13" t="str">
        <f t="array" ref="E27">IFERROR(INDEX(REF_CODES!$B:$B,MATCH($D27,REF_CODES!$C:$C,0)),"")</f>
        <v>TR-BEL</v>
      </c>
      <c r="F27" s="13" t="s">
        <v>1919</v>
      </c>
      <c r="G27" s="13" t="s">
        <v>6975</v>
      </c>
      <c r="H27" s="252" t="s">
        <v>4791</v>
      </c>
      <c r="I27" s="13" t="s">
        <v>6976</v>
      </c>
      <c r="J27" s="252" t="s">
        <v>2334</v>
      </c>
      <c r="K27" s="13" t="s">
        <v>6943</v>
      </c>
      <c r="L27" s="5" t="s">
        <v>6944</v>
      </c>
      <c r="M27" s="252" t="s">
        <v>6902</v>
      </c>
      <c r="N27" s="252" t="s">
        <v>6903</v>
      </c>
      <c r="O27" s="5" t="s">
        <v>6904</v>
      </c>
      <c r="P27" s="5" t="s">
        <v>6905</v>
      </c>
      <c r="Q27" s="5" t="s">
        <v>6906</v>
      </c>
      <c r="R27" s="5" t="s">
        <v>6906</v>
      </c>
      <c r="S27" s="5" t="s">
        <v>6906</v>
      </c>
      <c r="T27" s="13" t="s">
        <v>6952</v>
      </c>
      <c r="U27" s="13" t="s">
        <v>6977</v>
      </c>
      <c r="V27" s="5" t="s">
        <v>195</v>
      </c>
      <c r="W27" s="5" t="s">
        <v>469</v>
      </c>
      <c r="X27" s="5" t="s">
        <v>498</v>
      </c>
      <c r="Y27" s="5" t="s">
        <v>6907</v>
      </c>
      <c r="Z27" s="5" t="s">
        <v>6908</v>
      </c>
      <c r="AA27" s="13" t="s">
        <v>3320</v>
      </c>
      <c r="AB27" s="5" t="s">
        <v>6947</v>
      </c>
      <c r="AC27" s="5" t="s">
        <v>6948</v>
      </c>
    </row>
    <row r="28" ht="14.25" customHeight="1">
      <c r="A28" s="13" t="s">
        <v>1919</v>
      </c>
      <c r="B28" s="13" t="s">
        <v>527</v>
      </c>
      <c r="C28" s="13" t="s">
        <v>6978</v>
      </c>
      <c r="D28" s="13" t="s">
        <v>566</v>
      </c>
      <c r="E28" s="13" t="str">
        <f t="array" ref="E28">IFERROR(INDEX(REF_CODES!$B:$B,MATCH($D28,REF_CODES!$C:$C,0)),"")</f>
        <v>TR-BER</v>
      </c>
      <c r="F28" s="13" t="s">
        <v>1919</v>
      </c>
      <c r="G28" s="13" t="s">
        <v>6979</v>
      </c>
      <c r="H28" s="252" t="s">
        <v>4791</v>
      </c>
      <c r="I28" s="13" t="s">
        <v>6980</v>
      </c>
      <c r="J28" s="252" t="s">
        <v>2334</v>
      </c>
      <c r="K28" s="252" t="s">
        <v>4727</v>
      </c>
      <c r="L28" s="5" t="s">
        <v>6944</v>
      </c>
      <c r="M28" s="252" t="s">
        <v>6902</v>
      </c>
      <c r="N28" s="252" t="s">
        <v>6903</v>
      </c>
      <c r="O28" s="5" t="s">
        <v>6904</v>
      </c>
      <c r="P28" s="5" t="s">
        <v>6905</v>
      </c>
      <c r="Q28" s="5" t="s">
        <v>6906</v>
      </c>
      <c r="R28" s="5" t="s">
        <v>6906</v>
      </c>
      <c r="S28" s="5" t="s">
        <v>6906</v>
      </c>
      <c r="T28" s="13" t="s">
        <v>6952</v>
      </c>
      <c r="U28" s="13" t="s">
        <v>6981</v>
      </c>
      <c r="V28" s="5" t="s">
        <v>195</v>
      </c>
      <c r="W28" s="5" t="s">
        <v>469</v>
      </c>
      <c r="X28" s="5" t="s">
        <v>498</v>
      </c>
      <c r="Y28" s="5" t="s">
        <v>6907</v>
      </c>
      <c r="Z28" s="5" t="s">
        <v>6908</v>
      </c>
      <c r="AA28" s="13" t="s">
        <v>3320</v>
      </c>
      <c r="AB28" s="5" t="s">
        <v>6947</v>
      </c>
      <c r="AC28" s="5" t="s">
        <v>6948</v>
      </c>
    </row>
    <row r="29" ht="14.25" customHeight="1">
      <c r="D29" s="13"/>
      <c r="E29" s="13" t="str">
        <f t="array" ref="E29">IFERROR(INDEX(REF_CODES!$B:$B,MATCH($D29,REF_CODES!$C:$C,0)),"")</f>
        <v/>
      </c>
      <c r="T29" s="13"/>
    </row>
    <row r="30" ht="14.25" customHeight="1">
      <c r="D30" s="13"/>
      <c r="E30" s="13" t="str">
        <f t="array" ref="E30">IFERROR(INDEX(REF_CODES!$B:$B,MATCH($D30,REF_CODES!$C:$C,0)),"")</f>
        <v/>
      </c>
      <c r="T30" s="13"/>
    </row>
    <row r="31" ht="14.25" customHeight="1">
      <c r="D31" s="13"/>
      <c r="E31" s="13" t="str">
        <f t="array" ref="E31">IFERROR(INDEX(REF_CODES!$B:$B,MATCH($D31,REF_CODES!$C:$C,0)),"")</f>
        <v/>
      </c>
      <c r="T31" s="13"/>
    </row>
    <row r="32" ht="14.25" customHeight="1">
      <c r="D32" s="13"/>
      <c r="E32" s="13" t="str">
        <f t="array" ref="E32">IFERROR(INDEX(REF_CODES!$B:$B,MATCH($D32,REF_CODES!$C:$C,0)),"")</f>
        <v/>
      </c>
      <c r="T32" s="13"/>
    </row>
    <row r="33" ht="14.25" customHeight="1">
      <c r="D33" s="13"/>
      <c r="E33" s="13" t="str">
        <f t="array" ref="E33">IFERROR(INDEX(REF_CODES!$B:$B,MATCH($D33,REF_CODES!$C:$C,0)),"")</f>
        <v/>
      </c>
      <c r="T33" s="13"/>
    </row>
    <row r="34" ht="14.25" customHeight="1">
      <c r="D34" s="13"/>
      <c r="E34" s="13" t="str">
        <f t="array" ref="E34">IFERROR(INDEX(REF_CODES!$B:$B,MATCH($D34,REF_CODES!$C:$C,0)),"")</f>
        <v/>
      </c>
      <c r="T34" s="13"/>
    </row>
    <row r="35" ht="14.25" customHeight="1">
      <c r="D35" s="13"/>
      <c r="E35" s="13" t="str">
        <f t="array" ref="E35">IFERROR(INDEX(REF_CODES!$B:$B,MATCH($D35,REF_CODES!$C:$C,0)),"")</f>
        <v/>
      </c>
      <c r="T35" s="13"/>
    </row>
    <row r="36" ht="14.25" customHeight="1">
      <c r="D36" s="13"/>
      <c r="E36" s="13" t="str">
        <f t="array" ref="E36">IFERROR(INDEX(REF_CODES!$B:$B,MATCH($D36,REF_CODES!$C:$C,0)),"")</f>
        <v/>
      </c>
      <c r="T36" s="13"/>
    </row>
    <row r="37" ht="14.25" customHeight="1">
      <c r="D37" s="13"/>
      <c r="E37" s="13" t="str">
        <f t="array" ref="E37">IFERROR(INDEX(REF_CODES!$B:$B,MATCH($D37,REF_CODES!$C:$C,0)),"")</f>
        <v/>
      </c>
      <c r="T37" s="13"/>
    </row>
    <row r="38" ht="14.25" customHeight="1">
      <c r="D38" s="13"/>
      <c r="E38" s="13" t="str">
        <f t="array" ref="E38">IFERROR(INDEX(REF_CODES!$B:$B,MATCH($D38,REF_CODES!$C:$C,0)),"")</f>
        <v/>
      </c>
      <c r="T38" s="13"/>
    </row>
    <row r="39" ht="14.25" customHeight="1">
      <c r="D39" s="13"/>
      <c r="E39" s="13" t="str">
        <f t="array" ref="E39">IFERROR(INDEX(REF_CODES!$B:$B,MATCH($D39,REF_CODES!$C:$C,0)),"")</f>
        <v/>
      </c>
      <c r="T39" s="13"/>
    </row>
    <row r="40" ht="14.25" customHeight="1">
      <c r="D40" s="13"/>
      <c r="E40" s="13" t="str">
        <f t="array" ref="E40">IFERROR(INDEX(REF_CODES!$B:$B,MATCH($D40,REF_CODES!$C:$C,0)),"")</f>
        <v/>
      </c>
      <c r="T40" s="13"/>
    </row>
    <row r="41" ht="14.25" customHeight="1">
      <c r="D41" s="13"/>
      <c r="E41" s="13" t="str">
        <f t="array" ref="E41">IFERROR(INDEX(REF_CODES!$B:$B,MATCH($D41,REF_CODES!$C:$C,0)),"")</f>
        <v/>
      </c>
      <c r="T41" s="13"/>
    </row>
    <row r="42" ht="14.25" customHeight="1">
      <c r="D42" s="13"/>
      <c r="E42" s="13" t="str">
        <f t="array" ref="E42">IFERROR(INDEX(REF_CODES!$B:$B,MATCH($D42,REF_CODES!$C:$C,0)),"")</f>
        <v/>
      </c>
      <c r="T42" s="13"/>
    </row>
    <row r="43" ht="14.25" customHeight="1">
      <c r="D43" s="13"/>
      <c r="E43" s="13" t="str">
        <f t="array" ref="E43">IFERROR(INDEX(REF_CODES!$B:$B,MATCH($D43,REF_CODES!$C:$C,0)),"")</f>
        <v/>
      </c>
      <c r="T43" s="13"/>
    </row>
    <row r="44" ht="14.25" customHeight="1">
      <c r="D44" s="13"/>
      <c r="E44" s="13" t="str">
        <f t="array" ref="E44">IFERROR(INDEX(REF_CODES!$B:$B,MATCH($D44,REF_CODES!$C:$C,0)),"")</f>
        <v/>
      </c>
      <c r="T44" s="13"/>
    </row>
    <row r="45" ht="14.25" customHeight="1">
      <c r="D45" s="13"/>
      <c r="E45" s="13" t="str">
        <f t="array" ref="E45">IFERROR(INDEX(REF_CODES!$B:$B,MATCH($D45,REF_CODES!$C:$C,0)),"")</f>
        <v/>
      </c>
      <c r="T45" s="13"/>
    </row>
    <row r="46" ht="14.25" customHeight="1">
      <c r="D46" s="13"/>
      <c r="E46" s="13" t="str">
        <f t="array" ref="E46">IFERROR(INDEX(REF_CODES!$B:$B,MATCH($D46,REF_CODES!$C:$C,0)),"")</f>
        <v/>
      </c>
      <c r="T46" s="13"/>
    </row>
    <row r="47" ht="14.25" customHeight="1">
      <c r="D47" s="13"/>
      <c r="E47" s="13" t="str">
        <f t="array" ref="E47">IFERROR(INDEX(REF_CODES!$B:$B,MATCH($D47,REF_CODES!$C:$C,0)),"")</f>
        <v/>
      </c>
      <c r="T47" s="13"/>
    </row>
    <row r="48" ht="14.25" customHeight="1">
      <c r="D48" s="13"/>
      <c r="E48" s="13" t="str">
        <f t="array" ref="E48">IFERROR(INDEX(REF_CODES!$B:$B,MATCH($D48,REF_CODES!$C:$C,0)),"")</f>
        <v/>
      </c>
      <c r="T48" s="13"/>
    </row>
    <row r="49" ht="14.25" customHeight="1">
      <c r="D49" s="13"/>
      <c r="E49" s="13" t="str">
        <f t="array" ref="E49">IFERROR(INDEX(REF_CODES!$B:$B,MATCH($D49,REF_CODES!$C:$C,0)),"")</f>
        <v/>
      </c>
      <c r="T49" s="13"/>
    </row>
    <row r="50" ht="14.25" customHeight="1">
      <c r="D50" s="13"/>
      <c r="E50" s="13" t="str">
        <f t="array" ref="E50">IFERROR(INDEX(REF_CODES!$B:$B,MATCH($D50,REF_CODES!$C:$C,0)),"")</f>
        <v/>
      </c>
      <c r="T50" s="13"/>
    </row>
    <row r="51" ht="14.25" customHeight="1">
      <c r="D51" s="13"/>
      <c r="E51" s="13" t="str">
        <f t="array" ref="E51">IFERROR(INDEX(REF_CODES!$B:$B,MATCH($D51,REF_CODES!$C:$C,0)),"")</f>
        <v/>
      </c>
      <c r="T51" s="13"/>
    </row>
    <row r="52" ht="14.25" customHeight="1">
      <c r="D52" s="13"/>
      <c r="E52" s="13" t="str">
        <f t="array" ref="E52">IFERROR(INDEX(REF_CODES!$B:$B,MATCH($D52,REF_CODES!$C:$C,0)),"")</f>
        <v/>
      </c>
      <c r="T52" s="13"/>
    </row>
    <row r="53" ht="14.25" customHeight="1">
      <c r="D53" s="13"/>
      <c r="E53" s="13" t="str">
        <f t="array" ref="E53">IFERROR(INDEX(REF_CODES!$B:$B,MATCH($D53,REF_CODES!$C:$C,0)),"")</f>
        <v/>
      </c>
      <c r="T53" s="13"/>
    </row>
    <row r="54" ht="15.75" customHeight="1">
      <c r="T54" s="261"/>
    </row>
    <row r="55" ht="15.75" customHeight="1">
      <c r="T55" s="261"/>
    </row>
    <row r="56" ht="15.75" customHeight="1">
      <c r="T56" s="261"/>
    </row>
    <row r="57" ht="15.75" customHeight="1">
      <c r="T57" s="261"/>
    </row>
    <row r="58" ht="15.75" customHeight="1">
      <c r="T58" s="261"/>
    </row>
    <row r="59" ht="15.75" customHeight="1">
      <c r="T59" s="261"/>
    </row>
    <row r="60" ht="15.75" customHeight="1">
      <c r="T60" s="261"/>
    </row>
    <row r="61" ht="15.75" customHeight="1">
      <c r="T61" s="261"/>
    </row>
    <row r="62" ht="15.75" customHeight="1">
      <c r="T62" s="261"/>
    </row>
    <row r="63" ht="15.75" customHeight="1">
      <c r="T63" s="261"/>
    </row>
    <row r="64" ht="15.75" customHeight="1">
      <c r="T64" s="261"/>
    </row>
    <row r="65" ht="15.75" customHeight="1">
      <c r="T65" s="261"/>
    </row>
    <row r="66" ht="15.75" customHeight="1">
      <c r="T66" s="261"/>
    </row>
    <row r="67" ht="15.75" customHeight="1">
      <c r="T67" s="261"/>
    </row>
    <row r="68" ht="15.75" customHeight="1">
      <c r="T68" s="261"/>
    </row>
    <row r="69" ht="15.75" customHeight="1">
      <c r="T69" s="261"/>
    </row>
    <row r="70" ht="15.75" customHeight="1">
      <c r="T70" s="261"/>
    </row>
    <row r="71" ht="15.75" customHeight="1">
      <c r="T71" s="261"/>
    </row>
    <row r="72" ht="15.75" customHeight="1">
      <c r="T72" s="261"/>
    </row>
    <row r="73" ht="15.75" customHeight="1">
      <c r="T73" s="261"/>
    </row>
    <row r="74" ht="15.75" customHeight="1">
      <c r="T74" s="261"/>
    </row>
    <row r="75" ht="15.75" customHeight="1">
      <c r="T75" s="261"/>
    </row>
    <row r="76" ht="15.75" customHeight="1">
      <c r="T76" s="261"/>
    </row>
    <row r="77" ht="15.75" customHeight="1">
      <c r="T77" s="261"/>
    </row>
    <row r="78" ht="15.75" customHeight="1">
      <c r="T78" s="261"/>
    </row>
    <row r="79" ht="15.75" customHeight="1">
      <c r="T79" s="261"/>
    </row>
    <row r="80" ht="15.75" customHeight="1">
      <c r="T80" s="261"/>
    </row>
    <row r="81" ht="15.75" customHeight="1">
      <c r="T81" s="261"/>
    </row>
    <row r="82" ht="15.75" customHeight="1">
      <c r="T82" s="261"/>
    </row>
    <row r="83" ht="15.75" customHeight="1">
      <c r="T83" s="261"/>
    </row>
    <row r="84" ht="15.75" customHeight="1">
      <c r="T84" s="261"/>
    </row>
    <row r="85" ht="15.75" customHeight="1">
      <c r="T85" s="261"/>
    </row>
    <row r="86" ht="15.75" customHeight="1">
      <c r="T86" s="261"/>
    </row>
    <row r="87" ht="15.75" customHeight="1">
      <c r="T87" s="261"/>
    </row>
    <row r="88" ht="15.75" customHeight="1">
      <c r="T88" s="261"/>
    </row>
    <row r="89" ht="15.75" customHeight="1">
      <c r="T89" s="261"/>
    </row>
    <row r="90" ht="15.75" customHeight="1">
      <c r="T90" s="261"/>
    </row>
    <row r="91" ht="15.75" customHeight="1">
      <c r="T91" s="261"/>
    </row>
    <row r="92" ht="15.75" customHeight="1">
      <c r="T92" s="261"/>
    </row>
    <row r="93" ht="15.75" customHeight="1">
      <c r="T93" s="261"/>
    </row>
    <row r="94" ht="15.75" customHeight="1">
      <c r="T94" s="261"/>
    </row>
    <row r="95" ht="15.75" customHeight="1">
      <c r="T95" s="261"/>
    </row>
    <row r="96" ht="15.75" customHeight="1">
      <c r="T96" s="261"/>
    </row>
    <row r="97" ht="15.75" customHeight="1">
      <c r="T97" s="261"/>
    </row>
    <row r="98" ht="15.75" customHeight="1">
      <c r="T98" s="261"/>
    </row>
    <row r="99" ht="15.75" customHeight="1">
      <c r="T99" s="261"/>
    </row>
    <row r="100" ht="15.75" customHeight="1">
      <c r="T100" s="261"/>
    </row>
    <row r="101" ht="15.75" customHeight="1">
      <c r="T101" s="261"/>
    </row>
    <row r="102" ht="15.75" customHeight="1">
      <c r="T102" s="261"/>
    </row>
    <row r="103" ht="15.75" customHeight="1">
      <c r="T103" s="261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AC$9">
    <sortState ref="A9:AC9">
      <sortCondition ref="C9"/>
    </sortState>
  </autoFilter>
  <mergeCells count="1">
    <mergeCell ref="B8:U8"/>
  </mergeCells>
  <dataValidations>
    <dataValidation type="list" allowBlank="1" showErrorMessage="1" sqref="D10:D53">
      <formula1>REF_CODES!$C$58:$C$61</formula1>
    </dataValidation>
    <dataValidation type="list" allowBlank="1" showErrorMessage="1" sqref="T10:T103">
      <formula1>"Non contacté,Contact identifié,Échange réalisé,Relance 1,Relance 2,Convention envoyée,Convention signée,Actif SOLÝ"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3" width="17.75"/>
    <col customWidth="1" min="4" max="4" width="22.0"/>
    <col customWidth="1" min="5" max="10" width="17.75"/>
  </cols>
  <sheetData>
    <row r="1" ht="15.0" customHeight="1">
      <c r="A1" s="230" t="s">
        <v>6982</v>
      </c>
      <c r="B1" s="2"/>
      <c r="C1" s="2"/>
      <c r="D1" s="2"/>
      <c r="E1" s="2"/>
      <c r="F1" s="2"/>
      <c r="G1" s="2"/>
      <c r="H1" s="4"/>
      <c r="I1" s="6"/>
      <c r="J1" s="6"/>
    </row>
    <row r="2" ht="42.0" customHeight="1">
      <c r="A2" s="231" t="s">
        <v>6983</v>
      </c>
      <c r="B2" s="231" t="s">
        <v>6984</v>
      </c>
      <c r="C2" s="231" t="s">
        <v>5745</v>
      </c>
      <c r="D2" s="231" t="s">
        <v>5746</v>
      </c>
      <c r="E2" s="231" t="s">
        <v>6985</v>
      </c>
      <c r="F2" s="231" t="s">
        <v>6986</v>
      </c>
      <c r="G2" s="231" t="s">
        <v>6987</v>
      </c>
      <c r="H2" s="231" t="s">
        <v>6988</v>
      </c>
      <c r="I2" s="234" t="s">
        <v>6989</v>
      </c>
      <c r="J2" s="234" t="s">
        <v>6990</v>
      </c>
    </row>
    <row r="3" ht="15.0" customHeight="1">
      <c r="A3" s="249" t="s">
        <v>1917</v>
      </c>
      <c r="B3" s="249" t="s">
        <v>1919</v>
      </c>
      <c r="C3" s="249" t="s">
        <v>2306</v>
      </c>
      <c r="D3" s="249" t="s">
        <v>2445</v>
      </c>
      <c r="E3" s="294">
        <v>31.6225</v>
      </c>
      <c r="F3" s="294">
        <v>-7.9893</v>
      </c>
      <c r="G3" s="249">
        <v>25.0</v>
      </c>
      <c r="H3" s="251" t="s">
        <v>6991</v>
      </c>
      <c r="I3" s="13" t="s">
        <v>1919</v>
      </c>
      <c r="J3" s="13" t="s">
        <v>2306</v>
      </c>
    </row>
    <row r="4" ht="15.0" customHeight="1">
      <c r="A4" s="249" t="s">
        <v>1921</v>
      </c>
      <c r="B4" s="249" t="s">
        <v>1919</v>
      </c>
      <c r="C4" s="249" t="s">
        <v>2306</v>
      </c>
      <c r="D4" s="249" t="s">
        <v>6992</v>
      </c>
      <c r="E4" s="294">
        <v>31.6258</v>
      </c>
      <c r="F4" s="294">
        <v>-7.9891</v>
      </c>
      <c r="G4" s="249">
        <v>22.0</v>
      </c>
      <c r="H4" s="251" t="s">
        <v>6993</v>
      </c>
      <c r="I4" s="13" t="s">
        <v>1954</v>
      </c>
      <c r="J4" s="13" t="s">
        <v>2224</v>
      </c>
    </row>
    <row r="5" ht="15.0" customHeight="1">
      <c r="A5" s="249" t="s">
        <v>1925</v>
      </c>
      <c r="B5" s="249" t="s">
        <v>1919</v>
      </c>
      <c r="C5" s="249" t="s">
        <v>2306</v>
      </c>
      <c r="D5" s="249" t="s">
        <v>4687</v>
      </c>
      <c r="E5" s="294">
        <v>31.6315</v>
      </c>
      <c r="F5" s="294">
        <v>-7.9897</v>
      </c>
      <c r="G5" s="249">
        <v>25.0</v>
      </c>
      <c r="H5" s="251" t="s">
        <v>6991</v>
      </c>
      <c r="I5" s="13" t="s">
        <v>2002</v>
      </c>
      <c r="J5" s="13" t="s">
        <v>4031</v>
      </c>
    </row>
    <row r="6" ht="15.0" customHeight="1">
      <c r="A6" s="249" t="s">
        <v>1928</v>
      </c>
      <c r="B6" s="249" t="s">
        <v>1919</v>
      </c>
      <c r="C6" s="249" t="s">
        <v>2306</v>
      </c>
      <c r="D6" s="249" t="s">
        <v>2884</v>
      </c>
      <c r="E6" s="294">
        <v>31.6358</v>
      </c>
      <c r="F6" s="294">
        <v>-7.9938</v>
      </c>
      <c r="G6" s="249">
        <v>20.0</v>
      </c>
      <c r="H6" s="251" t="s">
        <v>6994</v>
      </c>
      <c r="J6" s="13" t="s">
        <v>2511</v>
      </c>
    </row>
    <row r="7" ht="15.0" customHeight="1">
      <c r="A7" s="249" t="s">
        <v>1930</v>
      </c>
      <c r="B7" s="249" t="s">
        <v>1919</v>
      </c>
      <c r="C7" s="249" t="s">
        <v>2306</v>
      </c>
      <c r="D7" s="249" t="s">
        <v>3035</v>
      </c>
      <c r="E7" s="294">
        <v>31.6182</v>
      </c>
      <c r="F7" s="294">
        <v>-7.9863</v>
      </c>
      <c r="G7" s="249">
        <v>28.0</v>
      </c>
      <c r="H7" s="251" t="s">
        <v>6991</v>
      </c>
      <c r="J7" s="13" t="s">
        <v>3379</v>
      </c>
    </row>
    <row r="8" ht="15.0" customHeight="1">
      <c r="A8" s="249" t="s">
        <v>1932</v>
      </c>
      <c r="B8" s="249" t="s">
        <v>1919</v>
      </c>
      <c r="C8" s="249" t="s">
        <v>2224</v>
      </c>
      <c r="D8" s="249" t="s">
        <v>3421</v>
      </c>
      <c r="E8" s="294">
        <v>31.6191</v>
      </c>
      <c r="F8" s="294">
        <v>-8.0085</v>
      </c>
      <c r="G8" s="249">
        <v>12.0</v>
      </c>
      <c r="H8" s="251" t="s">
        <v>6994</v>
      </c>
      <c r="J8" s="13" t="s">
        <v>3139</v>
      </c>
    </row>
    <row r="9" ht="15.0" customHeight="1">
      <c r="A9" s="249" t="s">
        <v>1934</v>
      </c>
      <c r="B9" s="249" t="s">
        <v>1919</v>
      </c>
      <c r="C9" s="249" t="s">
        <v>2224</v>
      </c>
      <c r="D9" s="249" t="s">
        <v>3779</v>
      </c>
      <c r="E9" s="294">
        <v>31.6118</v>
      </c>
      <c r="F9" s="294">
        <v>-8.0123</v>
      </c>
      <c r="G9" s="249">
        <v>10.0</v>
      </c>
      <c r="H9" s="251" t="s">
        <v>6994</v>
      </c>
      <c r="J9" s="13" t="s">
        <v>2543</v>
      </c>
    </row>
    <row r="10" ht="15.0" customHeight="1">
      <c r="A10" s="249" t="s">
        <v>1936</v>
      </c>
      <c r="B10" s="249" t="s">
        <v>1919</v>
      </c>
      <c r="C10" s="249" t="s">
        <v>4031</v>
      </c>
      <c r="D10" s="249" t="s">
        <v>6995</v>
      </c>
      <c r="E10" s="294">
        <v>31.6378</v>
      </c>
      <c r="F10" s="294">
        <v>-8.0089</v>
      </c>
      <c r="G10" s="249">
        <v>12.0</v>
      </c>
      <c r="H10" s="251" t="s">
        <v>6991</v>
      </c>
      <c r="J10" s="13" t="s">
        <v>6996</v>
      </c>
    </row>
    <row r="11" ht="15.0" customHeight="1">
      <c r="A11" s="249" t="s">
        <v>1938</v>
      </c>
      <c r="B11" s="249" t="s">
        <v>1919</v>
      </c>
      <c r="C11" s="249" t="s">
        <v>4031</v>
      </c>
      <c r="D11" s="249" t="s">
        <v>6997</v>
      </c>
      <c r="E11" s="294">
        <v>31.6432</v>
      </c>
      <c r="F11" s="294">
        <v>-8.0079</v>
      </c>
      <c r="G11" s="249">
        <v>14.0</v>
      </c>
      <c r="H11" s="251" t="s">
        <v>6994</v>
      </c>
      <c r="J11" s="13" t="s">
        <v>6998</v>
      </c>
    </row>
    <row r="12" ht="15.0" customHeight="1">
      <c r="A12" s="249" t="s">
        <v>1940</v>
      </c>
      <c r="B12" s="249" t="s">
        <v>1919</v>
      </c>
      <c r="C12" s="249" t="s">
        <v>2511</v>
      </c>
      <c r="D12" s="249" t="s">
        <v>6999</v>
      </c>
      <c r="E12" s="294">
        <v>31.6651</v>
      </c>
      <c r="F12" s="294">
        <v>-7.9714</v>
      </c>
      <c r="G12" s="249">
        <v>18.0</v>
      </c>
      <c r="H12" s="251" t="s">
        <v>7000</v>
      </c>
      <c r="J12" s="13" t="s">
        <v>4311</v>
      </c>
    </row>
    <row r="13" ht="15.0" customHeight="1">
      <c r="A13" s="249" t="s">
        <v>1942</v>
      </c>
      <c r="B13" s="249" t="s">
        <v>1919</v>
      </c>
      <c r="C13" s="249" t="s">
        <v>2511</v>
      </c>
      <c r="D13" s="249" t="s">
        <v>3523</v>
      </c>
      <c r="E13" s="294">
        <v>31.6798</v>
      </c>
      <c r="F13" s="294">
        <v>-7.9645</v>
      </c>
      <c r="G13" s="249">
        <v>22.0</v>
      </c>
      <c r="H13" s="251" t="s">
        <v>7000</v>
      </c>
      <c r="J13" s="13" t="s">
        <v>3203</v>
      </c>
    </row>
    <row r="14" ht="15.0" customHeight="1">
      <c r="A14" s="249" t="s">
        <v>1944</v>
      </c>
      <c r="B14" s="249" t="s">
        <v>1919</v>
      </c>
      <c r="C14" s="249" t="s">
        <v>3379</v>
      </c>
      <c r="D14" s="249" t="s">
        <v>7001</v>
      </c>
      <c r="E14" s="294">
        <v>31.5685</v>
      </c>
      <c r="F14" s="294">
        <v>-8.0467</v>
      </c>
      <c r="G14" s="249">
        <v>15.0</v>
      </c>
      <c r="H14" s="251" t="s">
        <v>7000</v>
      </c>
      <c r="J14" s="13" t="s">
        <v>7002</v>
      </c>
    </row>
    <row r="15" ht="15.0" customHeight="1">
      <c r="A15" s="249" t="s">
        <v>1947</v>
      </c>
      <c r="B15" s="249" t="s">
        <v>1919</v>
      </c>
      <c r="C15" s="249" t="s">
        <v>3139</v>
      </c>
      <c r="D15" s="249" t="s">
        <v>7003</v>
      </c>
      <c r="E15" s="294">
        <v>31.5512</v>
      </c>
      <c r="F15" s="294">
        <v>-7.9326</v>
      </c>
      <c r="G15" s="249">
        <v>20.0</v>
      </c>
      <c r="H15" s="251" t="s">
        <v>7000</v>
      </c>
    </row>
    <row r="16" ht="15.0" customHeight="1">
      <c r="A16" s="249" t="s">
        <v>1952</v>
      </c>
      <c r="B16" s="249" t="s">
        <v>1954</v>
      </c>
      <c r="C16" s="249" t="s">
        <v>2543</v>
      </c>
      <c r="D16" s="249" t="s">
        <v>7004</v>
      </c>
      <c r="E16" s="294">
        <v>31.4801</v>
      </c>
      <c r="F16" s="294">
        <v>-8.2563</v>
      </c>
      <c r="G16" s="249">
        <v>50.0</v>
      </c>
      <c r="H16" s="251" t="s">
        <v>7005</v>
      </c>
    </row>
    <row r="17" ht="15.0" customHeight="1">
      <c r="A17" s="249" t="s">
        <v>1961</v>
      </c>
      <c r="B17" s="249" t="s">
        <v>1954</v>
      </c>
      <c r="C17" s="249" t="s">
        <v>2543</v>
      </c>
      <c r="D17" s="249" t="s">
        <v>7006</v>
      </c>
      <c r="E17" s="294">
        <v>31.4287</v>
      </c>
      <c r="F17" s="294">
        <v>-8.3105</v>
      </c>
      <c r="G17" s="249">
        <v>65.0</v>
      </c>
      <c r="H17" s="251" t="s">
        <v>7005</v>
      </c>
    </row>
    <row r="18" ht="15.0" customHeight="1">
      <c r="A18" s="249" t="s">
        <v>1970</v>
      </c>
      <c r="B18" s="249" t="s">
        <v>1954</v>
      </c>
      <c r="C18" s="249" t="s">
        <v>6996</v>
      </c>
      <c r="D18" s="249" t="s">
        <v>7007</v>
      </c>
      <c r="E18" s="294">
        <v>31.137</v>
      </c>
      <c r="F18" s="294">
        <v>-7.9213</v>
      </c>
      <c r="G18" s="249">
        <v>90.0</v>
      </c>
      <c r="H18" s="251" t="s">
        <v>7005</v>
      </c>
    </row>
    <row r="19" ht="15.0" customHeight="1">
      <c r="A19" s="249" t="s">
        <v>1978</v>
      </c>
      <c r="B19" s="249" t="s">
        <v>1954</v>
      </c>
      <c r="C19" s="249" t="s">
        <v>6998</v>
      </c>
      <c r="D19" s="249" t="s">
        <v>6749</v>
      </c>
      <c r="E19" s="294">
        <v>31.3578</v>
      </c>
      <c r="F19" s="294">
        <v>-7.7912</v>
      </c>
      <c r="G19" s="249">
        <v>60.0</v>
      </c>
      <c r="H19" s="251" t="s">
        <v>7000</v>
      </c>
    </row>
    <row r="20" ht="15.0" customHeight="1">
      <c r="A20" s="249" t="s">
        <v>1984</v>
      </c>
      <c r="B20" s="249" t="s">
        <v>1954</v>
      </c>
      <c r="C20" s="249" t="s">
        <v>4311</v>
      </c>
      <c r="D20" s="249" t="s">
        <v>6768</v>
      </c>
      <c r="E20" s="294">
        <v>31.2576</v>
      </c>
      <c r="F20" s="294">
        <v>-7.9762</v>
      </c>
      <c r="G20" s="249">
        <v>75.0</v>
      </c>
      <c r="H20" s="251" t="s">
        <v>7005</v>
      </c>
    </row>
    <row r="21" ht="15.0" customHeight="1">
      <c r="A21" s="249" t="s">
        <v>1991</v>
      </c>
      <c r="B21" s="249" t="s">
        <v>1954</v>
      </c>
      <c r="C21" s="249" t="s">
        <v>3203</v>
      </c>
      <c r="D21" s="249" t="s">
        <v>2306</v>
      </c>
      <c r="E21" s="294">
        <v>31.5132</v>
      </c>
      <c r="F21" s="294">
        <v>-9.772</v>
      </c>
      <c r="G21" s="249">
        <v>180.0</v>
      </c>
      <c r="H21" s="251" t="s">
        <v>6994</v>
      </c>
    </row>
    <row r="22" ht="15.0" customHeight="1">
      <c r="A22" s="249" t="s">
        <v>1999</v>
      </c>
      <c r="B22" s="249" t="s">
        <v>2002</v>
      </c>
      <c r="C22" s="249" t="s">
        <v>7002</v>
      </c>
      <c r="D22" s="249" t="s">
        <v>7008</v>
      </c>
      <c r="E22" s="294">
        <v>31.6066</v>
      </c>
      <c r="F22" s="294">
        <v>-8.0363</v>
      </c>
      <c r="G22" s="249">
        <v>0.0</v>
      </c>
      <c r="H22" s="251" t="s">
        <v>6994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H$22">
    <sortState ref="A2:H22">
      <sortCondition ref="A2:A22"/>
    </sortState>
  </autoFilter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2" width="17.75"/>
    <col customWidth="1" min="3" max="3" width="18.38"/>
    <col customWidth="1" min="4" max="4" width="22.63"/>
    <col customWidth="1" min="5" max="6" width="17.75"/>
    <col customWidth="1" min="7" max="7" width="22.0"/>
    <col customWidth="1" min="8" max="8" width="17.75"/>
    <col customWidth="1" min="9" max="9" width="23.0"/>
    <col customWidth="1" min="10" max="10" width="17.75"/>
    <col customWidth="1" min="11" max="11" width="23.0"/>
    <col customWidth="1" min="12" max="12" width="22.0"/>
    <col customWidth="1" min="13" max="13" width="23.0"/>
    <col customWidth="1" min="14" max="14" width="29.0"/>
    <col customWidth="1" min="15" max="15" width="17.75"/>
    <col customWidth="1" min="16" max="16" width="30.0"/>
    <col customWidth="1" min="17" max="17" width="20.0"/>
    <col customWidth="1" min="18" max="18" width="24.0"/>
    <col customWidth="1" min="19" max="19" width="30.0"/>
    <col customWidth="1" min="20" max="21" width="17.75"/>
    <col customWidth="1" min="22" max="26" width="20.0"/>
    <col customWidth="1" min="27" max="27" width="42.0"/>
  </cols>
  <sheetData>
    <row r="1" ht="14.25" customHeight="1">
      <c r="A1" s="6"/>
      <c r="B1" s="6" t="s">
        <v>7009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42.0" customHeight="1">
      <c r="A2" s="234"/>
      <c r="B2" s="234" t="s">
        <v>8</v>
      </c>
      <c r="C2" s="234" t="s">
        <v>7010</v>
      </c>
      <c r="D2" s="234" t="s">
        <v>7011</v>
      </c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</row>
    <row r="3" ht="14.25" customHeight="1">
      <c r="B3" s="13" t="s">
        <v>504</v>
      </c>
      <c r="C3" s="13" t="s">
        <v>7012</v>
      </c>
      <c r="D3" s="13" t="s">
        <v>7013</v>
      </c>
    </row>
    <row r="4" ht="14.25" customHeight="1">
      <c r="B4" s="13" t="s">
        <v>510</v>
      </c>
      <c r="C4" s="13" t="s">
        <v>7014</v>
      </c>
      <c r="D4" s="13" t="s">
        <v>7015</v>
      </c>
    </row>
    <row r="5" ht="14.25" customHeight="1">
      <c r="B5" s="13" t="s">
        <v>513</v>
      </c>
      <c r="C5" s="13" t="s">
        <v>7016</v>
      </c>
      <c r="D5" s="13" t="s">
        <v>7017</v>
      </c>
    </row>
    <row r="6" ht="14.25" customHeight="1">
      <c r="B6" s="13" t="s">
        <v>518</v>
      </c>
      <c r="C6" s="13" t="s">
        <v>7018</v>
      </c>
      <c r="D6" s="13" t="s">
        <v>3034</v>
      </c>
    </row>
    <row r="7" ht="14.25" customHeight="1"/>
    <row r="8" ht="15.0" customHeight="1">
      <c r="B8" s="293" t="s">
        <v>7019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4"/>
      <c r="V8" s="8"/>
      <c r="W8" s="8"/>
      <c r="X8" s="8"/>
      <c r="Y8" s="8"/>
      <c r="Z8" s="8"/>
    </row>
    <row r="9" ht="42.0" customHeight="1">
      <c r="A9" s="231" t="s">
        <v>2134</v>
      </c>
      <c r="B9" s="231" t="s">
        <v>2136</v>
      </c>
      <c r="C9" s="231" t="s">
        <v>2137</v>
      </c>
      <c r="D9" s="231" t="s">
        <v>2152</v>
      </c>
      <c r="E9" s="231" t="s">
        <v>8</v>
      </c>
      <c r="F9" s="231" t="s">
        <v>2134</v>
      </c>
      <c r="G9" s="231" t="s">
        <v>7020</v>
      </c>
      <c r="H9" s="231" t="s">
        <v>4695</v>
      </c>
      <c r="I9" s="231" t="s">
        <v>7021</v>
      </c>
      <c r="J9" s="231" t="s">
        <v>5743</v>
      </c>
      <c r="K9" s="231" t="s">
        <v>6887</v>
      </c>
      <c r="L9" s="231" t="s">
        <v>7022</v>
      </c>
      <c r="M9" s="231" t="s">
        <v>7023</v>
      </c>
      <c r="N9" s="231" t="s">
        <v>7024</v>
      </c>
      <c r="O9" s="231" t="s">
        <v>7025</v>
      </c>
      <c r="P9" s="231" t="s">
        <v>7026</v>
      </c>
      <c r="Q9" s="231" t="s">
        <v>767</v>
      </c>
      <c r="R9" s="231" t="s">
        <v>7027</v>
      </c>
      <c r="S9" s="231" t="s">
        <v>7028</v>
      </c>
      <c r="T9" s="231" t="s">
        <v>4713</v>
      </c>
      <c r="U9" s="231" t="s">
        <v>2135</v>
      </c>
      <c r="V9" s="231" t="s">
        <v>2185</v>
      </c>
      <c r="W9" s="231" t="s">
        <v>2158</v>
      </c>
      <c r="X9" s="231" t="s">
        <v>2159</v>
      </c>
      <c r="Y9" s="231" t="s">
        <v>27</v>
      </c>
      <c r="Z9" s="231" t="s">
        <v>6896</v>
      </c>
      <c r="AA9" s="231" t="s">
        <v>7029</v>
      </c>
    </row>
    <row r="10" ht="14.25" customHeight="1">
      <c r="A10" s="13" t="s">
        <v>1919</v>
      </c>
      <c r="B10" s="13" t="s">
        <v>7030</v>
      </c>
      <c r="C10" s="13" t="s">
        <v>7031</v>
      </c>
      <c r="D10" s="13" t="s">
        <v>506</v>
      </c>
      <c r="E10" s="13" t="str">
        <f t="array" ref="E10">IFERROR(INDEX(REF_CODES!$B:$B,MATCH($D10,REF_CODES!$C:$C,0)),"")</f>
        <v>SE-PRO</v>
      </c>
      <c r="F10" s="13" t="s">
        <v>1919</v>
      </c>
      <c r="G10" s="13" t="s">
        <v>7032</v>
      </c>
      <c r="H10" s="252" t="s">
        <v>4791</v>
      </c>
      <c r="I10" s="13" t="s">
        <v>7033</v>
      </c>
      <c r="J10" s="252" t="s">
        <v>2334</v>
      </c>
      <c r="K10" s="13" t="s">
        <v>7034</v>
      </c>
      <c r="L10" s="252" t="s">
        <v>7035</v>
      </c>
      <c r="M10" s="252" t="s">
        <v>7036</v>
      </c>
      <c r="N10" s="13" t="s">
        <v>2398</v>
      </c>
      <c r="O10" s="5" t="s">
        <v>6904</v>
      </c>
      <c r="P10" s="5" t="s">
        <v>7037</v>
      </c>
      <c r="Q10" s="13" t="s">
        <v>2398</v>
      </c>
      <c r="R10" s="5" t="s">
        <v>6906</v>
      </c>
      <c r="S10" s="5" t="s">
        <v>6906</v>
      </c>
      <c r="T10" s="13" t="s">
        <v>6952</v>
      </c>
      <c r="U10" s="13" t="s">
        <v>7038</v>
      </c>
      <c r="V10" s="5" t="s">
        <v>195</v>
      </c>
      <c r="W10" s="5" t="s">
        <v>469</v>
      </c>
      <c r="X10" s="5" t="s">
        <v>498</v>
      </c>
      <c r="Y10" s="5" t="s">
        <v>7039</v>
      </c>
      <c r="Z10" s="5" t="s">
        <v>7040</v>
      </c>
      <c r="AA10" s="13" t="s">
        <v>7041</v>
      </c>
    </row>
    <row r="11" ht="14.25" customHeight="1">
      <c r="A11" s="13" t="s">
        <v>1919</v>
      </c>
      <c r="B11" s="13" t="s">
        <v>7030</v>
      </c>
      <c r="C11" s="13" t="s">
        <v>7042</v>
      </c>
      <c r="D11" s="13" t="s">
        <v>514</v>
      </c>
      <c r="E11" s="13" t="str">
        <f t="array" ref="E11">IFERROR(INDEX(REF_CODES!$B:$B,MATCH($D11,REF_CODES!$C:$C,0)),"")</f>
        <v>SE-SUR</v>
      </c>
      <c r="F11" s="13" t="s">
        <v>1919</v>
      </c>
      <c r="G11" s="13" t="s">
        <v>7043</v>
      </c>
      <c r="H11" s="252" t="s">
        <v>4791</v>
      </c>
      <c r="I11" s="13" t="s">
        <v>7044</v>
      </c>
      <c r="J11" s="252" t="s">
        <v>2334</v>
      </c>
      <c r="K11" s="13" t="s">
        <v>7034</v>
      </c>
      <c r="L11" s="252" t="s">
        <v>7035</v>
      </c>
      <c r="M11" s="252" t="s">
        <v>7036</v>
      </c>
      <c r="N11" s="13" t="s">
        <v>2398</v>
      </c>
      <c r="O11" s="5" t="s">
        <v>6904</v>
      </c>
      <c r="P11" s="5" t="s">
        <v>7037</v>
      </c>
      <c r="Q11" s="13" t="s">
        <v>2398</v>
      </c>
      <c r="R11" s="5" t="s">
        <v>6906</v>
      </c>
      <c r="S11" s="5" t="s">
        <v>6906</v>
      </c>
      <c r="T11" s="13" t="s">
        <v>6952</v>
      </c>
      <c r="U11" s="13" t="s">
        <v>7045</v>
      </c>
      <c r="V11" s="5" t="s">
        <v>195</v>
      </c>
      <c r="W11" s="5" t="s">
        <v>469</v>
      </c>
      <c r="X11" s="5" t="s">
        <v>498</v>
      </c>
      <c r="Y11" s="5" t="s">
        <v>7039</v>
      </c>
      <c r="Z11" s="5" t="s">
        <v>7040</v>
      </c>
      <c r="AA11" s="13" t="s">
        <v>7041</v>
      </c>
    </row>
    <row r="12" ht="14.25" customHeight="1">
      <c r="A12" s="13" t="s">
        <v>1919</v>
      </c>
      <c r="B12" s="13" t="s">
        <v>7030</v>
      </c>
      <c r="C12" s="13" t="s">
        <v>7046</v>
      </c>
      <c r="D12" s="13" t="s">
        <v>506</v>
      </c>
      <c r="E12" s="13" t="str">
        <f t="array" ref="E12">IFERROR(INDEX(REF_CODES!$B:$B,MATCH($D12,REF_CODES!$C:$C,0)),"")</f>
        <v>SE-PRO</v>
      </c>
      <c r="F12" s="13" t="s">
        <v>1919</v>
      </c>
      <c r="G12" s="13" t="s">
        <v>7047</v>
      </c>
      <c r="H12" s="252" t="s">
        <v>4791</v>
      </c>
      <c r="I12" s="13" t="s">
        <v>7048</v>
      </c>
      <c r="J12" s="252" t="s">
        <v>2334</v>
      </c>
      <c r="K12" s="13" t="s">
        <v>7034</v>
      </c>
      <c r="L12" s="252" t="s">
        <v>7035</v>
      </c>
      <c r="M12" s="252" t="s">
        <v>7036</v>
      </c>
      <c r="N12" s="13" t="s">
        <v>2398</v>
      </c>
      <c r="O12" s="5" t="s">
        <v>6904</v>
      </c>
      <c r="P12" s="5" t="s">
        <v>7037</v>
      </c>
      <c r="Q12" s="13" t="s">
        <v>2398</v>
      </c>
      <c r="R12" s="5" t="s">
        <v>6906</v>
      </c>
      <c r="S12" s="5" t="s">
        <v>6906</v>
      </c>
      <c r="T12" s="13" t="s">
        <v>6952</v>
      </c>
      <c r="U12" s="13" t="s">
        <v>7049</v>
      </c>
      <c r="V12" s="5" t="s">
        <v>195</v>
      </c>
      <c r="W12" s="5" t="s">
        <v>469</v>
      </c>
      <c r="X12" s="5" t="s">
        <v>498</v>
      </c>
      <c r="Y12" s="5" t="s">
        <v>7039</v>
      </c>
      <c r="Z12" s="5" t="s">
        <v>7040</v>
      </c>
      <c r="AA12" s="13" t="s">
        <v>7041</v>
      </c>
    </row>
    <row r="13" ht="14.25" customHeight="1">
      <c r="A13" s="13" t="s">
        <v>1919</v>
      </c>
      <c r="B13" s="13" t="s">
        <v>7030</v>
      </c>
      <c r="C13" s="13" t="s">
        <v>7050</v>
      </c>
      <c r="D13" s="13" t="s">
        <v>514</v>
      </c>
      <c r="E13" s="13" t="str">
        <f t="array" ref="E13">IFERROR(INDEX(REF_CODES!$B:$B,MATCH($D13,REF_CODES!$C:$C,0)),"")</f>
        <v>SE-SUR</v>
      </c>
      <c r="F13" s="13" t="s">
        <v>1919</v>
      </c>
      <c r="G13" s="13" t="s">
        <v>7051</v>
      </c>
      <c r="H13" s="252" t="s">
        <v>4791</v>
      </c>
      <c r="I13" s="13" t="s">
        <v>7052</v>
      </c>
      <c r="J13" s="252" t="s">
        <v>2334</v>
      </c>
      <c r="K13" s="13" t="s">
        <v>1919</v>
      </c>
      <c r="L13" s="252" t="s">
        <v>7035</v>
      </c>
      <c r="M13" s="252" t="s">
        <v>7036</v>
      </c>
      <c r="N13" s="13" t="s">
        <v>2398</v>
      </c>
      <c r="O13" s="5" t="s">
        <v>6904</v>
      </c>
      <c r="P13" s="5" t="s">
        <v>7037</v>
      </c>
      <c r="Q13" s="13" t="s">
        <v>2398</v>
      </c>
      <c r="R13" s="5" t="s">
        <v>6906</v>
      </c>
      <c r="S13" s="5" t="s">
        <v>6906</v>
      </c>
      <c r="T13" s="13" t="s">
        <v>6952</v>
      </c>
      <c r="U13" s="13" t="s">
        <v>7053</v>
      </c>
      <c r="V13" s="5" t="s">
        <v>195</v>
      </c>
      <c r="W13" s="5" t="s">
        <v>469</v>
      </c>
      <c r="X13" s="5" t="s">
        <v>498</v>
      </c>
      <c r="Y13" s="5" t="s">
        <v>7039</v>
      </c>
      <c r="Z13" s="5" t="s">
        <v>7040</v>
      </c>
      <c r="AA13" s="13" t="s">
        <v>7054</v>
      </c>
    </row>
    <row r="14" ht="14.25" customHeight="1">
      <c r="A14" s="13" t="s">
        <v>1919</v>
      </c>
      <c r="B14" s="13" t="s">
        <v>7030</v>
      </c>
      <c r="C14" s="13" t="s">
        <v>7055</v>
      </c>
      <c r="D14" s="13" t="s">
        <v>7056</v>
      </c>
      <c r="E14" s="13" t="s">
        <v>513</v>
      </c>
      <c r="F14" s="13" t="s">
        <v>1919</v>
      </c>
      <c r="G14" s="13" t="s">
        <v>7057</v>
      </c>
      <c r="H14" s="252" t="s">
        <v>4791</v>
      </c>
      <c r="I14" s="13" t="s">
        <v>7058</v>
      </c>
      <c r="J14" s="252" t="s">
        <v>2334</v>
      </c>
      <c r="K14" s="13" t="s">
        <v>7034</v>
      </c>
      <c r="L14" s="252" t="s">
        <v>7035</v>
      </c>
      <c r="M14" s="252" t="s">
        <v>7036</v>
      </c>
      <c r="N14" s="13" t="s">
        <v>2398</v>
      </c>
      <c r="O14" s="5" t="s">
        <v>6904</v>
      </c>
      <c r="P14" s="5" t="s">
        <v>7037</v>
      </c>
      <c r="Q14" s="13" t="s">
        <v>2398</v>
      </c>
      <c r="R14" s="5" t="s">
        <v>6906</v>
      </c>
      <c r="S14" s="5" t="s">
        <v>6906</v>
      </c>
      <c r="T14" s="13" t="s">
        <v>6952</v>
      </c>
      <c r="U14" s="13" t="s">
        <v>7059</v>
      </c>
      <c r="V14" s="5" t="s">
        <v>195</v>
      </c>
      <c r="W14" s="5" t="s">
        <v>469</v>
      </c>
      <c r="X14" s="5" t="s">
        <v>498</v>
      </c>
      <c r="Y14" s="5" t="s">
        <v>7039</v>
      </c>
      <c r="Z14" s="5" t="s">
        <v>7040</v>
      </c>
      <c r="AA14" s="13" t="s">
        <v>7054</v>
      </c>
    </row>
    <row r="15" ht="14.25" customHeight="1">
      <c r="A15" s="13" t="s">
        <v>1919</v>
      </c>
      <c r="B15" s="13" t="s">
        <v>7030</v>
      </c>
      <c r="C15" s="13" t="s">
        <v>7060</v>
      </c>
      <c r="D15" s="13" t="s">
        <v>506</v>
      </c>
      <c r="E15" s="13" t="str">
        <f t="array" ref="E15">IFERROR(INDEX(REF_CODES!$B:$B,MATCH($D15,REF_CODES!$C:$C,0)),"")</f>
        <v>SE-PRO</v>
      </c>
      <c r="F15" s="13" t="s">
        <v>1919</v>
      </c>
      <c r="G15" s="13" t="s">
        <v>7061</v>
      </c>
      <c r="H15" s="252" t="s">
        <v>4791</v>
      </c>
      <c r="I15" s="13" t="s">
        <v>7062</v>
      </c>
      <c r="J15" s="252" t="s">
        <v>2334</v>
      </c>
      <c r="K15" s="13" t="s">
        <v>7034</v>
      </c>
      <c r="L15" s="252" t="s">
        <v>7035</v>
      </c>
      <c r="M15" s="252" t="s">
        <v>7036</v>
      </c>
      <c r="N15" s="13" t="s">
        <v>2398</v>
      </c>
      <c r="O15" s="5" t="s">
        <v>6904</v>
      </c>
      <c r="P15" s="5" t="s">
        <v>7037</v>
      </c>
      <c r="Q15" s="13" t="s">
        <v>2398</v>
      </c>
      <c r="R15" s="5" t="s">
        <v>6906</v>
      </c>
      <c r="S15" s="5" t="s">
        <v>6906</v>
      </c>
      <c r="T15" s="13" t="s">
        <v>6952</v>
      </c>
      <c r="U15" s="13" t="s">
        <v>7063</v>
      </c>
      <c r="V15" s="5" t="s">
        <v>195</v>
      </c>
      <c r="W15" s="5" t="s">
        <v>469</v>
      </c>
      <c r="X15" s="5" t="s">
        <v>498</v>
      </c>
      <c r="Y15" s="5" t="s">
        <v>7039</v>
      </c>
      <c r="Z15" s="5" t="s">
        <v>7040</v>
      </c>
      <c r="AA15" s="13" t="s">
        <v>7041</v>
      </c>
    </row>
    <row r="16" ht="14.25" customHeight="1">
      <c r="A16" s="13" t="s">
        <v>1919</v>
      </c>
      <c r="B16" s="13" t="s">
        <v>7030</v>
      </c>
      <c r="C16" s="13" t="s">
        <v>7064</v>
      </c>
      <c r="D16" s="13" t="s">
        <v>514</v>
      </c>
      <c r="E16" s="13" t="str">
        <f t="array" ref="E16">IFERROR(INDEX(REF_CODES!$B:$B,MATCH($D16,REF_CODES!$C:$C,0)),"")</f>
        <v>SE-SUR</v>
      </c>
      <c r="F16" s="13" t="s">
        <v>1919</v>
      </c>
      <c r="G16" s="13" t="s">
        <v>7065</v>
      </c>
      <c r="H16" s="252" t="s">
        <v>4791</v>
      </c>
      <c r="I16" s="13" t="s">
        <v>7066</v>
      </c>
      <c r="J16" s="252" t="s">
        <v>2334</v>
      </c>
      <c r="K16" s="13" t="s">
        <v>1919</v>
      </c>
      <c r="L16" s="252" t="s">
        <v>7035</v>
      </c>
      <c r="M16" s="252" t="s">
        <v>7036</v>
      </c>
      <c r="N16" s="13" t="s">
        <v>7067</v>
      </c>
      <c r="O16" s="5" t="s">
        <v>6904</v>
      </c>
      <c r="P16" s="5" t="s">
        <v>7037</v>
      </c>
      <c r="Q16" s="13" t="s">
        <v>2398</v>
      </c>
      <c r="R16" s="5" t="s">
        <v>6906</v>
      </c>
      <c r="S16" s="5" t="s">
        <v>6906</v>
      </c>
      <c r="T16" s="13" t="s">
        <v>6952</v>
      </c>
      <c r="U16" s="13" t="s">
        <v>7068</v>
      </c>
      <c r="V16" s="5" t="s">
        <v>195</v>
      </c>
      <c r="W16" s="5" t="s">
        <v>469</v>
      </c>
      <c r="X16" s="5" t="s">
        <v>498</v>
      </c>
      <c r="Y16" s="5" t="s">
        <v>7039</v>
      </c>
      <c r="Z16" s="5" t="s">
        <v>7040</v>
      </c>
      <c r="AA16" s="13" t="s">
        <v>7069</v>
      </c>
    </row>
    <row r="17" ht="14.25" customHeight="1">
      <c r="A17" s="13" t="s">
        <v>1919</v>
      </c>
      <c r="B17" s="13" t="s">
        <v>7030</v>
      </c>
      <c r="C17" s="13" t="s">
        <v>7070</v>
      </c>
      <c r="D17" s="13" t="s">
        <v>7071</v>
      </c>
      <c r="E17" s="13" t="s">
        <v>513</v>
      </c>
      <c r="F17" s="13" t="s">
        <v>1919</v>
      </c>
      <c r="G17" s="13" t="s">
        <v>7072</v>
      </c>
      <c r="H17" s="252" t="s">
        <v>4791</v>
      </c>
      <c r="I17" s="13" t="s">
        <v>7073</v>
      </c>
      <c r="J17" s="252" t="s">
        <v>2334</v>
      </c>
      <c r="K17" s="13" t="s">
        <v>7074</v>
      </c>
      <c r="L17" s="252" t="s">
        <v>7035</v>
      </c>
      <c r="M17" s="252" t="s">
        <v>7036</v>
      </c>
      <c r="N17" s="13" t="s">
        <v>2398</v>
      </c>
      <c r="O17" s="5" t="s">
        <v>6904</v>
      </c>
      <c r="P17" s="5" t="s">
        <v>7037</v>
      </c>
      <c r="Q17" s="13" t="s">
        <v>2398</v>
      </c>
      <c r="R17" s="5" t="s">
        <v>6906</v>
      </c>
      <c r="S17" s="5" t="s">
        <v>6906</v>
      </c>
      <c r="T17" s="13" t="s">
        <v>6952</v>
      </c>
      <c r="U17" s="13" t="s">
        <v>7075</v>
      </c>
      <c r="V17" s="5" t="s">
        <v>195</v>
      </c>
      <c r="W17" s="5" t="s">
        <v>469</v>
      </c>
      <c r="X17" s="5" t="s">
        <v>498</v>
      </c>
      <c r="Y17" s="5" t="s">
        <v>7039</v>
      </c>
      <c r="Z17" s="5" t="s">
        <v>7040</v>
      </c>
      <c r="AA17" s="13" t="s">
        <v>7054</v>
      </c>
    </row>
    <row r="18" ht="14.25" customHeight="1">
      <c r="A18" s="13" t="s">
        <v>1919</v>
      </c>
      <c r="B18" s="13" t="s">
        <v>7030</v>
      </c>
      <c r="C18" s="13" t="s">
        <v>7076</v>
      </c>
      <c r="D18" s="13" t="s">
        <v>514</v>
      </c>
      <c r="E18" s="13" t="str">
        <f t="array" ref="E18">IFERROR(INDEX(REF_CODES!$B:$B,MATCH($D18,REF_CODES!$C:$C,0)),"")</f>
        <v>SE-SUR</v>
      </c>
      <c r="F18" s="13" t="s">
        <v>1919</v>
      </c>
      <c r="G18" s="13" t="s">
        <v>7077</v>
      </c>
      <c r="H18" s="252" t="s">
        <v>4791</v>
      </c>
      <c r="I18" s="13" t="s">
        <v>7078</v>
      </c>
      <c r="J18" s="252" t="s">
        <v>2334</v>
      </c>
      <c r="K18" s="13" t="s">
        <v>1919</v>
      </c>
      <c r="L18" s="252" t="s">
        <v>7035</v>
      </c>
      <c r="M18" s="252" t="s">
        <v>7036</v>
      </c>
      <c r="N18" s="13" t="s">
        <v>7067</v>
      </c>
      <c r="O18" s="5" t="s">
        <v>6904</v>
      </c>
      <c r="P18" s="5" t="s">
        <v>7037</v>
      </c>
      <c r="Q18" s="13" t="s">
        <v>2398</v>
      </c>
      <c r="R18" s="5" t="s">
        <v>6906</v>
      </c>
      <c r="S18" s="5" t="s">
        <v>6906</v>
      </c>
      <c r="T18" s="13" t="s">
        <v>6952</v>
      </c>
      <c r="U18" s="13" t="s">
        <v>7079</v>
      </c>
      <c r="V18" s="5" t="s">
        <v>195</v>
      </c>
      <c r="W18" s="5" t="s">
        <v>469</v>
      </c>
      <c r="X18" s="5" t="s">
        <v>498</v>
      </c>
      <c r="Y18" s="5" t="s">
        <v>7039</v>
      </c>
      <c r="Z18" s="5" t="s">
        <v>7040</v>
      </c>
      <c r="AA18" s="13" t="s">
        <v>7069</v>
      </c>
    </row>
    <row r="19" ht="14.25" customHeight="1">
      <c r="A19" s="13" t="s">
        <v>1919</v>
      </c>
      <c r="B19" s="13" t="s">
        <v>7030</v>
      </c>
      <c r="C19" s="13" t="s">
        <v>7080</v>
      </c>
      <c r="D19" s="13" t="s">
        <v>514</v>
      </c>
      <c r="E19" s="13" t="str">
        <f t="array" ref="E19">IFERROR(INDEX(REF_CODES!$B:$B,MATCH($D19,REF_CODES!$C:$C,0)),"")</f>
        <v>SE-SUR</v>
      </c>
      <c r="F19" s="13" t="s">
        <v>1919</v>
      </c>
      <c r="G19" s="13" t="s">
        <v>7081</v>
      </c>
      <c r="H19" s="252" t="s">
        <v>4791</v>
      </c>
      <c r="I19" s="13" t="s">
        <v>7082</v>
      </c>
      <c r="J19" s="252" t="s">
        <v>2334</v>
      </c>
      <c r="K19" s="13" t="s">
        <v>1919</v>
      </c>
      <c r="L19" s="252" t="s">
        <v>7035</v>
      </c>
      <c r="M19" s="252" t="s">
        <v>7036</v>
      </c>
      <c r="N19" s="13" t="s">
        <v>2398</v>
      </c>
      <c r="O19" s="5" t="s">
        <v>6904</v>
      </c>
      <c r="P19" s="5" t="s">
        <v>7037</v>
      </c>
      <c r="Q19" s="13" t="s">
        <v>2398</v>
      </c>
      <c r="R19" s="5" t="s">
        <v>6906</v>
      </c>
      <c r="S19" s="5" t="s">
        <v>6906</v>
      </c>
      <c r="T19" s="13" t="s">
        <v>6952</v>
      </c>
      <c r="U19" s="252" t="s">
        <v>7083</v>
      </c>
      <c r="V19" s="5" t="s">
        <v>195</v>
      </c>
      <c r="W19" s="5" t="s">
        <v>469</v>
      </c>
      <c r="X19" s="5" t="s">
        <v>498</v>
      </c>
      <c r="Y19" s="5" t="s">
        <v>7039</v>
      </c>
      <c r="Z19" s="5" t="s">
        <v>7040</v>
      </c>
      <c r="AA19" s="13" t="s">
        <v>7069</v>
      </c>
    </row>
    <row r="20" ht="14.25" customHeight="1">
      <c r="D20" s="13"/>
      <c r="E20" s="13" t="str">
        <f t="array" ref="E20">IFERROR(INDEX(REF_CODES!$B:$B,MATCH($D20,REF_CODES!$C:$C,0)),"")</f>
        <v/>
      </c>
      <c r="T20" s="13"/>
    </row>
    <row r="21" ht="14.25" customHeight="1">
      <c r="D21" s="13"/>
      <c r="E21" s="13" t="str">
        <f t="array" ref="E21">IFERROR(INDEX(REF_CODES!$B:$B,MATCH($D21,REF_CODES!$C:$C,0)),"")</f>
        <v/>
      </c>
      <c r="T21" s="13"/>
    </row>
    <row r="22" ht="14.25" customHeight="1">
      <c r="D22" s="13"/>
      <c r="E22" s="13" t="str">
        <f t="array" ref="E22">IFERROR(INDEX(REF_CODES!$B:$B,MATCH($D22,REF_CODES!$C:$C,0)),"")</f>
        <v/>
      </c>
      <c r="T22" s="13"/>
    </row>
    <row r="23" ht="14.25" customHeight="1">
      <c r="D23" s="13"/>
      <c r="E23" s="13" t="str">
        <f t="array" ref="E23">IFERROR(INDEX(REF_CODES!$B:$B,MATCH($D23,REF_CODES!$C:$C,0)),"")</f>
        <v/>
      </c>
      <c r="T23" s="13"/>
    </row>
    <row r="24" ht="14.25" customHeight="1">
      <c r="D24" s="13"/>
      <c r="E24" s="13" t="str">
        <f t="array" ref="E24">IFERROR(INDEX(REF_CODES!$B:$B,MATCH($D24,REF_CODES!$C:$C,0)),"")</f>
        <v/>
      </c>
      <c r="T24" s="13"/>
    </row>
    <row r="25" ht="14.25" customHeight="1">
      <c r="D25" s="13"/>
      <c r="E25" s="13" t="str">
        <f t="array" ref="E25">IFERROR(INDEX(REF_CODES!$B:$B,MATCH($D25,REF_CODES!$C:$C,0)),"")</f>
        <v/>
      </c>
      <c r="T25" s="13"/>
    </row>
    <row r="26" ht="14.25" customHeight="1">
      <c r="D26" s="13"/>
      <c r="E26" s="13" t="str">
        <f t="array" ref="E26">IFERROR(INDEX(REF_CODES!$B:$B,MATCH($D26,REF_CODES!$C:$C,0)),"")</f>
        <v/>
      </c>
      <c r="T26" s="13"/>
    </row>
    <row r="27" ht="14.25" customHeight="1">
      <c r="D27" s="13"/>
      <c r="E27" s="13" t="str">
        <f t="array" ref="E27">IFERROR(INDEX(REF_CODES!$B:$B,MATCH($D27,REF_CODES!$C:$C,0)),"")</f>
        <v/>
      </c>
      <c r="T27" s="13"/>
    </row>
    <row r="28" ht="14.25" customHeight="1">
      <c r="D28" s="13"/>
      <c r="E28" s="13" t="str">
        <f t="array" ref="E28">IFERROR(INDEX(REF_CODES!$B:$B,MATCH($D28,REF_CODES!$C:$C,0)),"")</f>
        <v/>
      </c>
      <c r="T28" s="13"/>
    </row>
    <row r="29" ht="14.25" customHeight="1">
      <c r="D29" s="13"/>
      <c r="E29" s="13" t="str">
        <f t="array" ref="E29">IFERROR(INDEX(REF_CODES!$B:$B,MATCH($D29,REF_CODES!$C:$C,0)),"")</f>
        <v/>
      </c>
      <c r="T29" s="13"/>
    </row>
    <row r="30" ht="14.25" customHeight="1">
      <c r="D30" s="13"/>
      <c r="E30" s="13" t="str">
        <f t="array" ref="E30">IFERROR(INDEX(REF_CODES!$B:$B,MATCH($D30,REF_CODES!$C:$C,0)),"")</f>
        <v/>
      </c>
      <c r="T30" s="13"/>
    </row>
    <row r="31" ht="14.25" customHeight="1">
      <c r="D31" s="13"/>
      <c r="E31" s="13" t="str">
        <f t="array" ref="E31">IFERROR(INDEX(REF_CODES!$B:$B,MATCH($D31,REF_CODES!$C:$C,0)),"")</f>
        <v/>
      </c>
      <c r="T31" s="13"/>
    </row>
    <row r="32" ht="14.25" customHeight="1">
      <c r="D32" s="13"/>
      <c r="E32" s="13" t="str">
        <f t="array" ref="E32">IFERROR(INDEX(REF_CODES!$B:$B,MATCH($D32,REF_CODES!$C:$C,0)),"")</f>
        <v/>
      </c>
      <c r="T32" s="13"/>
    </row>
    <row r="33" ht="14.25" customHeight="1">
      <c r="D33" s="13"/>
      <c r="E33" s="13" t="str">
        <f t="array" ref="E33">IFERROR(INDEX(REF_CODES!$B:$B,MATCH($D33,REF_CODES!$C:$C,0)),"")</f>
        <v/>
      </c>
      <c r="T33" s="13"/>
    </row>
    <row r="34" ht="14.25" customHeight="1">
      <c r="D34" s="13"/>
      <c r="E34" s="13" t="str">
        <f t="array" ref="E34">IFERROR(INDEX(REF_CODES!$B:$B,MATCH($D34,REF_CODES!$C:$C,0)),"")</f>
        <v/>
      </c>
      <c r="T34" s="13"/>
    </row>
    <row r="35" ht="14.25" customHeight="1">
      <c r="D35" s="13"/>
      <c r="E35" s="13" t="str">
        <f t="array" ref="E35">IFERROR(INDEX(REF_CODES!$B:$B,MATCH($D35,REF_CODES!$C:$C,0)),"")</f>
        <v/>
      </c>
      <c r="T35" s="13"/>
    </row>
    <row r="36" ht="14.25" customHeight="1">
      <c r="D36" s="13"/>
      <c r="E36" s="13" t="str">
        <f t="array" ref="E36">IFERROR(INDEX(REF_CODES!$B:$B,MATCH($D36,REF_CODES!$C:$C,0)),"")</f>
        <v/>
      </c>
      <c r="T36" s="13"/>
    </row>
    <row r="37" ht="14.25" customHeight="1">
      <c r="D37" s="13"/>
      <c r="E37" s="13" t="str">
        <f t="array" ref="E37">IFERROR(INDEX(REF_CODES!$B:$B,MATCH($D37,REF_CODES!$C:$C,0)),"")</f>
        <v/>
      </c>
      <c r="T37" s="13"/>
    </row>
    <row r="38" ht="14.25" customHeight="1">
      <c r="D38" s="13"/>
      <c r="E38" s="13" t="str">
        <f t="array" ref="E38">IFERROR(INDEX(REF_CODES!$B:$B,MATCH($D38,REF_CODES!$C:$C,0)),"")</f>
        <v/>
      </c>
      <c r="T38" s="13"/>
    </row>
    <row r="39" ht="14.25" customHeight="1">
      <c r="D39" s="13"/>
      <c r="E39" s="13" t="str">
        <f t="array" ref="E39">IFERROR(INDEX(REF_CODES!$B:$B,MATCH($D39,REF_CODES!$C:$C,0)),"")</f>
        <v/>
      </c>
      <c r="T39" s="13"/>
    </row>
    <row r="40" ht="14.25" customHeight="1">
      <c r="D40" s="13"/>
      <c r="E40" s="13" t="str">
        <f t="array" ref="E40">IFERROR(INDEX(REF_CODES!$B:$B,MATCH($D40,REF_CODES!$C:$C,0)),"")</f>
        <v/>
      </c>
      <c r="T40" s="13"/>
    </row>
    <row r="41" ht="14.25" customHeight="1">
      <c r="D41" s="13"/>
      <c r="E41" s="13" t="str">
        <f t="array" ref="E41">IFERROR(INDEX(REF_CODES!$B:$B,MATCH($D41,REF_CODES!$C:$C,0)),"")</f>
        <v/>
      </c>
      <c r="T41" s="13"/>
    </row>
    <row r="42" ht="14.25" customHeight="1">
      <c r="D42" s="13"/>
      <c r="E42" s="13" t="str">
        <f t="array" ref="E42">IFERROR(INDEX(REF_CODES!$B:$B,MATCH($D42,REF_CODES!$C:$C,0)),"")</f>
        <v/>
      </c>
      <c r="T42" s="13"/>
    </row>
    <row r="43" ht="14.25" customHeight="1">
      <c r="D43" s="13"/>
      <c r="E43" s="13" t="str">
        <f t="array" ref="E43">IFERROR(INDEX(REF_CODES!$B:$B,MATCH($D43,REF_CODES!$C:$C,0)),"")</f>
        <v/>
      </c>
      <c r="T43" s="13"/>
    </row>
    <row r="44" ht="14.25" customHeight="1">
      <c r="D44" s="13"/>
      <c r="E44" s="13" t="str">
        <f t="array" ref="E44">IFERROR(INDEX(REF_CODES!$B:$B,MATCH($D44,REF_CODES!$C:$C,0)),"")</f>
        <v/>
      </c>
      <c r="T44" s="13"/>
    </row>
    <row r="45" ht="15.75" customHeight="1">
      <c r="T45" s="261"/>
    </row>
    <row r="46" ht="15.75" customHeight="1">
      <c r="T46" s="261"/>
    </row>
    <row r="47" ht="15.75" customHeight="1">
      <c r="T47" s="261"/>
    </row>
    <row r="48" ht="15.75" customHeight="1">
      <c r="T48" s="261"/>
    </row>
    <row r="49" ht="15.75" customHeight="1">
      <c r="T49" s="261"/>
    </row>
    <row r="50" ht="15.75" customHeight="1">
      <c r="T50" s="261"/>
    </row>
    <row r="51" ht="15.75" customHeight="1">
      <c r="T51" s="261"/>
    </row>
    <row r="52" ht="15.75" customHeight="1">
      <c r="T52" s="261"/>
    </row>
    <row r="53" ht="15.75" customHeight="1">
      <c r="T53" s="261"/>
    </row>
    <row r="54" ht="15.75" customHeight="1">
      <c r="T54" s="261"/>
    </row>
    <row r="55" ht="15.75" customHeight="1">
      <c r="T55" s="261"/>
    </row>
    <row r="56" ht="15.75" customHeight="1">
      <c r="T56" s="261"/>
    </row>
    <row r="57" ht="15.75" customHeight="1">
      <c r="T57" s="261"/>
    </row>
    <row r="58" ht="15.75" customHeight="1">
      <c r="T58" s="261"/>
    </row>
    <row r="59" ht="15.75" customHeight="1">
      <c r="T59" s="261"/>
    </row>
    <row r="60" ht="15.75" customHeight="1">
      <c r="T60" s="261"/>
    </row>
    <row r="61" ht="15.75" customHeight="1">
      <c r="T61" s="261"/>
    </row>
    <row r="62" ht="15.75" customHeight="1">
      <c r="T62" s="261"/>
    </row>
    <row r="63" ht="15.75" customHeight="1">
      <c r="T63" s="261"/>
    </row>
    <row r="64" ht="15.75" customHeight="1">
      <c r="T64" s="261"/>
    </row>
    <row r="65" ht="15.75" customHeight="1">
      <c r="T65" s="261"/>
    </row>
    <row r="66" ht="15.75" customHeight="1">
      <c r="T66" s="261"/>
    </row>
    <row r="67" ht="15.75" customHeight="1">
      <c r="T67" s="261"/>
    </row>
    <row r="68" ht="15.75" customHeight="1">
      <c r="T68" s="261"/>
    </row>
    <row r="69" ht="15.75" customHeight="1">
      <c r="T69" s="261"/>
    </row>
    <row r="70" ht="15.75" customHeight="1">
      <c r="T70" s="261"/>
    </row>
    <row r="71" ht="15.75" customHeight="1">
      <c r="T71" s="261"/>
    </row>
    <row r="72" ht="15.75" customHeight="1">
      <c r="T72" s="261"/>
    </row>
    <row r="73" ht="15.75" customHeight="1">
      <c r="T73" s="261"/>
    </row>
    <row r="74" ht="15.75" customHeight="1">
      <c r="T74" s="261"/>
    </row>
    <row r="75" ht="15.75" customHeight="1">
      <c r="T75" s="261"/>
    </row>
    <row r="76" ht="15.75" customHeight="1">
      <c r="T76" s="261"/>
    </row>
    <row r="77" ht="15.75" customHeight="1">
      <c r="T77" s="261"/>
    </row>
    <row r="78" ht="15.75" customHeight="1">
      <c r="T78" s="261"/>
    </row>
    <row r="79" ht="15.75" customHeight="1">
      <c r="T79" s="261"/>
    </row>
    <row r="80" ht="15.75" customHeight="1">
      <c r="T80" s="261"/>
    </row>
    <row r="81" ht="15.75" customHeight="1">
      <c r="T81" s="261"/>
    </row>
    <row r="82" ht="15.75" customHeight="1">
      <c r="T82" s="261"/>
    </row>
    <row r="83" ht="15.75" customHeight="1">
      <c r="T83" s="261"/>
    </row>
    <row r="84" ht="15.75" customHeight="1">
      <c r="T84" s="261"/>
    </row>
    <row r="85" ht="15.75" customHeight="1">
      <c r="T85" s="261"/>
    </row>
    <row r="86" ht="15.75" customHeight="1">
      <c r="T86" s="261"/>
    </row>
    <row r="87" ht="15.75" customHeight="1">
      <c r="T87" s="261"/>
    </row>
    <row r="88" ht="15.75" customHeight="1">
      <c r="T88" s="261"/>
    </row>
    <row r="89" ht="15.75" customHeight="1">
      <c r="T89" s="261"/>
    </row>
    <row r="90" ht="15.75" customHeight="1">
      <c r="T90" s="261"/>
    </row>
    <row r="91" ht="15.75" customHeight="1">
      <c r="T91" s="261"/>
    </row>
    <row r="92" ht="15.75" customHeight="1">
      <c r="T92" s="261"/>
    </row>
    <row r="93" ht="15.75" customHeight="1">
      <c r="T93" s="261"/>
    </row>
    <row r="94" ht="15.75" customHeight="1">
      <c r="T94" s="261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9:$AA$9">
    <sortState ref="A9:AA9">
      <sortCondition ref="C9"/>
    </sortState>
  </autoFilter>
  <mergeCells count="1">
    <mergeCell ref="B8:U8"/>
  </mergeCells>
  <dataValidations>
    <dataValidation type="list" allowBlank="1" showErrorMessage="1" sqref="D10:D44">
      <formula1>REF_CODES!$C$62:$C$66</formula1>
    </dataValidation>
    <dataValidation type="list" allowBlank="1" showErrorMessage="1" sqref="T10:T94">
      <formula1>"Non contacté,Contact identifié,Échange réalisé,Relance 1,Relance 2,Convention envoyée,Convention signée,Actif SOLÝ"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0"/>
  <cols>
    <col customWidth="1" min="1" max="3" width="17.75"/>
    <col customWidth="1" min="4" max="4" width="21.0"/>
    <col customWidth="1" min="5" max="5" width="17.75"/>
    <col customWidth="1" min="6" max="6" width="21.88"/>
    <col customWidth="1" min="7" max="7" width="20.25"/>
    <col customWidth="1" min="8" max="8" width="19.0"/>
    <col customWidth="1" min="9" max="9" width="20.0"/>
    <col customWidth="1" min="10" max="11" width="17.75"/>
    <col customWidth="1" min="12" max="12" width="18.0"/>
    <col customWidth="1" min="13" max="14" width="17.75"/>
    <col customWidth="1" min="15" max="16" width="22.0"/>
    <col customWidth="1" min="17" max="17" width="18.0"/>
    <col customWidth="1" min="18" max="18" width="21.0"/>
    <col customWidth="1" min="19" max="19" width="17.75"/>
    <col customWidth="1" min="20" max="20" width="18.0"/>
    <col customWidth="1" min="21" max="21" width="20.0"/>
    <col customWidth="1" min="22" max="22" width="26.0"/>
    <col customWidth="1" min="23" max="24" width="17.75"/>
    <col customWidth="1" min="25" max="32" width="20.0"/>
    <col customWidth="1" min="33" max="38" width="17.75"/>
  </cols>
  <sheetData>
    <row r="1" ht="15.0" customHeight="1">
      <c r="A1" s="6"/>
      <c r="B1" s="230" t="s">
        <v>7102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6"/>
      <c r="Z1" s="6"/>
      <c r="AA1" s="6"/>
      <c r="AB1" s="6"/>
      <c r="AC1" s="6"/>
      <c r="AD1" s="6"/>
      <c r="AE1" s="6"/>
      <c r="AF1" s="6"/>
      <c r="AG1" s="6" t="s">
        <v>7110</v>
      </c>
      <c r="AH1" s="6"/>
      <c r="AI1" s="6"/>
      <c r="AJ1" s="6"/>
      <c r="AK1" s="6"/>
      <c r="AL1" s="6"/>
    </row>
    <row r="2" ht="42.0" customHeight="1">
      <c r="A2" s="231" t="s">
        <v>2134</v>
      </c>
      <c r="B2" s="231" t="s">
        <v>2136</v>
      </c>
      <c r="C2" s="231" t="s">
        <v>2137</v>
      </c>
      <c r="D2" s="231" t="s">
        <v>2152</v>
      </c>
      <c r="E2" s="231" t="s">
        <v>8</v>
      </c>
      <c r="F2" s="231" t="s">
        <v>2143</v>
      </c>
      <c r="G2" s="231" t="s">
        <v>7111</v>
      </c>
      <c r="H2" s="231" t="s">
        <v>7112</v>
      </c>
      <c r="I2" s="231" t="s">
        <v>7113</v>
      </c>
      <c r="J2" s="231" t="s">
        <v>5745</v>
      </c>
      <c r="K2" s="231" t="s">
        <v>5746</v>
      </c>
      <c r="L2" s="231" t="s">
        <v>5747</v>
      </c>
      <c r="M2" s="231" t="s">
        <v>5749</v>
      </c>
      <c r="N2" s="231" t="s">
        <v>5751</v>
      </c>
      <c r="O2" s="231" t="s">
        <v>7114</v>
      </c>
      <c r="P2" s="231" t="s">
        <v>7115</v>
      </c>
      <c r="Q2" s="231" t="s">
        <v>7116</v>
      </c>
      <c r="R2" s="231" t="s">
        <v>7117</v>
      </c>
      <c r="S2" s="231" t="s">
        <v>4700</v>
      </c>
      <c r="T2" s="231" t="s">
        <v>7118</v>
      </c>
      <c r="U2" s="231" t="s">
        <v>7119</v>
      </c>
      <c r="V2" s="231" t="s">
        <v>7120</v>
      </c>
      <c r="W2" s="231" t="s">
        <v>4713</v>
      </c>
      <c r="X2" s="231" t="s">
        <v>2135</v>
      </c>
      <c r="Y2" s="231" t="s">
        <v>7121</v>
      </c>
      <c r="Z2" s="231" t="s">
        <v>2150</v>
      </c>
      <c r="AA2" s="231" t="s">
        <v>2246</v>
      </c>
      <c r="AB2" s="231" t="s">
        <v>2158</v>
      </c>
      <c r="AC2" s="231" t="s">
        <v>2159</v>
      </c>
      <c r="AD2" s="231" t="s">
        <v>2161</v>
      </c>
      <c r="AE2" s="231" t="s">
        <v>27</v>
      </c>
      <c r="AF2" s="231" t="s">
        <v>2162</v>
      </c>
      <c r="AG2" s="231" t="s">
        <v>6</v>
      </c>
      <c r="AH2" s="231" t="s">
        <v>1810</v>
      </c>
      <c r="AI2" s="231" t="s">
        <v>7122</v>
      </c>
      <c r="AJ2" s="231" t="s">
        <v>7123</v>
      </c>
      <c r="AK2" s="231" t="s">
        <v>7124</v>
      </c>
      <c r="AL2" s="231" t="s">
        <v>7125</v>
      </c>
    </row>
    <row r="3" ht="15.0" customHeight="1">
      <c r="A3" s="249" t="s">
        <v>2172</v>
      </c>
      <c r="B3" s="249" t="s">
        <v>7126</v>
      </c>
      <c r="C3" s="249" t="s">
        <v>7127</v>
      </c>
      <c r="D3" s="249" t="s">
        <v>7128</v>
      </c>
      <c r="E3" s="249" t="str">
        <f t="shared" ref="E3:E131" si="1">IFERROR(INDEX($AI$3:$AI$37,MATCH($D3,$AH$3:$AH$37,0)),"")</f>
        <v>POI-VIS</v>
      </c>
      <c r="F3" s="249" t="s">
        <v>7134</v>
      </c>
      <c r="G3" s="249" t="s">
        <v>7136</v>
      </c>
      <c r="H3" s="249" t="s">
        <v>7137</v>
      </c>
      <c r="I3" s="249" t="s">
        <v>7067</v>
      </c>
      <c r="J3" s="249" t="s">
        <v>2191</v>
      </c>
      <c r="K3" s="300" t="s">
        <v>7139</v>
      </c>
      <c r="L3" s="251" t="s">
        <v>7141</v>
      </c>
      <c r="M3" s="251">
        <v>31.6425934</v>
      </c>
      <c r="N3" s="251">
        <v>-8.0031422</v>
      </c>
      <c r="O3" s="251" t="s">
        <v>7142</v>
      </c>
      <c r="P3" s="251" t="s">
        <v>7143</v>
      </c>
      <c r="Q3" s="251" t="s">
        <v>6420</v>
      </c>
      <c r="R3" s="251" t="s">
        <v>7144</v>
      </c>
      <c r="S3" s="251" t="s">
        <v>5801</v>
      </c>
      <c r="T3" s="300" t="s">
        <v>2208</v>
      </c>
      <c r="U3" s="251" t="s">
        <v>7145</v>
      </c>
      <c r="V3" s="251" t="s">
        <v>7146</v>
      </c>
      <c r="W3" s="249" t="s">
        <v>7147</v>
      </c>
      <c r="X3" s="249" t="s">
        <v>7148</v>
      </c>
      <c r="Y3" s="5" t="s">
        <v>7149</v>
      </c>
      <c r="Z3" s="5" t="s">
        <v>97</v>
      </c>
      <c r="AA3" s="5" t="s">
        <v>2312</v>
      </c>
      <c r="AB3" s="5" t="s">
        <v>469</v>
      </c>
      <c r="AC3" s="5" t="s">
        <v>498</v>
      </c>
      <c r="AD3" s="5" t="s">
        <v>142</v>
      </c>
      <c r="AE3" s="5" t="s">
        <v>2391</v>
      </c>
      <c r="AF3" s="5" t="s">
        <v>213</v>
      </c>
      <c r="AG3" s="23" t="s">
        <v>1174</v>
      </c>
      <c r="AH3" s="23" t="s">
        <v>7128</v>
      </c>
      <c r="AI3" s="23" t="s">
        <v>2048</v>
      </c>
      <c r="AJ3" s="23" t="s">
        <v>7150</v>
      </c>
      <c r="AK3" s="23" t="s">
        <v>7151</v>
      </c>
      <c r="AL3" s="23" t="s">
        <v>7152</v>
      </c>
    </row>
    <row r="4" ht="15.0" customHeight="1">
      <c r="A4" s="249" t="s">
        <v>2172</v>
      </c>
      <c r="B4" s="249" t="s">
        <v>7126</v>
      </c>
      <c r="C4" s="249" t="s">
        <v>7153</v>
      </c>
      <c r="D4" s="249" t="s">
        <v>7128</v>
      </c>
      <c r="E4" s="249" t="str">
        <f t="shared" si="1"/>
        <v>POI-VIS</v>
      </c>
      <c r="F4" s="249" t="s">
        <v>6495</v>
      </c>
      <c r="G4" s="249" t="s">
        <v>7154</v>
      </c>
      <c r="H4" s="249" t="s">
        <v>7155</v>
      </c>
      <c r="I4" s="249" t="s">
        <v>7067</v>
      </c>
      <c r="J4" s="249" t="s">
        <v>2306</v>
      </c>
      <c r="K4" s="300" t="s">
        <v>7139</v>
      </c>
      <c r="L4" s="251" t="s">
        <v>7156</v>
      </c>
      <c r="M4" s="251">
        <v>31.6217067</v>
      </c>
      <c r="N4" s="251">
        <v>-7.9819688</v>
      </c>
      <c r="O4" s="251" t="s">
        <v>7157</v>
      </c>
      <c r="P4" s="251" t="s">
        <v>7158</v>
      </c>
      <c r="Q4" s="251" t="s">
        <v>1229</v>
      </c>
      <c r="R4" s="251" t="s">
        <v>1229</v>
      </c>
      <c r="S4" s="251" t="s">
        <v>5801</v>
      </c>
      <c r="T4" s="300" t="s">
        <v>2208</v>
      </c>
      <c r="U4" s="251" t="s">
        <v>7159</v>
      </c>
      <c r="V4" s="251" t="s">
        <v>7146</v>
      </c>
      <c r="W4" s="249" t="s">
        <v>7147</v>
      </c>
      <c r="X4" s="249" t="s">
        <v>7148</v>
      </c>
      <c r="Y4" s="5" t="s">
        <v>7149</v>
      </c>
      <c r="Z4" s="5" t="s">
        <v>97</v>
      </c>
      <c r="AA4" s="5" t="s">
        <v>2312</v>
      </c>
      <c r="AB4" s="5" t="s">
        <v>469</v>
      </c>
      <c r="AC4" s="5" t="s">
        <v>498</v>
      </c>
      <c r="AD4" s="5" t="s">
        <v>142</v>
      </c>
      <c r="AE4" s="5" t="s">
        <v>2391</v>
      </c>
      <c r="AF4" s="5" t="s">
        <v>213</v>
      </c>
      <c r="AG4" s="23" t="s">
        <v>1174</v>
      </c>
      <c r="AH4" s="23" t="s">
        <v>7128</v>
      </c>
      <c r="AI4" s="23" t="s">
        <v>2048</v>
      </c>
      <c r="AJ4" s="23" t="s">
        <v>7136</v>
      </c>
      <c r="AK4" s="23" t="s">
        <v>7160</v>
      </c>
      <c r="AL4" s="23" t="s">
        <v>7161</v>
      </c>
    </row>
    <row r="5" ht="15.0" customHeight="1">
      <c r="A5" s="249" t="s">
        <v>2172</v>
      </c>
      <c r="B5" s="249" t="s">
        <v>7126</v>
      </c>
      <c r="C5" s="249" t="s">
        <v>7162</v>
      </c>
      <c r="D5" s="249" t="s">
        <v>7128</v>
      </c>
      <c r="E5" s="249" t="str">
        <f t="shared" si="1"/>
        <v>POI-VIS</v>
      </c>
      <c r="F5" s="249" t="s">
        <v>7163</v>
      </c>
      <c r="G5" s="249" t="s">
        <v>7150</v>
      </c>
      <c r="H5" s="249" t="s">
        <v>7164</v>
      </c>
      <c r="I5" s="249" t="s">
        <v>7067</v>
      </c>
      <c r="J5" s="249" t="s">
        <v>7165</v>
      </c>
      <c r="K5" s="300" t="s">
        <v>7139</v>
      </c>
      <c r="L5" s="251" t="s">
        <v>7166</v>
      </c>
      <c r="M5" s="251">
        <v>31.6306908</v>
      </c>
      <c r="N5" s="251">
        <v>-7.98952</v>
      </c>
      <c r="O5" s="251" t="s">
        <v>7168</v>
      </c>
      <c r="P5" s="251" t="s">
        <v>7169</v>
      </c>
      <c r="Q5" s="251" t="s">
        <v>7170</v>
      </c>
      <c r="R5" s="251" t="s">
        <v>7171</v>
      </c>
      <c r="S5" s="251" t="s">
        <v>5801</v>
      </c>
      <c r="T5" s="300" t="s">
        <v>2208</v>
      </c>
      <c r="U5" s="251" t="s">
        <v>7173</v>
      </c>
      <c r="V5" s="251" t="s">
        <v>7146</v>
      </c>
      <c r="W5" s="249" t="s">
        <v>7147</v>
      </c>
      <c r="X5" s="249" t="s">
        <v>7174</v>
      </c>
      <c r="Y5" s="5" t="s">
        <v>7149</v>
      </c>
      <c r="Z5" s="5" t="s">
        <v>97</v>
      </c>
      <c r="AA5" s="5" t="s">
        <v>2312</v>
      </c>
      <c r="AB5" s="5" t="s">
        <v>469</v>
      </c>
      <c r="AC5" s="5" t="s">
        <v>498</v>
      </c>
      <c r="AD5" s="5" t="s">
        <v>142</v>
      </c>
      <c r="AE5" s="5" t="s">
        <v>2391</v>
      </c>
      <c r="AF5" s="5" t="s">
        <v>213</v>
      </c>
      <c r="AG5" s="23" t="s">
        <v>1174</v>
      </c>
      <c r="AH5" s="23" t="s">
        <v>7128</v>
      </c>
      <c r="AI5" s="23" t="s">
        <v>2048</v>
      </c>
      <c r="AJ5" s="23" t="s">
        <v>7176</v>
      </c>
      <c r="AK5" s="23" t="s">
        <v>7177</v>
      </c>
      <c r="AL5" s="23" t="s">
        <v>7178</v>
      </c>
    </row>
    <row r="6" ht="15.0" customHeight="1">
      <c r="A6" s="249" t="s">
        <v>2172</v>
      </c>
      <c r="B6" s="249" t="s">
        <v>7126</v>
      </c>
      <c r="C6" s="249" t="s">
        <v>7179</v>
      </c>
      <c r="D6" s="249" t="s">
        <v>7128</v>
      </c>
      <c r="E6" s="249" t="str">
        <f t="shared" si="1"/>
        <v>POI-VIS</v>
      </c>
      <c r="F6" s="249" t="s">
        <v>5721</v>
      </c>
      <c r="G6" s="249" t="s">
        <v>7136</v>
      </c>
      <c r="H6" s="249" t="s">
        <v>7137</v>
      </c>
      <c r="I6" s="249" t="s">
        <v>7067</v>
      </c>
      <c r="J6" s="249" t="s">
        <v>2306</v>
      </c>
      <c r="K6" s="300" t="s">
        <v>7139</v>
      </c>
      <c r="L6" s="251" t="s">
        <v>7180</v>
      </c>
      <c r="M6" s="251">
        <v>31.6319953</v>
      </c>
      <c r="N6" s="251">
        <v>-7.9842386</v>
      </c>
      <c r="O6" s="251" t="s">
        <v>7181</v>
      </c>
      <c r="P6" s="251" t="s">
        <v>7182</v>
      </c>
      <c r="Q6" s="251" t="s">
        <v>1229</v>
      </c>
      <c r="R6" s="251" t="s">
        <v>1229</v>
      </c>
      <c r="S6" s="251" t="s">
        <v>5801</v>
      </c>
      <c r="T6" s="300" t="s">
        <v>2208</v>
      </c>
      <c r="U6" s="251" t="s">
        <v>7183</v>
      </c>
      <c r="V6" s="251" t="s">
        <v>7146</v>
      </c>
      <c r="W6" s="249" t="s">
        <v>7147</v>
      </c>
      <c r="X6" s="249" t="s">
        <v>7174</v>
      </c>
      <c r="Y6" s="5" t="s">
        <v>7149</v>
      </c>
      <c r="Z6" s="5" t="s">
        <v>97</v>
      </c>
      <c r="AA6" s="5" t="s">
        <v>2312</v>
      </c>
      <c r="AB6" s="5" t="s">
        <v>469</v>
      </c>
      <c r="AC6" s="5" t="s">
        <v>498</v>
      </c>
      <c r="AD6" s="5" t="s">
        <v>142</v>
      </c>
      <c r="AE6" s="5" t="s">
        <v>2391</v>
      </c>
      <c r="AF6" s="5" t="s">
        <v>213</v>
      </c>
      <c r="AG6" s="23" t="s">
        <v>1174</v>
      </c>
      <c r="AH6" s="23" t="s">
        <v>7128</v>
      </c>
      <c r="AI6" s="23" t="s">
        <v>2048</v>
      </c>
      <c r="AJ6" s="23" t="s">
        <v>7184</v>
      </c>
      <c r="AK6" s="23" t="s">
        <v>7185</v>
      </c>
      <c r="AL6" s="23" t="s">
        <v>7186</v>
      </c>
    </row>
    <row r="7" ht="15.0" customHeight="1">
      <c r="A7" s="249" t="s">
        <v>2172</v>
      </c>
      <c r="B7" s="249" t="s">
        <v>7126</v>
      </c>
      <c r="C7" s="249" t="s">
        <v>7187</v>
      </c>
      <c r="D7" s="249" t="s">
        <v>7128</v>
      </c>
      <c r="E7" s="249" t="str">
        <f t="shared" si="1"/>
        <v>POI-VIS</v>
      </c>
      <c r="F7" s="249" t="s">
        <v>7188</v>
      </c>
      <c r="G7" s="249" t="s">
        <v>7154</v>
      </c>
      <c r="H7" s="249" t="s">
        <v>7155</v>
      </c>
      <c r="I7" s="249" t="s">
        <v>7067</v>
      </c>
      <c r="J7" s="249" t="s">
        <v>2306</v>
      </c>
      <c r="K7" s="300" t="s">
        <v>7139</v>
      </c>
      <c r="L7" s="251" t="s">
        <v>7189</v>
      </c>
      <c r="M7" s="251">
        <v>31.6320537</v>
      </c>
      <c r="N7" s="251">
        <v>-7.9862761</v>
      </c>
      <c r="O7" s="251" t="s">
        <v>7190</v>
      </c>
      <c r="P7" s="251" t="s">
        <v>7191</v>
      </c>
      <c r="Q7" s="251" t="s">
        <v>1229</v>
      </c>
      <c r="R7" s="251" t="s">
        <v>1229</v>
      </c>
      <c r="S7" s="251" t="s">
        <v>5801</v>
      </c>
      <c r="T7" s="300" t="s">
        <v>2208</v>
      </c>
      <c r="U7" s="251" t="s">
        <v>7192</v>
      </c>
      <c r="V7" s="251" t="s">
        <v>7146</v>
      </c>
      <c r="W7" s="249" t="s">
        <v>7147</v>
      </c>
      <c r="X7" s="249" t="s">
        <v>7174</v>
      </c>
      <c r="Y7" s="5" t="s">
        <v>7149</v>
      </c>
      <c r="Z7" s="5" t="s">
        <v>97</v>
      </c>
      <c r="AA7" s="5" t="s">
        <v>2312</v>
      </c>
      <c r="AB7" s="5" t="s">
        <v>469</v>
      </c>
      <c r="AC7" s="5" t="s">
        <v>498</v>
      </c>
      <c r="AD7" s="5" t="s">
        <v>142</v>
      </c>
      <c r="AE7" s="5" t="s">
        <v>2391</v>
      </c>
      <c r="AF7" s="5" t="s">
        <v>213</v>
      </c>
      <c r="AG7" s="23" t="s">
        <v>1174</v>
      </c>
      <c r="AH7" s="23" t="s">
        <v>7128</v>
      </c>
      <c r="AI7" s="23" t="s">
        <v>2048</v>
      </c>
      <c r="AJ7" s="23" t="s">
        <v>7194</v>
      </c>
      <c r="AK7" s="23" t="s">
        <v>7195</v>
      </c>
      <c r="AL7" s="23" t="s">
        <v>7196</v>
      </c>
    </row>
    <row r="8" ht="15.0" customHeight="1">
      <c r="A8" s="249" t="s">
        <v>2172</v>
      </c>
      <c r="B8" s="249" t="s">
        <v>7126</v>
      </c>
      <c r="C8" s="249" t="s">
        <v>7197</v>
      </c>
      <c r="D8" s="249" t="s">
        <v>7128</v>
      </c>
      <c r="E8" s="249" t="str">
        <f t="shared" si="1"/>
        <v>POI-VIS</v>
      </c>
      <c r="F8" s="249" t="s">
        <v>4630</v>
      </c>
      <c r="G8" s="249" t="s">
        <v>7176</v>
      </c>
      <c r="H8" s="249" t="s">
        <v>7198</v>
      </c>
      <c r="I8" s="249" t="s">
        <v>7067</v>
      </c>
      <c r="J8" s="249" t="s">
        <v>2306</v>
      </c>
      <c r="K8" s="300" t="s">
        <v>7139</v>
      </c>
      <c r="L8" s="251" t="s">
        <v>7199</v>
      </c>
      <c r="M8" s="251">
        <v>31.6259521</v>
      </c>
      <c r="N8" s="251">
        <v>-7.9890491</v>
      </c>
      <c r="O8" s="251" t="s">
        <v>7200</v>
      </c>
      <c r="P8" s="251" t="s">
        <v>1229</v>
      </c>
      <c r="Q8" s="251" t="s">
        <v>1229</v>
      </c>
      <c r="R8" s="251" t="s">
        <v>1229</v>
      </c>
      <c r="S8" s="251" t="s">
        <v>5801</v>
      </c>
      <c r="T8" s="300" t="s">
        <v>2208</v>
      </c>
      <c r="U8" s="251" t="s">
        <v>7201</v>
      </c>
      <c r="V8" s="251" t="s">
        <v>7146</v>
      </c>
      <c r="W8" s="249" t="s">
        <v>7147</v>
      </c>
      <c r="X8" s="249" t="s">
        <v>7202</v>
      </c>
      <c r="Y8" s="5" t="s">
        <v>7149</v>
      </c>
      <c r="Z8" s="5" t="s">
        <v>97</v>
      </c>
      <c r="AA8" s="5" t="s">
        <v>2312</v>
      </c>
      <c r="AB8" s="5" t="s">
        <v>469</v>
      </c>
      <c r="AC8" s="5" t="s">
        <v>498</v>
      </c>
      <c r="AD8" s="5" t="s">
        <v>142</v>
      </c>
      <c r="AE8" s="5" t="s">
        <v>2391</v>
      </c>
      <c r="AF8" s="5" t="s">
        <v>213</v>
      </c>
      <c r="AG8" s="23" t="s">
        <v>1174</v>
      </c>
      <c r="AH8" s="23" t="s">
        <v>7128</v>
      </c>
      <c r="AI8" s="23" t="s">
        <v>2048</v>
      </c>
      <c r="AJ8" s="23" t="s">
        <v>7203</v>
      </c>
      <c r="AK8" s="23" t="s">
        <v>7204</v>
      </c>
      <c r="AL8" s="23" t="s">
        <v>7205</v>
      </c>
    </row>
    <row r="9" ht="15.0" customHeight="1">
      <c r="A9" s="249" t="s">
        <v>2172</v>
      </c>
      <c r="B9" s="249" t="s">
        <v>7126</v>
      </c>
      <c r="C9" s="249" t="s">
        <v>7206</v>
      </c>
      <c r="D9" s="249" t="s">
        <v>7128</v>
      </c>
      <c r="E9" s="249" t="str">
        <f t="shared" si="1"/>
        <v>POI-VIS</v>
      </c>
      <c r="F9" s="249" t="s">
        <v>7207</v>
      </c>
      <c r="G9" s="249" t="s">
        <v>7154</v>
      </c>
      <c r="H9" s="249" t="s">
        <v>7155</v>
      </c>
      <c r="I9" s="249" t="s">
        <v>7067</v>
      </c>
      <c r="J9" s="249" t="s">
        <v>2306</v>
      </c>
      <c r="K9" s="300" t="s">
        <v>7139</v>
      </c>
      <c r="L9" s="251" t="s">
        <v>7208</v>
      </c>
      <c r="M9" s="251">
        <v>31.6237205</v>
      </c>
      <c r="N9" s="251">
        <v>-7.9936196</v>
      </c>
      <c r="O9" s="251" t="s">
        <v>7209</v>
      </c>
      <c r="P9" s="251" t="s">
        <v>7210</v>
      </c>
      <c r="Q9" s="251" t="s">
        <v>1229</v>
      </c>
      <c r="R9" s="251" t="s">
        <v>1229</v>
      </c>
      <c r="S9" s="251" t="s">
        <v>5801</v>
      </c>
      <c r="T9" s="300" t="s">
        <v>2208</v>
      </c>
      <c r="U9" s="251" t="s">
        <v>7211</v>
      </c>
      <c r="V9" s="251" t="s">
        <v>7146</v>
      </c>
      <c r="W9" s="249" t="s">
        <v>7147</v>
      </c>
      <c r="X9" s="249" t="s">
        <v>7212</v>
      </c>
      <c r="Y9" s="5" t="s">
        <v>7149</v>
      </c>
      <c r="Z9" s="5" t="s">
        <v>97</v>
      </c>
      <c r="AA9" s="5" t="s">
        <v>2312</v>
      </c>
      <c r="AB9" s="5" t="s">
        <v>469</v>
      </c>
      <c r="AC9" s="5" t="s">
        <v>498</v>
      </c>
      <c r="AD9" s="5" t="s">
        <v>142</v>
      </c>
      <c r="AE9" s="5" t="s">
        <v>2391</v>
      </c>
      <c r="AF9" s="5" t="s">
        <v>213</v>
      </c>
      <c r="AG9" s="23" t="s">
        <v>1174</v>
      </c>
      <c r="AH9" s="23" t="s">
        <v>7128</v>
      </c>
      <c r="AI9" s="23" t="s">
        <v>2048</v>
      </c>
      <c r="AJ9" s="23" t="s">
        <v>7154</v>
      </c>
      <c r="AK9" s="23" t="s">
        <v>7213</v>
      </c>
      <c r="AL9" s="23" t="s">
        <v>7214</v>
      </c>
    </row>
    <row r="10" ht="15.0" customHeight="1">
      <c r="A10" s="249" t="s">
        <v>2172</v>
      </c>
      <c r="B10" s="249" t="s">
        <v>7126</v>
      </c>
      <c r="C10" s="249" t="s">
        <v>7215</v>
      </c>
      <c r="D10" s="249" t="s">
        <v>7128</v>
      </c>
      <c r="E10" s="249" t="str">
        <f t="shared" si="1"/>
        <v>POI-VIS</v>
      </c>
      <c r="F10" s="249" t="s">
        <v>6446</v>
      </c>
      <c r="G10" s="249" t="s">
        <v>7154</v>
      </c>
      <c r="H10" s="249" t="s">
        <v>7155</v>
      </c>
      <c r="I10" s="249" t="s">
        <v>7067</v>
      </c>
      <c r="J10" s="249" t="s">
        <v>2306</v>
      </c>
      <c r="K10" s="300" t="s">
        <v>7139</v>
      </c>
      <c r="L10" s="251" t="s">
        <v>7216</v>
      </c>
      <c r="M10" s="251">
        <v>31.6182364</v>
      </c>
      <c r="N10" s="251">
        <v>-7.9858623</v>
      </c>
      <c r="O10" s="251" t="s">
        <v>7157</v>
      </c>
      <c r="P10" s="251" t="s">
        <v>1229</v>
      </c>
      <c r="Q10" s="251" t="s">
        <v>1229</v>
      </c>
      <c r="R10" s="251" t="s">
        <v>1229</v>
      </c>
      <c r="S10" s="251" t="s">
        <v>5801</v>
      </c>
      <c r="T10" s="300" t="s">
        <v>2208</v>
      </c>
      <c r="U10" s="251" t="s">
        <v>7218</v>
      </c>
      <c r="V10" s="251" t="s">
        <v>7146</v>
      </c>
      <c r="W10" s="249" t="s">
        <v>7147</v>
      </c>
      <c r="X10" s="249" t="s">
        <v>7148</v>
      </c>
      <c r="Y10" s="5" t="s">
        <v>7149</v>
      </c>
      <c r="Z10" s="5" t="s">
        <v>97</v>
      </c>
      <c r="AA10" s="5" t="s">
        <v>2312</v>
      </c>
      <c r="AB10" s="5" t="s">
        <v>469</v>
      </c>
      <c r="AC10" s="5" t="s">
        <v>498</v>
      </c>
      <c r="AD10" s="5" t="s">
        <v>142</v>
      </c>
      <c r="AE10" s="5" t="s">
        <v>2391</v>
      </c>
      <c r="AF10" s="5" t="s">
        <v>213</v>
      </c>
      <c r="AG10" s="23" t="s">
        <v>1174</v>
      </c>
      <c r="AH10" s="23" t="s">
        <v>7219</v>
      </c>
      <c r="AI10" s="23" t="s">
        <v>2051</v>
      </c>
      <c r="AJ10" s="23" t="s">
        <v>7220</v>
      </c>
      <c r="AK10" s="23" t="s">
        <v>7221</v>
      </c>
      <c r="AL10" s="23" t="s">
        <v>7222</v>
      </c>
    </row>
    <row r="11" ht="15.0" customHeight="1">
      <c r="A11" s="249" t="s">
        <v>2172</v>
      </c>
      <c r="B11" s="249" t="s">
        <v>7126</v>
      </c>
      <c r="C11" s="249" t="s">
        <v>7223</v>
      </c>
      <c r="D11" s="249" t="s">
        <v>7128</v>
      </c>
      <c r="E11" s="249" t="str">
        <f t="shared" si="1"/>
        <v>POI-VIS</v>
      </c>
      <c r="F11" s="249" t="s">
        <v>7224</v>
      </c>
      <c r="G11" s="249" t="s">
        <v>7154</v>
      </c>
      <c r="H11" s="249" t="s">
        <v>7155</v>
      </c>
      <c r="I11" s="249" t="s">
        <v>7067</v>
      </c>
      <c r="J11" s="249" t="s">
        <v>2443</v>
      </c>
      <c r="K11" s="300" t="s">
        <v>7139</v>
      </c>
      <c r="L11" s="251" t="s">
        <v>7225</v>
      </c>
      <c r="M11" s="251">
        <v>31.6173553</v>
      </c>
      <c r="N11" s="251">
        <v>-7.9887607</v>
      </c>
      <c r="O11" s="251" t="s">
        <v>7157</v>
      </c>
      <c r="P11" s="251" t="s">
        <v>1229</v>
      </c>
      <c r="Q11" s="251" t="s">
        <v>1229</v>
      </c>
      <c r="R11" s="251" t="s">
        <v>1229</v>
      </c>
      <c r="S11" s="251" t="s">
        <v>5801</v>
      </c>
      <c r="T11" s="300" t="s">
        <v>2208</v>
      </c>
      <c r="U11" s="251" t="s">
        <v>7226</v>
      </c>
      <c r="V11" s="251" t="s">
        <v>7146</v>
      </c>
      <c r="W11" s="249" t="s">
        <v>7147</v>
      </c>
      <c r="X11" s="249" t="s">
        <v>7227</v>
      </c>
      <c r="Y11" s="5" t="s">
        <v>7149</v>
      </c>
      <c r="Z11" s="5" t="s">
        <v>97</v>
      </c>
      <c r="AA11" s="5" t="s">
        <v>2312</v>
      </c>
      <c r="AB11" s="5" t="s">
        <v>469</v>
      </c>
      <c r="AC11" s="5" t="s">
        <v>498</v>
      </c>
      <c r="AD11" s="5" t="s">
        <v>142</v>
      </c>
      <c r="AE11" s="5" t="s">
        <v>2391</v>
      </c>
      <c r="AF11" s="5" t="s">
        <v>213</v>
      </c>
      <c r="AG11" s="23" t="s">
        <v>1174</v>
      </c>
      <c r="AH11" s="23" t="s">
        <v>7219</v>
      </c>
      <c r="AI11" s="23" t="s">
        <v>2051</v>
      </c>
      <c r="AJ11" s="23" t="s">
        <v>7228</v>
      </c>
      <c r="AK11" s="23" t="s">
        <v>7229</v>
      </c>
      <c r="AL11" s="23" t="s">
        <v>7230</v>
      </c>
    </row>
    <row r="12" ht="15.0" customHeight="1">
      <c r="A12" s="249" t="s">
        <v>2172</v>
      </c>
      <c r="B12" s="249" t="s">
        <v>7126</v>
      </c>
      <c r="C12" s="249" t="s">
        <v>7231</v>
      </c>
      <c r="D12" s="249" t="s">
        <v>7128</v>
      </c>
      <c r="E12" s="249" t="str">
        <f t="shared" si="1"/>
        <v>POI-VIS</v>
      </c>
      <c r="F12" s="249" t="s">
        <v>7232</v>
      </c>
      <c r="G12" s="249" t="s">
        <v>7136</v>
      </c>
      <c r="H12" s="249" t="s">
        <v>7137</v>
      </c>
      <c r="I12" s="249" t="s">
        <v>7067</v>
      </c>
      <c r="J12" s="249" t="s">
        <v>2306</v>
      </c>
      <c r="K12" s="300" t="s">
        <v>7139</v>
      </c>
      <c r="L12" s="251" t="s">
        <v>7233</v>
      </c>
      <c r="M12" s="251">
        <v>31.6316423</v>
      </c>
      <c r="N12" s="251">
        <v>-7.9862131</v>
      </c>
      <c r="O12" s="251" t="s">
        <v>7234</v>
      </c>
      <c r="P12" s="251" t="s">
        <v>7235</v>
      </c>
      <c r="Q12" s="251" t="s">
        <v>1229</v>
      </c>
      <c r="R12" s="251" t="s">
        <v>1229</v>
      </c>
      <c r="S12" s="251" t="s">
        <v>5801</v>
      </c>
      <c r="T12" s="300" t="s">
        <v>2208</v>
      </c>
      <c r="U12" s="251" t="s">
        <v>7236</v>
      </c>
      <c r="V12" s="251" t="s">
        <v>7146</v>
      </c>
      <c r="W12" s="249" t="s">
        <v>7147</v>
      </c>
      <c r="X12" s="249" t="s">
        <v>7174</v>
      </c>
      <c r="Y12" s="5" t="s">
        <v>7149</v>
      </c>
      <c r="Z12" s="5" t="s">
        <v>97</v>
      </c>
      <c r="AA12" s="5" t="s">
        <v>2312</v>
      </c>
      <c r="AB12" s="5" t="s">
        <v>469</v>
      </c>
      <c r="AC12" s="5" t="s">
        <v>498</v>
      </c>
      <c r="AD12" s="5" t="s">
        <v>142</v>
      </c>
      <c r="AE12" s="5" t="s">
        <v>2391</v>
      </c>
      <c r="AF12" s="5" t="s">
        <v>213</v>
      </c>
      <c r="AG12" s="23" t="s">
        <v>1174</v>
      </c>
      <c r="AH12" s="23" t="s">
        <v>7219</v>
      </c>
      <c r="AI12" s="23" t="s">
        <v>2051</v>
      </c>
      <c r="AJ12" s="23" t="s">
        <v>7237</v>
      </c>
      <c r="AK12" s="23" t="s">
        <v>7238</v>
      </c>
      <c r="AL12" s="23" t="s">
        <v>7239</v>
      </c>
    </row>
    <row r="13" ht="15.0" customHeight="1">
      <c r="A13" s="249" t="s">
        <v>2172</v>
      </c>
      <c r="B13" s="249" t="s">
        <v>7126</v>
      </c>
      <c r="C13" s="249" t="s">
        <v>7241</v>
      </c>
      <c r="D13" s="249" t="s">
        <v>7128</v>
      </c>
      <c r="E13" s="249" t="str">
        <f t="shared" si="1"/>
        <v>POI-VIS</v>
      </c>
      <c r="F13" s="249" t="s">
        <v>7242</v>
      </c>
      <c r="G13" s="249" t="s">
        <v>7136</v>
      </c>
      <c r="H13" s="249" t="s">
        <v>7137</v>
      </c>
      <c r="I13" s="249" t="s">
        <v>7067</v>
      </c>
      <c r="J13" s="249" t="s">
        <v>2306</v>
      </c>
      <c r="K13" s="300" t="s">
        <v>7139</v>
      </c>
      <c r="L13" s="251" t="s">
        <v>7243</v>
      </c>
      <c r="M13" s="251">
        <v>31.6231207</v>
      </c>
      <c r="N13" s="251">
        <v>-7.9838768</v>
      </c>
      <c r="O13" s="251" t="s">
        <v>7245</v>
      </c>
      <c r="P13" s="251" t="s">
        <v>7246</v>
      </c>
      <c r="Q13" s="251" t="s">
        <v>1229</v>
      </c>
      <c r="R13" s="251" t="s">
        <v>1229</v>
      </c>
      <c r="S13" s="251" t="s">
        <v>5801</v>
      </c>
      <c r="T13" s="300" t="s">
        <v>2208</v>
      </c>
      <c r="U13" s="251" t="s">
        <v>7247</v>
      </c>
      <c r="V13" s="251" t="s">
        <v>7146</v>
      </c>
      <c r="W13" s="249" t="s">
        <v>7147</v>
      </c>
      <c r="X13" s="249" t="s">
        <v>7174</v>
      </c>
      <c r="Y13" s="5" t="s">
        <v>7149</v>
      </c>
      <c r="Z13" s="5" t="s">
        <v>97</v>
      </c>
      <c r="AA13" s="5" t="s">
        <v>2312</v>
      </c>
      <c r="AB13" s="5" t="s">
        <v>469</v>
      </c>
      <c r="AC13" s="5" t="s">
        <v>498</v>
      </c>
      <c r="AD13" s="5" t="s">
        <v>142</v>
      </c>
      <c r="AE13" s="5" t="s">
        <v>2391</v>
      </c>
      <c r="AF13" s="5" t="s">
        <v>213</v>
      </c>
      <c r="AG13" s="23" t="s">
        <v>1174</v>
      </c>
      <c r="AH13" s="23" t="s">
        <v>7219</v>
      </c>
      <c r="AI13" s="23" t="s">
        <v>2051</v>
      </c>
      <c r="AJ13" s="23" t="s">
        <v>7248</v>
      </c>
      <c r="AK13" s="23" t="s">
        <v>7249</v>
      </c>
      <c r="AL13" s="23" t="s">
        <v>7250</v>
      </c>
    </row>
    <row r="14" ht="15.0" customHeight="1">
      <c r="A14" s="249" t="s">
        <v>2172</v>
      </c>
      <c r="B14" s="249" t="s">
        <v>7126</v>
      </c>
      <c r="C14" s="249" t="s">
        <v>7251</v>
      </c>
      <c r="D14" s="249" t="s">
        <v>7128</v>
      </c>
      <c r="E14" s="249" t="str">
        <f t="shared" si="1"/>
        <v>POI-VIS</v>
      </c>
      <c r="F14" s="249" t="s">
        <v>7252</v>
      </c>
      <c r="G14" s="249" t="s">
        <v>7136</v>
      </c>
      <c r="H14" s="249" t="s">
        <v>7137</v>
      </c>
      <c r="I14" s="249" t="s">
        <v>7067</v>
      </c>
      <c r="J14" s="249" t="s">
        <v>2306</v>
      </c>
      <c r="K14" s="300" t="s">
        <v>7139</v>
      </c>
      <c r="L14" s="251" t="s">
        <v>7253</v>
      </c>
      <c r="M14" s="251">
        <v>31.6314376</v>
      </c>
      <c r="N14" s="251">
        <v>-7.9922895</v>
      </c>
      <c r="O14" s="251" t="s">
        <v>7254</v>
      </c>
      <c r="P14" s="251" t="s">
        <v>1229</v>
      </c>
      <c r="Q14" s="251" t="s">
        <v>1229</v>
      </c>
      <c r="R14" s="251" t="s">
        <v>1229</v>
      </c>
      <c r="S14" s="251" t="s">
        <v>5801</v>
      </c>
      <c r="T14" s="300" t="s">
        <v>2208</v>
      </c>
      <c r="U14" s="251" t="s">
        <v>7255</v>
      </c>
      <c r="V14" s="251" t="s">
        <v>7146</v>
      </c>
      <c r="W14" s="249" t="s">
        <v>7147</v>
      </c>
      <c r="X14" s="249" t="s">
        <v>7174</v>
      </c>
      <c r="Y14" s="5" t="s">
        <v>7149</v>
      </c>
      <c r="Z14" s="5" t="s">
        <v>97</v>
      </c>
      <c r="AA14" s="5" t="s">
        <v>2312</v>
      </c>
      <c r="AB14" s="5" t="s">
        <v>469</v>
      </c>
      <c r="AC14" s="5" t="s">
        <v>498</v>
      </c>
      <c r="AD14" s="5" t="s">
        <v>142</v>
      </c>
      <c r="AE14" s="5" t="s">
        <v>2391</v>
      </c>
      <c r="AF14" s="5" t="s">
        <v>213</v>
      </c>
      <c r="AG14" s="23" t="s">
        <v>1174</v>
      </c>
      <c r="AH14" s="23" t="s">
        <v>7219</v>
      </c>
      <c r="AI14" s="23" t="s">
        <v>2051</v>
      </c>
      <c r="AJ14" s="23" t="s">
        <v>7256</v>
      </c>
      <c r="AK14" s="23" t="s">
        <v>7257</v>
      </c>
      <c r="AL14" s="23" t="s">
        <v>7258</v>
      </c>
    </row>
    <row r="15" ht="15.0" customHeight="1">
      <c r="A15" s="249" t="s">
        <v>2172</v>
      </c>
      <c r="B15" s="249" t="s">
        <v>7126</v>
      </c>
      <c r="C15" s="249" t="s">
        <v>7259</v>
      </c>
      <c r="D15" s="249" t="s">
        <v>7128</v>
      </c>
      <c r="E15" s="249" t="str">
        <f t="shared" si="1"/>
        <v>POI-VIS</v>
      </c>
      <c r="F15" s="249" t="s">
        <v>7260</v>
      </c>
      <c r="G15" s="249" t="s">
        <v>7150</v>
      </c>
      <c r="H15" s="249" t="s">
        <v>7261</v>
      </c>
      <c r="I15" s="249" t="s">
        <v>7067</v>
      </c>
      <c r="J15" s="249" t="s">
        <v>7262</v>
      </c>
      <c r="K15" s="300" t="s">
        <v>7139</v>
      </c>
      <c r="L15" s="251" t="s">
        <v>7263</v>
      </c>
      <c r="M15" s="251">
        <v>31.6143271</v>
      </c>
      <c r="N15" s="251">
        <v>-8.0225425</v>
      </c>
      <c r="O15" s="251" t="s">
        <v>7264</v>
      </c>
      <c r="P15" s="251" t="s">
        <v>1229</v>
      </c>
      <c r="Q15" s="251" t="s">
        <v>1229</v>
      </c>
      <c r="R15" s="251" t="s">
        <v>1229</v>
      </c>
      <c r="S15" s="251" t="s">
        <v>5801</v>
      </c>
      <c r="T15" s="300" t="s">
        <v>2208</v>
      </c>
      <c r="U15" s="251" t="s">
        <v>7265</v>
      </c>
      <c r="V15" s="251" t="s">
        <v>7146</v>
      </c>
      <c r="W15" s="249" t="s">
        <v>7147</v>
      </c>
      <c r="X15" s="249" t="s">
        <v>7174</v>
      </c>
      <c r="Y15" s="5" t="s">
        <v>7149</v>
      </c>
      <c r="Z15" s="5" t="s">
        <v>97</v>
      </c>
      <c r="AA15" s="5" t="s">
        <v>2312</v>
      </c>
      <c r="AB15" s="5" t="s">
        <v>469</v>
      </c>
      <c r="AC15" s="5" t="s">
        <v>498</v>
      </c>
      <c r="AD15" s="5" t="s">
        <v>142</v>
      </c>
      <c r="AE15" s="5" t="s">
        <v>2391</v>
      </c>
      <c r="AF15" s="5" t="s">
        <v>213</v>
      </c>
      <c r="AG15" s="23" t="s">
        <v>1174</v>
      </c>
      <c r="AH15" s="23" t="s">
        <v>7219</v>
      </c>
      <c r="AI15" s="23" t="s">
        <v>2051</v>
      </c>
      <c r="AJ15" s="23" t="s">
        <v>7266</v>
      </c>
      <c r="AK15" s="23" t="s">
        <v>7267</v>
      </c>
      <c r="AL15" s="23" t="s">
        <v>7268</v>
      </c>
    </row>
    <row r="16" ht="15.0" customHeight="1">
      <c r="A16" s="249" t="s">
        <v>2172</v>
      </c>
      <c r="B16" s="249" t="s">
        <v>7126</v>
      </c>
      <c r="C16" s="249" t="s">
        <v>7269</v>
      </c>
      <c r="D16" s="249" t="s">
        <v>7128</v>
      </c>
      <c r="E16" s="249" t="str">
        <f t="shared" si="1"/>
        <v>POI-VIS</v>
      </c>
      <c r="F16" s="249" t="s">
        <v>4829</v>
      </c>
      <c r="G16" s="249" t="s">
        <v>7150</v>
      </c>
      <c r="H16" s="249" t="s">
        <v>7261</v>
      </c>
      <c r="I16" s="249" t="s">
        <v>7067</v>
      </c>
      <c r="J16" s="249" t="s">
        <v>7271</v>
      </c>
      <c r="K16" s="300" t="s">
        <v>7139</v>
      </c>
      <c r="L16" s="251" t="s">
        <v>7272</v>
      </c>
      <c r="M16" s="251">
        <v>31.4007468</v>
      </c>
      <c r="N16" s="251">
        <v>-7.8259577</v>
      </c>
      <c r="O16" s="251" t="s">
        <v>7273</v>
      </c>
      <c r="P16" s="251" t="s">
        <v>7274</v>
      </c>
      <c r="Q16" s="251" t="s">
        <v>1229</v>
      </c>
      <c r="R16" s="251" t="s">
        <v>1229</v>
      </c>
      <c r="S16" s="251" t="s">
        <v>5801</v>
      </c>
      <c r="T16" s="300" t="s">
        <v>2208</v>
      </c>
      <c r="U16" s="251" t="s">
        <v>7275</v>
      </c>
      <c r="V16" s="251" t="s">
        <v>7146</v>
      </c>
      <c r="W16" s="249" t="s">
        <v>7147</v>
      </c>
      <c r="X16" s="249" t="s">
        <v>7276</v>
      </c>
      <c r="Y16" s="5" t="s">
        <v>7149</v>
      </c>
      <c r="Z16" s="5" t="s">
        <v>97</v>
      </c>
      <c r="AA16" s="5" t="s">
        <v>2312</v>
      </c>
      <c r="AB16" s="5" t="s">
        <v>469</v>
      </c>
      <c r="AC16" s="5" t="s">
        <v>498</v>
      </c>
      <c r="AD16" s="5" t="s">
        <v>142</v>
      </c>
      <c r="AE16" s="5" t="s">
        <v>2391</v>
      </c>
      <c r="AF16" s="5" t="s">
        <v>213</v>
      </c>
      <c r="AG16" s="23" t="s">
        <v>1174</v>
      </c>
      <c r="AH16" s="23" t="s">
        <v>7219</v>
      </c>
      <c r="AI16" s="23" t="s">
        <v>2051</v>
      </c>
      <c r="AJ16" s="23" t="s">
        <v>7277</v>
      </c>
      <c r="AK16" s="23" t="s">
        <v>7278</v>
      </c>
      <c r="AL16" s="23" t="s">
        <v>7279</v>
      </c>
    </row>
    <row r="17" ht="15.0" customHeight="1">
      <c r="A17" s="249" t="s">
        <v>2172</v>
      </c>
      <c r="B17" s="249" t="s">
        <v>7126</v>
      </c>
      <c r="C17" s="249" t="s">
        <v>7280</v>
      </c>
      <c r="D17" s="249" t="s">
        <v>7281</v>
      </c>
      <c r="E17" s="249" t="str">
        <f t="shared" si="1"/>
        <v>POI-VUE</v>
      </c>
      <c r="F17" s="249" t="s">
        <v>4060</v>
      </c>
      <c r="G17" s="249" t="s">
        <v>7282</v>
      </c>
      <c r="H17" s="249" t="s">
        <v>7283</v>
      </c>
      <c r="I17" s="249" t="s">
        <v>7067</v>
      </c>
      <c r="J17" s="249" t="s">
        <v>7284</v>
      </c>
      <c r="K17" s="300" t="s">
        <v>7139</v>
      </c>
      <c r="L17" s="251" t="s">
        <v>7285</v>
      </c>
      <c r="M17" s="251">
        <v>31.4896832</v>
      </c>
      <c r="N17" s="251">
        <v>-8.1879744</v>
      </c>
      <c r="O17" s="251" t="s">
        <v>7286</v>
      </c>
      <c r="P17" s="251" t="s">
        <v>1229</v>
      </c>
      <c r="Q17" s="251" t="s">
        <v>1229</v>
      </c>
      <c r="R17" s="251" t="s">
        <v>1229</v>
      </c>
      <c r="S17" s="251" t="s">
        <v>5801</v>
      </c>
      <c r="T17" s="300" t="s">
        <v>2208</v>
      </c>
      <c r="U17" s="251" t="s">
        <v>7287</v>
      </c>
      <c r="V17" s="251" t="s">
        <v>7146</v>
      </c>
      <c r="W17" s="249" t="s">
        <v>7147</v>
      </c>
      <c r="X17" s="249" t="s">
        <v>7288</v>
      </c>
      <c r="Y17" s="5" t="s">
        <v>7149</v>
      </c>
      <c r="Z17" s="5" t="s">
        <v>97</v>
      </c>
      <c r="AA17" s="5" t="s">
        <v>2312</v>
      </c>
      <c r="AB17" s="5" t="s">
        <v>469</v>
      </c>
      <c r="AC17" s="5" t="s">
        <v>498</v>
      </c>
      <c r="AD17" s="5" t="s">
        <v>142</v>
      </c>
      <c r="AE17" s="5" t="s">
        <v>2391</v>
      </c>
      <c r="AF17" s="5" t="s">
        <v>213</v>
      </c>
      <c r="AG17" s="23" t="s">
        <v>1174</v>
      </c>
      <c r="AH17" s="23" t="s">
        <v>7219</v>
      </c>
      <c r="AI17" s="23" t="s">
        <v>2051</v>
      </c>
      <c r="AJ17" s="23" t="s">
        <v>7289</v>
      </c>
      <c r="AK17" s="23" t="s">
        <v>7290</v>
      </c>
      <c r="AL17" s="23" t="s">
        <v>7291</v>
      </c>
    </row>
    <row r="18" ht="15.0" customHeight="1">
      <c r="A18" s="249" t="s">
        <v>2172</v>
      </c>
      <c r="B18" s="249" t="s">
        <v>7126</v>
      </c>
      <c r="C18" s="249" t="s">
        <v>7292</v>
      </c>
      <c r="D18" s="249" t="s">
        <v>7281</v>
      </c>
      <c r="E18" s="249" t="str">
        <f t="shared" si="1"/>
        <v>POI-VUE</v>
      </c>
      <c r="F18" s="249" t="s">
        <v>3102</v>
      </c>
      <c r="G18" s="249" t="s">
        <v>7293</v>
      </c>
      <c r="H18" s="249" t="s">
        <v>7294</v>
      </c>
      <c r="I18" s="249" t="s">
        <v>7067</v>
      </c>
      <c r="J18" s="249" t="s">
        <v>7295</v>
      </c>
      <c r="K18" s="300" t="s">
        <v>7139</v>
      </c>
      <c r="L18" s="251" t="s">
        <v>7296</v>
      </c>
      <c r="M18" s="251">
        <v>31.3437799</v>
      </c>
      <c r="N18" s="251">
        <v>-7.7514304</v>
      </c>
      <c r="O18" s="251" t="s">
        <v>7297</v>
      </c>
      <c r="P18" s="251" t="s">
        <v>1229</v>
      </c>
      <c r="Q18" s="251" t="s">
        <v>1229</v>
      </c>
      <c r="R18" s="251" t="s">
        <v>1229</v>
      </c>
      <c r="S18" s="251" t="s">
        <v>5801</v>
      </c>
      <c r="T18" s="300" t="s">
        <v>2208</v>
      </c>
      <c r="U18" s="251" t="s">
        <v>7298</v>
      </c>
      <c r="V18" s="251" t="s">
        <v>7146</v>
      </c>
      <c r="W18" s="249" t="s">
        <v>7147</v>
      </c>
      <c r="X18" s="249" t="s">
        <v>7299</v>
      </c>
      <c r="Y18" s="5" t="s">
        <v>7149</v>
      </c>
      <c r="Z18" s="5" t="s">
        <v>97</v>
      </c>
      <c r="AA18" s="5" t="s">
        <v>2312</v>
      </c>
      <c r="AB18" s="5" t="s">
        <v>469</v>
      </c>
      <c r="AC18" s="5" t="s">
        <v>498</v>
      </c>
      <c r="AD18" s="5" t="s">
        <v>142</v>
      </c>
      <c r="AE18" s="5" t="s">
        <v>2391</v>
      </c>
      <c r="AF18" s="5" t="s">
        <v>213</v>
      </c>
      <c r="AG18" s="23" t="s">
        <v>1174</v>
      </c>
      <c r="AH18" s="23" t="s">
        <v>7219</v>
      </c>
      <c r="AI18" s="23" t="s">
        <v>2051</v>
      </c>
      <c r="AJ18" s="23" t="s">
        <v>7302</v>
      </c>
      <c r="AK18" s="23" t="s">
        <v>7303</v>
      </c>
      <c r="AL18" s="23" t="s">
        <v>7304</v>
      </c>
    </row>
    <row r="19" ht="15.0" customHeight="1">
      <c r="A19" s="249" t="s">
        <v>2172</v>
      </c>
      <c r="B19" s="249" t="s">
        <v>7126</v>
      </c>
      <c r="C19" s="249" t="s">
        <v>7306</v>
      </c>
      <c r="D19" s="249" t="s">
        <v>7281</v>
      </c>
      <c r="E19" s="249" t="str">
        <f t="shared" si="1"/>
        <v>POI-VUE</v>
      </c>
      <c r="F19" s="249" t="s">
        <v>7307</v>
      </c>
      <c r="G19" s="249" t="s">
        <v>7293</v>
      </c>
      <c r="H19" s="249" t="s">
        <v>7309</v>
      </c>
      <c r="I19" s="249" t="s">
        <v>7067</v>
      </c>
      <c r="J19" s="249" t="s">
        <v>7310</v>
      </c>
      <c r="K19" s="300" t="s">
        <v>7139</v>
      </c>
      <c r="L19" s="251" t="s">
        <v>7311</v>
      </c>
      <c r="M19" s="251">
        <v>31.2026742</v>
      </c>
      <c r="N19" s="251">
        <v>-7.8585562</v>
      </c>
      <c r="O19" s="251" t="s">
        <v>7312</v>
      </c>
      <c r="P19" s="251" t="s">
        <v>1229</v>
      </c>
      <c r="Q19" s="251" t="s">
        <v>1229</v>
      </c>
      <c r="R19" s="251" t="s">
        <v>1229</v>
      </c>
      <c r="S19" s="251" t="s">
        <v>5801</v>
      </c>
      <c r="T19" s="300" t="s">
        <v>2208</v>
      </c>
      <c r="U19" s="251" t="s">
        <v>7313</v>
      </c>
      <c r="V19" s="251" t="s">
        <v>7146</v>
      </c>
      <c r="W19" s="249" t="s">
        <v>7147</v>
      </c>
      <c r="X19" s="249" t="s">
        <v>7299</v>
      </c>
      <c r="Y19" s="5" t="s">
        <v>7149</v>
      </c>
      <c r="Z19" s="5" t="s">
        <v>97</v>
      </c>
      <c r="AA19" s="5" t="s">
        <v>2312</v>
      </c>
      <c r="AB19" s="5" t="s">
        <v>469</v>
      </c>
      <c r="AC19" s="5" t="s">
        <v>498</v>
      </c>
      <c r="AD19" s="5" t="s">
        <v>142</v>
      </c>
      <c r="AE19" s="5" t="s">
        <v>2391</v>
      </c>
      <c r="AF19" s="5" t="s">
        <v>213</v>
      </c>
      <c r="AG19" s="23" t="s">
        <v>1174</v>
      </c>
      <c r="AH19" s="23" t="s">
        <v>7219</v>
      </c>
      <c r="AI19" s="23" t="s">
        <v>2051</v>
      </c>
      <c r="AJ19" s="23" t="s">
        <v>7314</v>
      </c>
      <c r="AK19" s="23" t="s">
        <v>7316</v>
      </c>
      <c r="AL19" s="23" t="s">
        <v>7317</v>
      </c>
    </row>
    <row r="20" ht="15.0" customHeight="1">
      <c r="A20" s="249" t="s">
        <v>2172</v>
      </c>
      <c r="B20" s="249" t="s">
        <v>7126</v>
      </c>
      <c r="C20" s="249" t="s">
        <v>7319</v>
      </c>
      <c r="D20" s="249" t="s">
        <v>7281</v>
      </c>
      <c r="E20" s="249" t="str">
        <f t="shared" si="1"/>
        <v>POI-VUE</v>
      </c>
      <c r="F20" s="249" t="s">
        <v>7320</v>
      </c>
      <c r="G20" s="249" t="s">
        <v>7293</v>
      </c>
      <c r="H20" s="249" t="s">
        <v>7283</v>
      </c>
      <c r="I20" s="249" t="s">
        <v>7067</v>
      </c>
      <c r="J20" s="249" t="s">
        <v>7323</v>
      </c>
      <c r="K20" s="300" t="s">
        <v>7139</v>
      </c>
      <c r="L20" s="251" t="s">
        <v>7324</v>
      </c>
      <c r="M20" s="251">
        <v>31.3508556</v>
      </c>
      <c r="N20" s="251">
        <v>-8.1238737</v>
      </c>
      <c r="O20" s="251" t="s">
        <v>7297</v>
      </c>
      <c r="P20" s="251" t="s">
        <v>1229</v>
      </c>
      <c r="Q20" s="251" t="s">
        <v>1229</v>
      </c>
      <c r="R20" s="251" t="s">
        <v>1229</v>
      </c>
      <c r="S20" s="251" t="s">
        <v>5801</v>
      </c>
      <c r="T20" s="300" t="s">
        <v>2208</v>
      </c>
      <c r="U20" s="251" t="s">
        <v>7327</v>
      </c>
      <c r="V20" s="251" t="s">
        <v>7146</v>
      </c>
      <c r="W20" s="249" t="s">
        <v>7147</v>
      </c>
      <c r="X20" s="249" t="s">
        <v>7328</v>
      </c>
      <c r="Y20" s="5" t="s">
        <v>7149</v>
      </c>
      <c r="Z20" s="5" t="s">
        <v>97</v>
      </c>
      <c r="AA20" s="5" t="s">
        <v>2312</v>
      </c>
      <c r="AB20" s="5" t="s">
        <v>469</v>
      </c>
      <c r="AC20" s="5" t="s">
        <v>498</v>
      </c>
      <c r="AD20" s="5" t="s">
        <v>142</v>
      </c>
      <c r="AE20" s="5" t="s">
        <v>2391</v>
      </c>
      <c r="AF20" s="5" t="s">
        <v>213</v>
      </c>
      <c r="AG20" s="23" t="s">
        <v>1174</v>
      </c>
      <c r="AH20" s="23" t="s">
        <v>7330</v>
      </c>
      <c r="AI20" s="23" t="s">
        <v>2054</v>
      </c>
      <c r="AJ20" s="23" t="s">
        <v>7331</v>
      </c>
      <c r="AK20" s="23" t="s">
        <v>7332</v>
      </c>
      <c r="AL20" s="23" t="s">
        <v>7333</v>
      </c>
    </row>
    <row r="21" ht="15.0" customHeight="1">
      <c r="A21" s="249" t="s">
        <v>2172</v>
      </c>
      <c r="B21" s="249" t="s">
        <v>7126</v>
      </c>
      <c r="C21" s="249" t="s">
        <v>7334</v>
      </c>
      <c r="D21" s="249" t="s">
        <v>7128</v>
      </c>
      <c r="E21" s="249" t="str">
        <f t="shared" si="1"/>
        <v>POI-VIS</v>
      </c>
      <c r="F21" s="249" t="s">
        <v>2511</v>
      </c>
      <c r="G21" s="249" t="s">
        <v>7150</v>
      </c>
      <c r="H21" s="249" t="s">
        <v>7336</v>
      </c>
      <c r="I21" s="249" t="s">
        <v>7067</v>
      </c>
      <c r="J21" s="249" t="s">
        <v>2511</v>
      </c>
      <c r="K21" s="300" t="s">
        <v>7139</v>
      </c>
      <c r="L21" s="251" t="s">
        <v>7337</v>
      </c>
      <c r="M21" s="251">
        <v>31.6853155</v>
      </c>
      <c r="N21" s="251">
        <v>-7.9690258</v>
      </c>
      <c r="O21" s="251" t="s">
        <v>7338</v>
      </c>
      <c r="P21" s="251" t="s">
        <v>1229</v>
      </c>
      <c r="Q21" s="251" t="s">
        <v>1229</v>
      </c>
      <c r="R21" s="251" t="s">
        <v>1229</v>
      </c>
      <c r="S21" s="251" t="s">
        <v>5801</v>
      </c>
      <c r="T21" s="300" t="s">
        <v>2208</v>
      </c>
      <c r="U21" s="251" t="s">
        <v>7339</v>
      </c>
      <c r="V21" s="251" t="s">
        <v>7146</v>
      </c>
      <c r="W21" s="249" t="s">
        <v>7147</v>
      </c>
      <c r="X21" s="249" t="s">
        <v>7202</v>
      </c>
      <c r="Y21" s="5" t="s">
        <v>7149</v>
      </c>
      <c r="Z21" s="5" t="s">
        <v>97</v>
      </c>
      <c r="AA21" s="5" t="s">
        <v>2312</v>
      </c>
      <c r="AB21" s="5" t="s">
        <v>469</v>
      </c>
      <c r="AC21" s="5" t="s">
        <v>498</v>
      </c>
      <c r="AD21" s="5" t="s">
        <v>142</v>
      </c>
      <c r="AE21" s="5" t="s">
        <v>2391</v>
      </c>
      <c r="AF21" s="5" t="s">
        <v>213</v>
      </c>
      <c r="AG21" s="23" t="s">
        <v>1174</v>
      </c>
      <c r="AH21" s="23" t="s">
        <v>7330</v>
      </c>
      <c r="AI21" s="23" t="s">
        <v>2054</v>
      </c>
      <c r="AJ21" s="23" t="s">
        <v>7340</v>
      </c>
      <c r="AK21" s="23" t="s">
        <v>7341</v>
      </c>
      <c r="AL21" s="23" t="s">
        <v>7342</v>
      </c>
    </row>
    <row r="22" ht="15.0" customHeight="1">
      <c r="A22" s="249" t="s">
        <v>2172</v>
      </c>
      <c r="B22" s="249" t="s">
        <v>7126</v>
      </c>
      <c r="C22" s="249" t="s">
        <v>7343</v>
      </c>
      <c r="D22" s="249" t="s">
        <v>7128</v>
      </c>
      <c r="E22" s="249" t="str">
        <f t="shared" si="1"/>
        <v>POI-VIS</v>
      </c>
      <c r="F22" s="249" t="s">
        <v>3035</v>
      </c>
      <c r="G22" s="249" t="s">
        <v>7203</v>
      </c>
      <c r="H22" s="249" t="s">
        <v>7344</v>
      </c>
      <c r="I22" s="249" t="s">
        <v>7067</v>
      </c>
      <c r="J22" s="249" t="s">
        <v>2474</v>
      </c>
      <c r="K22" s="300" t="s">
        <v>7139</v>
      </c>
      <c r="L22" s="251" t="s">
        <v>7345</v>
      </c>
      <c r="M22" s="251">
        <v>31.6201349</v>
      </c>
      <c r="N22" s="251">
        <v>-7.9831284</v>
      </c>
      <c r="O22" s="251" t="s">
        <v>7346</v>
      </c>
      <c r="P22" s="251" t="s">
        <v>1229</v>
      </c>
      <c r="Q22" s="251" t="s">
        <v>1229</v>
      </c>
      <c r="R22" s="251" t="s">
        <v>1229</v>
      </c>
      <c r="S22" s="251" t="s">
        <v>5801</v>
      </c>
      <c r="T22" s="300" t="s">
        <v>2208</v>
      </c>
      <c r="U22" s="251" t="s">
        <v>7348</v>
      </c>
      <c r="V22" s="251" t="s">
        <v>7146</v>
      </c>
      <c r="W22" s="249" t="s">
        <v>7147</v>
      </c>
      <c r="X22" s="249" t="s">
        <v>7174</v>
      </c>
      <c r="Y22" s="5" t="s">
        <v>7149</v>
      </c>
      <c r="Z22" s="5" t="s">
        <v>97</v>
      </c>
      <c r="AA22" s="5" t="s">
        <v>2312</v>
      </c>
      <c r="AB22" s="5" t="s">
        <v>469</v>
      </c>
      <c r="AC22" s="5" t="s">
        <v>498</v>
      </c>
      <c r="AD22" s="5" t="s">
        <v>142</v>
      </c>
      <c r="AE22" s="5" t="s">
        <v>2391</v>
      </c>
      <c r="AF22" s="5" t="s">
        <v>213</v>
      </c>
      <c r="AG22" s="23" t="s">
        <v>1174</v>
      </c>
      <c r="AH22" s="23" t="s">
        <v>7330</v>
      </c>
      <c r="AI22" s="23" t="s">
        <v>2054</v>
      </c>
      <c r="AJ22" s="23" t="s">
        <v>7349</v>
      </c>
      <c r="AK22" s="23" t="s">
        <v>7350</v>
      </c>
      <c r="AL22" s="23" t="s">
        <v>7351</v>
      </c>
    </row>
    <row r="23" ht="15.0" customHeight="1">
      <c r="A23" s="249" t="s">
        <v>2172</v>
      </c>
      <c r="B23" s="249" t="s">
        <v>7126</v>
      </c>
      <c r="C23" s="249" t="s">
        <v>7352</v>
      </c>
      <c r="D23" s="249" t="s">
        <v>7128</v>
      </c>
      <c r="E23" s="249" t="str">
        <f t="shared" si="1"/>
        <v>POI-VIS</v>
      </c>
      <c r="F23" s="249" t="s">
        <v>7354</v>
      </c>
      <c r="G23" s="249" t="s">
        <v>7194</v>
      </c>
      <c r="H23" s="249" t="s">
        <v>7355</v>
      </c>
      <c r="I23" s="249" t="s">
        <v>7067</v>
      </c>
      <c r="J23" s="249" t="s">
        <v>2443</v>
      </c>
      <c r="K23" s="300" t="s">
        <v>7139</v>
      </c>
      <c r="L23" s="251" t="s">
        <v>7356</v>
      </c>
      <c r="M23" s="251">
        <v>31.6175582</v>
      </c>
      <c r="N23" s="251">
        <v>-7.9906871</v>
      </c>
      <c r="O23" s="251" t="s">
        <v>7358</v>
      </c>
      <c r="P23" s="251" t="s">
        <v>1229</v>
      </c>
      <c r="Q23" s="251" t="s">
        <v>1229</v>
      </c>
      <c r="R23" s="251" t="s">
        <v>1229</v>
      </c>
      <c r="S23" s="251" t="s">
        <v>5801</v>
      </c>
      <c r="T23" s="300" t="s">
        <v>2208</v>
      </c>
      <c r="U23" s="251" t="s">
        <v>7359</v>
      </c>
      <c r="V23" s="251" t="s">
        <v>7146</v>
      </c>
      <c r="W23" s="249" t="s">
        <v>7147</v>
      </c>
      <c r="X23" s="249" t="s">
        <v>7360</v>
      </c>
      <c r="Y23" s="5" t="s">
        <v>7149</v>
      </c>
      <c r="Z23" s="5" t="s">
        <v>97</v>
      </c>
      <c r="AA23" s="5" t="s">
        <v>2312</v>
      </c>
      <c r="AB23" s="5" t="s">
        <v>469</v>
      </c>
      <c r="AC23" s="5" t="s">
        <v>498</v>
      </c>
      <c r="AD23" s="5" t="s">
        <v>142</v>
      </c>
      <c r="AE23" s="5" t="s">
        <v>2391</v>
      </c>
      <c r="AF23" s="5" t="s">
        <v>213</v>
      </c>
      <c r="AG23" s="23" t="s">
        <v>1174</v>
      </c>
      <c r="AH23" s="23" t="s">
        <v>7330</v>
      </c>
      <c r="AI23" s="23" t="s">
        <v>2054</v>
      </c>
      <c r="AJ23" s="23" t="s">
        <v>7363</v>
      </c>
      <c r="AK23" s="23" t="s">
        <v>7364</v>
      </c>
      <c r="AL23" s="23" t="s">
        <v>7365</v>
      </c>
    </row>
    <row r="24" ht="15.0" customHeight="1">
      <c r="A24" s="249" t="s">
        <v>2172</v>
      </c>
      <c r="B24" s="249" t="s">
        <v>7126</v>
      </c>
      <c r="C24" s="249" t="s">
        <v>7367</v>
      </c>
      <c r="D24" s="249" t="s">
        <v>7128</v>
      </c>
      <c r="E24" s="249" t="str">
        <f t="shared" si="1"/>
        <v>POI-VIS</v>
      </c>
      <c r="F24" s="249" t="s">
        <v>2884</v>
      </c>
      <c r="G24" s="249" t="s">
        <v>7194</v>
      </c>
      <c r="H24" s="249" t="s">
        <v>7355</v>
      </c>
      <c r="I24" s="249" t="s">
        <v>7067</v>
      </c>
      <c r="J24" s="249" t="s">
        <v>2306</v>
      </c>
      <c r="K24" s="300" t="s">
        <v>7139</v>
      </c>
      <c r="L24" s="251" t="s">
        <v>7369</v>
      </c>
      <c r="M24" s="251">
        <v>31.6327832</v>
      </c>
      <c r="N24" s="251">
        <v>-7.9960745</v>
      </c>
      <c r="O24" s="251" t="s">
        <v>7370</v>
      </c>
      <c r="P24" s="251" t="s">
        <v>1229</v>
      </c>
      <c r="Q24" s="251" t="s">
        <v>1229</v>
      </c>
      <c r="R24" s="251" t="s">
        <v>1229</v>
      </c>
      <c r="S24" s="251" t="s">
        <v>5801</v>
      </c>
      <c r="T24" s="300" t="s">
        <v>2208</v>
      </c>
      <c r="U24" s="251" t="s">
        <v>7371</v>
      </c>
      <c r="V24" s="251" t="s">
        <v>7146</v>
      </c>
      <c r="W24" s="249" t="s">
        <v>7147</v>
      </c>
      <c r="X24" s="249" t="s">
        <v>7360</v>
      </c>
      <c r="Y24" s="5" t="s">
        <v>7149</v>
      </c>
      <c r="Z24" s="5" t="s">
        <v>97</v>
      </c>
      <c r="AA24" s="5" t="s">
        <v>2312</v>
      </c>
      <c r="AB24" s="5" t="s">
        <v>469</v>
      </c>
      <c r="AC24" s="5" t="s">
        <v>498</v>
      </c>
      <c r="AD24" s="5" t="s">
        <v>142</v>
      </c>
      <c r="AE24" s="5" t="s">
        <v>2391</v>
      </c>
      <c r="AF24" s="5" t="s">
        <v>213</v>
      </c>
      <c r="AG24" s="23" t="s">
        <v>1174</v>
      </c>
      <c r="AH24" s="23" t="s">
        <v>7330</v>
      </c>
      <c r="AI24" s="23" t="s">
        <v>2054</v>
      </c>
      <c r="AJ24" s="23" t="s">
        <v>7373</v>
      </c>
      <c r="AK24" s="23" t="s">
        <v>7374</v>
      </c>
      <c r="AL24" s="23" t="s">
        <v>7375</v>
      </c>
    </row>
    <row r="25" ht="15.0" customHeight="1">
      <c r="A25" s="249" t="s">
        <v>2172</v>
      </c>
      <c r="B25" s="249" t="s">
        <v>7126</v>
      </c>
      <c r="C25" s="249" t="s">
        <v>7376</v>
      </c>
      <c r="D25" s="249" t="s">
        <v>7128</v>
      </c>
      <c r="E25" s="249" t="str">
        <f t="shared" si="1"/>
        <v>POI-VIS</v>
      </c>
      <c r="F25" s="249" t="s">
        <v>4617</v>
      </c>
      <c r="G25" s="249" t="s">
        <v>7194</v>
      </c>
      <c r="H25" s="249" t="s">
        <v>7378</v>
      </c>
      <c r="I25" s="249" t="s">
        <v>7067</v>
      </c>
      <c r="J25" s="249" t="s">
        <v>4617</v>
      </c>
      <c r="K25" s="300" t="s">
        <v>7139</v>
      </c>
      <c r="L25" s="251" t="s">
        <v>7379</v>
      </c>
      <c r="M25" s="251">
        <v>31.6693538</v>
      </c>
      <c r="N25" s="251">
        <v>-8.0451546</v>
      </c>
      <c r="O25" s="251" t="s">
        <v>7380</v>
      </c>
      <c r="P25" s="251" t="s">
        <v>1229</v>
      </c>
      <c r="Q25" s="251" t="s">
        <v>1229</v>
      </c>
      <c r="R25" s="251" t="s">
        <v>1229</v>
      </c>
      <c r="S25" s="251" t="s">
        <v>5801</v>
      </c>
      <c r="T25" s="300" t="s">
        <v>2208</v>
      </c>
      <c r="U25" s="251" t="s">
        <v>7381</v>
      </c>
      <c r="V25" s="251" t="s">
        <v>7146</v>
      </c>
      <c r="W25" s="249" t="s">
        <v>7147</v>
      </c>
      <c r="X25" s="249" t="s">
        <v>7328</v>
      </c>
      <c r="Y25" s="5" t="s">
        <v>7149</v>
      </c>
      <c r="Z25" s="5" t="s">
        <v>97</v>
      </c>
      <c r="AA25" s="5" t="s">
        <v>2312</v>
      </c>
      <c r="AB25" s="5" t="s">
        <v>469</v>
      </c>
      <c r="AC25" s="5" t="s">
        <v>498</v>
      </c>
      <c r="AD25" s="5" t="s">
        <v>142</v>
      </c>
      <c r="AE25" s="5" t="s">
        <v>2391</v>
      </c>
      <c r="AF25" s="5" t="s">
        <v>213</v>
      </c>
      <c r="AG25" s="23" t="s">
        <v>1174</v>
      </c>
      <c r="AH25" s="23" t="s">
        <v>7330</v>
      </c>
      <c r="AI25" s="23" t="s">
        <v>2054</v>
      </c>
      <c r="AJ25" s="23" t="s">
        <v>7388</v>
      </c>
      <c r="AK25" s="23" t="s">
        <v>7389</v>
      </c>
      <c r="AL25" s="23" t="s">
        <v>7390</v>
      </c>
    </row>
    <row r="26" ht="15.0" customHeight="1">
      <c r="A26" s="249" t="s">
        <v>2172</v>
      </c>
      <c r="B26" s="249" t="s">
        <v>7126</v>
      </c>
      <c r="C26" s="249" t="s">
        <v>7391</v>
      </c>
      <c r="D26" s="249" t="s">
        <v>7128</v>
      </c>
      <c r="E26" s="249" t="str">
        <f t="shared" si="1"/>
        <v>POI-VIS</v>
      </c>
      <c r="F26" s="249" t="s">
        <v>7392</v>
      </c>
      <c r="G26" s="249" t="s">
        <v>7136</v>
      </c>
      <c r="H26" s="249" t="s">
        <v>7393</v>
      </c>
      <c r="I26" s="249" t="s">
        <v>7067</v>
      </c>
      <c r="J26" s="249" t="s">
        <v>2280</v>
      </c>
      <c r="K26" s="300" t="s">
        <v>7139</v>
      </c>
      <c r="L26" s="251" t="s">
        <v>7394</v>
      </c>
      <c r="M26" s="251">
        <v>31.6005322</v>
      </c>
      <c r="N26" s="251">
        <v>-7.9501754</v>
      </c>
      <c r="O26" s="251" t="s">
        <v>7396</v>
      </c>
      <c r="P26" s="251" t="s">
        <v>7397</v>
      </c>
      <c r="Q26" s="251" t="s">
        <v>1229</v>
      </c>
      <c r="R26" s="251" t="s">
        <v>1229</v>
      </c>
      <c r="S26" s="251" t="s">
        <v>5801</v>
      </c>
      <c r="T26" s="300" t="s">
        <v>2208</v>
      </c>
      <c r="U26" s="251" t="s">
        <v>7398</v>
      </c>
      <c r="V26" s="251" t="s">
        <v>7146</v>
      </c>
      <c r="W26" s="249" t="s">
        <v>7147</v>
      </c>
      <c r="X26" s="249" t="s">
        <v>7400</v>
      </c>
      <c r="Y26" s="5" t="s">
        <v>7149</v>
      </c>
      <c r="Z26" s="5" t="s">
        <v>97</v>
      </c>
      <c r="AA26" s="5" t="s">
        <v>2312</v>
      </c>
      <c r="AB26" s="5" t="s">
        <v>469</v>
      </c>
      <c r="AC26" s="5" t="s">
        <v>498</v>
      </c>
      <c r="AD26" s="5" t="s">
        <v>142</v>
      </c>
      <c r="AE26" s="5" t="s">
        <v>2391</v>
      </c>
      <c r="AF26" s="5" t="s">
        <v>213</v>
      </c>
      <c r="AG26" s="23" t="s">
        <v>1174</v>
      </c>
      <c r="AH26" s="23" t="s">
        <v>7401</v>
      </c>
      <c r="AI26" s="23" t="s">
        <v>2057</v>
      </c>
      <c r="AJ26" s="23" t="s">
        <v>7402</v>
      </c>
      <c r="AK26" s="23" t="s">
        <v>7403</v>
      </c>
      <c r="AL26" s="23" t="s">
        <v>7404</v>
      </c>
    </row>
    <row r="27" ht="15.0" customHeight="1">
      <c r="A27" s="249" t="s">
        <v>2172</v>
      </c>
      <c r="B27" s="249" t="s">
        <v>7126</v>
      </c>
      <c r="C27" s="249" t="s">
        <v>7405</v>
      </c>
      <c r="D27" s="249" t="s">
        <v>7128</v>
      </c>
      <c r="E27" s="249" t="str">
        <f t="shared" si="1"/>
        <v>POI-VIS</v>
      </c>
      <c r="F27" s="249" t="s">
        <v>5460</v>
      </c>
      <c r="G27" s="249" t="s">
        <v>7150</v>
      </c>
      <c r="H27" s="249" t="s">
        <v>7406</v>
      </c>
      <c r="I27" s="249" t="s">
        <v>7067</v>
      </c>
      <c r="J27" s="249" t="s">
        <v>2511</v>
      </c>
      <c r="K27" s="300" t="s">
        <v>7139</v>
      </c>
      <c r="L27" s="251" t="s">
        <v>7407</v>
      </c>
      <c r="M27" s="251">
        <v>31.6726376</v>
      </c>
      <c r="N27" s="251">
        <v>-7.9522955</v>
      </c>
      <c r="O27" s="251" t="s">
        <v>7408</v>
      </c>
      <c r="P27" s="251" t="s">
        <v>7409</v>
      </c>
      <c r="Q27" s="251" t="s">
        <v>1229</v>
      </c>
      <c r="R27" s="251" t="s">
        <v>1229</v>
      </c>
      <c r="S27" s="251" t="s">
        <v>5801</v>
      </c>
      <c r="T27" s="300" t="s">
        <v>2208</v>
      </c>
      <c r="U27" s="251" t="s">
        <v>7410</v>
      </c>
      <c r="V27" s="251" t="s">
        <v>7146</v>
      </c>
      <c r="W27" s="249" t="s">
        <v>7147</v>
      </c>
      <c r="X27" s="249" t="s">
        <v>7328</v>
      </c>
      <c r="Y27" s="5" t="s">
        <v>7149</v>
      </c>
      <c r="Z27" s="5" t="s">
        <v>97</v>
      </c>
      <c r="AA27" s="5" t="s">
        <v>2312</v>
      </c>
      <c r="AB27" s="5" t="s">
        <v>469</v>
      </c>
      <c r="AC27" s="5" t="s">
        <v>498</v>
      </c>
      <c r="AD27" s="5" t="s">
        <v>142</v>
      </c>
      <c r="AE27" s="5" t="s">
        <v>2391</v>
      </c>
      <c r="AF27" s="5" t="s">
        <v>213</v>
      </c>
      <c r="AG27" s="23" t="s">
        <v>1174</v>
      </c>
      <c r="AH27" s="23" t="s">
        <v>7401</v>
      </c>
      <c r="AI27" s="23" t="s">
        <v>2057</v>
      </c>
      <c r="AJ27" s="23" t="s">
        <v>5897</v>
      </c>
      <c r="AK27" s="23" t="s">
        <v>7411</v>
      </c>
      <c r="AL27" s="23" t="s">
        <v>7412</v>
      </c>
    </row>
    <row r="28" ht="15.0" customHeight="1">
      <c r="A28" s="249" t="s">
        <v>2172</v>
      </c>
      <c r="B28" s="249" t="s">
        <v>7126</v>
      </c>
      <c r="C28" s="249" t="s">
        <v>7413</v>
      </c>
      <c r="D28" s="249" t="s">
        <v>7128</v>
      </c>
      <c r="E28" s="249" t="str">
        <f t="shared" si="1"/>
        <v>POI-VIS</v>
      </c>
      <c r="F28" s="249" t="s">
        <v>7414</v>
      </c>
      <c r="G28" s="249" t="s">
        <v>7136</v>
      </c>
      <c r="H28" s="249" t="s">
        <v>7137</v>
      </c>
      <c r="I28" s="249" t="s">
        <v>7067</v>
      </c>
      <c r="J28" s="249" t="s">
        <v>7415</v>
      </c>
      <c r="K28" s="300" t="s">
        <v>7139</v>
      </c>
      <c r="L28" s="251" t="s">
        <v>7416</v>
      </c>
      <c r="M28" s="251">
        <v>31.6418694</v>
      </c>
      <c r="N28" s="251">
        <v>-8.0028769</v>
      </c>
      <c r="O28" s="251" t="s">
        <v>7417</v>
      </c>
      <c r="P28" s="251" t="s">
        <v>7143</v>
      </c>
      <c r="Q28" s="251" t="s">
        <v>1229</v>
      </c>
      <c r="R28" s="251" t="s">
        <v>1229</v>
      </c>
      <c r="S28" s="251" t="s">
        <v>5801</v>
      </c>
      <c r="T28" s="300" t="s">
        <v>2208</v>
      </c>
      <c r="U28" s="251" t="s">
        <v>7418</v>
      </c>
      <c r="V28" s="251" t="s">
        <v>7146</v>
      </c>
      <c r="W28" s="249" t="s">
        <v>7147</v>
      </c>
      <c r="X28" s="249" t="s">
        <v>7227</v>
      </c>
      <c r="Y28" s="5" t="s">
        <v>7149</v>
      </c>
      <c r="Z28" s="5" t="s">
        <v>97</v>
      </c>
      <c r="AA28" s="5" t="s">
        <v>2312</v>
      </c>
      <c r="AB28" s="5" t="s">
        <v>469</v>
      </c>
      <c r="AC28" s="5" t="s">
        <v>498</v>
      </c>
      <c r="AD28" s="5" t="s">
        <v>142</v>
      </c>
      <c r="AE28" s="5" t="s">
        <v>2391</v>
      </c>
      <c r="AF28" s="5" t="s">
        <v>213</v>
      </c>
      <c r="AG28" s="23" t="s">
        <v>1174</v>
      </c>
      <c r="AH28" s="23" t="s">
        <v>7401</v>
      </c>
      <c r="AI28" s="23" t="s">
        <v>2057</v>
      </c>
      <c r="AJ28" s="23" t="s">
        <v>7419</v>
      </c>
      <c r="AK28" s="23" t="s">
        <v>7420</v>
      </c>
      <c r="AL28" s="23" t="s">
        <v>7421</v>
      </c>
    </row>
    <row r="29" ht="15.0" customHeight="1">
      <c r="A29" s="249" t="s">
        <v>2172</v>
      </c>
      <c r="B29" s="249" t="s">
        <v>7126</v>
      </c>
      <c r="C29" s="249" t="s">
        <v>7422</v>
      </c>
      <c r="D29" s="249" t="s">
        <v>7281</v>
      </c>
      <c r="E29" s="249" t="str">
        <f t="shared" si="1"/>
        <v>POI-VUE</v>
      </c>
      <c r="F29" s="249" t="s">
        <v>5515</v>
      </c>
      <c r="G29" s="249" t="s">
        <v>7282</v>
      </c>
      <c r="H29" s="249" t="s">
        <v>7423</v>
      </c>
      <c r="I29" s="249" t="s">
        <v>7067</v>
      </c>
      <c r="J29" s="249" t="s">
        <v>2543</v>
      </c>
      <c r="K29" s="300" t="s">
        <v>7139</v>
      </c>
      <c r="L29" s="251" t="s">
        <v>7424</v>
      </c>
      <c r="M29" s="251">
        <v>31.4583037</v>
      </c>
      <c r="N29" s="251">
        <v>-8.1947557</v>
      </c>
      <c r="O29" s="251" t="s">
        <v>7408</v>
      </c>
      <c r="P29" s="251" t="s">
        <v>4088</v>
      </c>
      <c r="Q29" s="251" t="s">
        <v>1229</v>
      </c>
      <c r="R29" s="251" t="s">
        <v>1229</v>
      </c>
      <c r="S29" s="251" t="s">
        <v>5801</v>
      </c>
      <c r="T29" s="300" t="s">
        <v>2208</v>
      </c>
      <c r="U29" s="251" t="s">
        <v>7425</v>
      </c>
      <c r="V29" s="251" t="s">
        <v>7146</v>
      </c>
      <c r="W29" s="249" t="s">
        <v>7147</v>
      </c>
      <c r="X29" s="249" t="s">
        <v>7426</v>
      </c>
      <c r="Y29" s="5" t="s">
        <v>7149</v>
      </c>
      <c r="Z29" s="5" t="s">
        <v>97</v>
      </c>
      <c r="AA29" s="5" t="s">
        <v>2312</v>
      </c>
      <c r="AB29" s="5" t="s">
        <v>469</v>
      </c>
      <c r="AC29" s="5" t="s">
        <v>498</v>
      </c>
      <c r="AD29" s="5" t="s">
        <v>142</v>
      </c>
      <c r="AE29" s="5" t="s">
        <v>2391</v>
      </c>
      <c r="AF29" s="5" t="s">
        <v>213</v>
      </c>
      <c r="AG29" s="23" t="s">
        <v>1174</v>
      </c>
      <c r="AH29" s="23" t="s">
        <v>7401</v>
      </c>
      <c r="AI29" s="23" t="s">
        <v>2057</v>
      </c>
      <c r="AJ29" s="23" t="s">
        <v>7427</v>
      </c>
      <c r="AK29" s="23" t="s">
        <v>7428</v>
      </c>
      <c r="AL29" s="23" t="s">
        <v>7429</v>
      </c>
    </row>
    <row r="30" ht="15.0" customHeight="1">
      <c r="A30" s="249" t="s">
        <v>2172</v>
      </c>
      <c r="B30" s="249" t="s">
        <v>7126</v>
      </c>
      <c r="C30" s="249" t="s">
        <v>7430</v>
      </c>
      <c r="D30" s="249" t="s">
        <v>7128</v>
      </c>
      <c r="E30" s="249" t="str">
        <f t="shared" si="1"/>
        <v>POI-VIS</v>
      </c>
      <c r="F30" s="249" t="s">
        <v>6722</v>
      </c>
      <c r="G30" s="249" t="s">
        <v>7150</v>
      </c>
      <c r="H30" s="249" t="s">
        <v>7431</v>
      </c>
      <c r="I30" s="249" t="s">
        <v>7067</v>
      </c>
      <c r="J30" s="249" t="s">
        <v>7432</v>
      </c>
      <c r="K30" s="300" t="s">
        <v>7139</v>
      </c>
      <c r="L30" s="251" t="s">
        <v>7433</v>
      </c>
      <c r="M30" s="251">
        <v>31.5709473</v>
      </c>
      <c r="N30" s="251">
        <v>-8.0289476</v>
      </c>
      <c r="O30" s="251" t="s">
        <v>7434</v>
      </c>
      <c r="P30" s="251" t="s">
        <v>7435</v>
      </c>
      <c r="Q30" s="251" t="s">
        <v>1229</v>
      </c>
      <c r="R30" s="251" t="s">
        <v>1229</v>
      </c>
      <c r="S30" s="251" t="s">
        <v>5801</v>
      </c>
      <c r="T30" s="300" t="s">
        <v>2208</v>
      </c>
      <c r="U30" s="251" t="s">
        <v>7436</v>
      </c>
      <c r="V30" s="251" t="s">
        <v>7146</v>
      </c>
      <c r="W30" s="249" t="s">
        <v>7147</v>
      </c>
      <c r="X30" s="249" t="s">
        <v>7299</v>
      </c>
      <c r="Y30" s="5" t="s">
        <v>7149</v>
      </c>
      <c r="Z30" s="5" t="s">
        <v>97</v>
      </c>
      <c r="AA30" s="5" t="s">
        <v>2312</v>
      </c>
      <c r="AB30" s="5" t="s">
        <v>469</v>
      </c>
      <c r="AC30" s="5" t="s">
        <v>498</v>
      </c>
      <c r="AD30" s="5" t="s">
        <v>142</v>
      </c>
      <c r="AE30" s="5" t="s">
        <v>2391</v>
      </c>
      <c r="AF30" s="5" t="s">
        <v>213</v>
      </c>
      <c r="AG30" s="23" t="s">
        <v>1174</v>
      </c>
      <c r="AH30" s="23" t="s">
        <v>7401</v>
      </c>
      <c r="AI30" s="23" t="s">
        <v>2057</v>
      </c>
      <c r="AJ30" s="23" t="s">
        <v>7437</v>
      </c>
      <c r="AK30" s="23" t="s">
        <v>7438</v>
      </c>
      <c r="AL30" s="23" t="s">
        <v>7439</v>
      </c>
    </row>
    <row r="31" ht="15.0" customHeight="1">
      <c r="A31" s="249" t="s">
        <v>2172</v>
      </c>
      <c r="B31" s="249" t="s">
        <v>7126</v>
      </c>
      <c r="C31" s="249" t="s">
        <v>7440</v>
      </c>
      <c r="D31" s="249" t="s">
        <v>7128</v>
      </c>
      <c r="E31" s="249" t="str">
        <f t="shared" si="1"/>
        <v>POI-VIS</v>
      </c>
      <c r="F31" s="249" t="s">
        <v>2625</v>
      </c>
      <c r="G31" s="249" t="s">
        <v>7154</v>
      </c>
      <c r="H31" s="249" t="s">
        <v>7441</v>
      </c>
      <c r="I31" s="249" t="s">
        <v>7067</v>
      </c>
      <c r="J31" s="249" t="s">
        <v>2627</v>
      </c>
      <c r="K31" s="300" t="s">
        <v>7139</v>
      </c>
      <c r="L31" s="251" t="s">
        <v>7442</v>
      </c>
      <c r="M31" s="251">
        <v>31.5729291</v>
      </c>
      <c r="N31" s="251">
        <v>-8.0205679</v>
      </c>
      <c r="O31" s="251" t="s">
        <v>7408</v>
      </c>
      <c r="P31" s="251" t="s">
        <v>2467</v>
      </c>
      <c r="Q31" s="251" t="s">
        <v>1229</v>
      </c>
      <c r="R31" s="251" t="s">
        <v>1229</v>
      </c>
      <c r="S31" s="251" t="s">
        <v>5801</v>
      </c>
      <c r="T31" s="300" t="s">
        <v>2208</v>
      </c>
      <c r="U31" s="251" t="s">
        <v>7443</v>
      </c>
      <c r="V31" s="251" t="s">
        <v>7146</v>
      </c>
      <c r="W31" s="249" t="s">
        <v>7147</v>
      </c>
      <c r="X31" s="249" t="s">
        <v>7328</v>
      </c>
      <c r="Y31" s="5" t="s">
        <v>7149</v>
      </c>
      <c r="Z31" s="5" t="s">
        <v>97</v>
      </c>
      <c r="AA31" s="5" t="s">
        <v>2312</v>
      </c>
      <c r="AB31" s="5" t="s">
        <v>469</v>
      </c>
      <c r="AC31" s="5" t="s">
        <v>498</v>
      </c>
      <c r="AD31" s="5" t="s">
        <v>142</v>
      </c>
      <c r="AE31" s="5" t="s">
        <v>2391</v>
      </c>
      <c r="AF31" s="5" t="s">
        <v>213</v>
      </c>
      <c r="AG31" s="23" t="s">
        <v>1174</v>
      </c>
      <c r="AH31" s="23" t="s">
        <v>7401</v>
      </c>
      <c r="AI31" s="23" t="s">
        <v>2057</v>
      </c>
      <c r="AJ31" s="23" t="s">
        <v>7444</v>
      </c>
      <c r="AK31" s="23" t="s">
        <v>7445</v>
      </c>
      <c r="AL31" s="23" t="s">
        <v>7446</v>
      </c>
    </row>
    <row r="32" ht="15.0" customHeight="1">
      <c r="A32" s="249" t="s">
        <v>2172</v>
      </c>
      <c r="B32" s="249" t="s">
        <v>7126</v>
      </c>
      <c r="C32" s="249" t="s">
        <v>7447</v>
      </c>
      <c r="D32" s="249" t="s">
        <v>7281</v>
      </c>
      <c r="E32" s="249" t="str">
        <f t="shared" si="1"/>
        <v>POI-VUE</v>
      </c>
      <c r="F32" s="249" t="s">
        <v>3440</v>
      </c>
      <c r="G32" s="249" t="s">
        <v>7293</v>
      </c>
      <c r="H32" s="249" t="s">
        <v>7448</v>
      </c>
      <c r="I32" s="249" t="s">
        <v>7067</v>
      </c>
      <c r="J32" s="249" t="s">
        <v>7449</v>
      </c>
      <c r="K32" s="300" t="s">
        <v>7139</v>
      </c>
      <c r="L32" s="251" t="s">
        <v>7450</v>
      </c>
      <c r="M32" s="251">
        <v>31.35737</v>
      </c>
      <c r="N32" s="251">
        <v>-8.1352213</v>
      </c>
      <c r="O32" s="251" t="s">
        <v>7451</v>
      </c>
      <c r="P32" s="251" t="s">
        <v>1229</v>
      </c>
      <c r="Q32" s="251" t="s">
        <v>1229</v>
      </c>
      <c r="R32" s="251" t="s">
        <v>1229</v>
      </c>
      <c r="S32" s="251" t="s">
        <v>5801</v>
      </c>
      <c r="T32" s="300" t="s">
        <v>2208</v>
      </c>
      <c r="U32" s="251" t="s">
        <v>7452</v>
      </c>
      <c r="V32" s="251" t="s">
        <v>7146</v>
      </c>
      <c r="W32" s="249" t="s">
        <v>7147</v>
      </c>
      <c r="X32" s="249" t="s">
        <v>7299</v>
      </c>
      <c r="Y32" s="5" t="s">
        <v>7149</v>
      </c>
      <c r="Z32" s="5" t="s">
        <v>97</v>
      </c>
      <c r="AA32" s="5" t="s">
        <v>2312</v>
      </c>
      <c r="AB32" s="5" t="s">
        <v>469</v>
      </c>
      <c r="AC32" s="5" t="s">
        <v>498</v>
      </c>
      <c r="AD32" s="5" t="s">
        <v>142</v>
      </c>
      <c r="AE32" s="5" t="s">
        <v>2391</v>
      </c>
      <c r="AF32" s="5" t="s">
        <v>213</v>
      </c>
      <c r="AG32" s="23" t="s">
        <v>1174</v>
      </c>
      <c r="AH32" s="23" t="s">
        <v>7401</v>
      </c>
      <c r="AI32" s="23" t="s">
        <v>2057</v>
      </c>
      <c r="AJ32" s="23" t="s">
        <v>7453</v>
      </c>
      <c r="AK32" s="23" t="s">
        <v>7454</v>
      </c>
      <c r="AL32" s="23" t="s">
        <v>7455</v>
      </c>
    </row>
    <row r="33" ht="15.0" customHeight="1">
      <c r="A33" s="249" t="s">
        <v>2172</v>
      </c>
      <c r="B33" s="249" t="s">
        <v>7126</v>
      </c>
      <c r="C33" s="249" t="s">
        <v>7456</v>
      </c>
      <c r="D33" s="249" t="s">
        <v>7281</v>
      </c>
      <c r="E33" s="249" t="str">
        <f t="shared" si="1"/>
        <v>POI-VUE</v>
      </c>
      <c r="F33" s="249" t="s">
        <v>7457</v>
      </c>
      <c r="G33" s="249" t="s">
        <v>7293</v>
      </c>
      <c r="H33" s="249" t="s">
        <v>7294</v>
      </c>
      <c r="I33" s="249" t="s">
        <v>7067</v>
      </c>
      <c r="J33" s="249" t="s">
        <v>7458</v>
      </c>
      <c r="K33" s="300" t="s">
        <v>7139</v>
      </c>
      <c r="L33" s="251" t="s">
        <v>7459</v>
      </c>
      <c r="M33" s="251">
        <v>32.0151371</v>
      </c>
      <c r="N33" s="251">
        <v>-6.7201469</v>
      </c>
      <c r="O33" s="251" t="s">
        <v>7460</v>
      </c>
      <c r="P33" s="251" t="s">
        <v>1229</v>
      </c>
      <c r="Q33" s="251" t="s">
        <v>1229</v>
      </c>
      <c r="R33" s="251" t="s">
        <v>1229</v>
      </c>
      <c r="S33" s="251" t="s">
        <v>5801</v>
      </c>
      <c r="T33" s="300" t="s">
        <v>2208</v>
      </c>
      <c r="U33" s="251" t="s">
        <v>7461</v>
      </c>
      <c r="V33" s="251" t="s">
        <v>7146</v>
      </c>
      <c r="W33" s="249" t="s">
        <v>7147</v>
      </c>
      <c r="X33" s="249" t="s">
        <v>7299</v>
      </c>
      <c r="Y33" s="5" t="s">
        <v>7149</v>
      </c>
      <c r="Z33" s="5" t="s">
        <v>97</v>
      </c>
      <c r="AA33" s="5" t="s">
        <v>2312</v>
      </c>
      <c r="AB33" s="5" t="s">
        <v>469</v>
      </c>
      <c r="AC33" s="5" t="s">
        <v>498</v>
      </c>
      <c r="AD33" s="5" t="s">
        <v>142</v>
      </c>
      <c r="AE33" s="5" t="s">
        <v>2391</v>
      </c>
      <c r="AF33" s="5" t="s">
        <v>213</v>
      </c>
      <c r="AG33" s="23" t="s">
        <v>1174</v>
      </c>
      <c r="AH33" s="23" t="s">
        <v>7281</v>
      </c>
      <c r="AI33" s="23" t="s">
        <v>2060</v>
      </c>
      <c r="AJ33" s="23" t="s">
        <v>7462</v>
      </c>
      <c r="AK33" s="23" t="s">
        <v>7463</v>
      </c>
      <c r="AL33" s="23" t="s">
        <v>7464</v>
      </c>
    </row>
    <row r="34" ht="15.0" customHeight="1">
      <c r="A34" s="249" t="s">
        <v>2172</v>
      </c>
      <c r="B34" s="249" t="s">
        <v>7126</v>
      </c>
      <c r="C34" s="249" t="s">
        <v>7465</v>
      </c>
      <c r="D34" s="249" t="s">
        <v>7128</v>
      </c>
      <c r="E34" s="249" t="str">
        <f t="shared" si="1"/>
        <v>POI-VIS</v>
      </c>
      <c r="F34" s="249" t="s">
        <v>3203</v>
      </c>
      <c r="G34" s="249" t="s">
        <v>7194</v>
      </c>
      <c r="H34" s="249" t="s">
        <v>7294</v>
      </c>
      <c r="I34" s="249" t="s">
        <v>7067</v>
      </c>
      <c r="J34" s="249" t="s">
        <v>7466</v>
      </c>
      <c r="K34" s="300" t="s">
        <v>7139</v>
      </c>
      <c r="L34" s="251" t="s">
        <v>7467</v>
      </c>
      <c r="M34" s="251">
        <v>31.514159</v>
      </c>
      <c r="N34" s="251">
        <v>-9.7685657</v>
      </c>
      <c r="O34" s="251" t="s">
        <v>7468</v>
      </c>
      <c r="P34" s="251" t="s">
        <v>1229</v>
      </c>
      <c r="Q34" s="251" t="s">
        <v>1229</v>
      </c>
      <c r="R34" s="251" t="s">
        <v>1229</v>
      </c>
      <c r="S34" s="251" t="s">
        <v>5801</v>
      </c>
      <c r="T34" s="300" t="s">
        <v>2208</v>
      </c>
      <c r="U34" s="251" t="s">
        <v>7469</v>
      </c>
      <c r="V34" s="251" t="s">
        <v>7146</v>
      </c>
      <c r="W34" s="249" t="s">
        <v>7147</v>
      </c>
      <c r="X34" s="249" t="s">
        <v>7299</v>
      </c>
      <c r="Y34" s="5" t="s">
        <v>7149</v>
      </c>
      <c r="Z34" s="5" t="s">
        <v>97</v>
      </c>
      <c r="AA34" s="5" t="s">
        <v>2312</v>
      </c>
      <c r="AB34" s="5" t="s">
        <v>469</v>
      </c>
      <c r="AC34" s="5" t="s">
        <v>498</v>
      </c>
      <c r="AD34" s="5" t="s">
        <v>142</v>
      </c>
      <c r="AE34" s="5" t="s">
        <v>2391</v>
      </c>
      <c r="AF34" s="5" t="s">
        <v>213</v>
      </c>
      <c r="AG34" s="23" t="s">
        <v>1174</v>
      </c>
      <c r="AH34" s="23" t="s">
        <v>7281</v>
      </c>
      <c r="AI34" s="23" t="s">
        <v>2060</v>
      </c>
      <c r="AJ34" s="23" t="s">
        <v>7293</v>
      </c>
      <c r="AK34" s="23" t="s">
        <v>7470</v>
      </c>
      <c r="AL34" s="23" t="s">
        <v>7471</v>
      </c>
    </row>
    <row r="35" ht="15.0" customHeight="1">
      <c r="A35" s="249" t="s">
        <v>2172</v>
      </c>
      <c r="B35" s="249" t="s">
        <v>7126</v>
      </c>
      <c r="C35" s="249" t="s">
        <v>7472</v>
      </c>
      <c r="D35" s="249" t="s">
        <v>7128</v>
      </c>
      <c r="E35" s="249" t="str">
        <f t="shared" si="1"/>
        <v>POI-VIS</v>
      </c>
      <c r="F35" s="249" t="s">
        <v>7473</v>
      </c>
      <c r="G35" s="249" t="s">
        <v>7154</v>
      </c>
      <c r="H35" s="249" t="s">
        <v>7474</v>
      </c>
      <c r="I35" s="249" t="s">
        <v>7067</v>
      </c>
      <c r="J35" s="249" t="s">
        <v>7475</v>
      </c>
      <c r="K35" s="300" t="s">
        <v>7139</v>
      </c>
      <c r="L35" s="251" t="s">
        <v>7476</v>
      </c>
      <c r="M35" s="251">
        <v>31.047043</v>
      </c>
      <c r="N35" s="251">
        <v>-7.1318996</v>
      </c>
      <c r="O35" s="251" t="s">
        <v>7477</v>
      </c>
      <c r="P35" s="251" t="s">
        <v>1229</v>
      </c>
      <c r="Q35" s="251" t="s">
        <v>1229</v>
      </c>
      <c r="R35" s="251" t="s">
        <v>1229</v>
      </c>
      <c r="S35" s="251" t="s">
        <v>5801</v>
      </c>
      <c r="T35" s="300" t="s">
        <v>2208</v>
      </c>
      <c r="U35" s="251" t="s">
        <v>7478</v>
      </c>
      <c r="V35" s="251" t="s">
        <v>7146</v>
      </c>
      <c r="W35" s="249" t="s">
        <v>7147</v>
      </c>
      <c r="X35" s="249" t="s">
        <v>7299</v>
      </c>
      <c r="Y35" s="5" t="s">
        <v>7149</v>
      </c>
      <c r="Z35" s="5" t="s">
        <v>97</v>
      </c>
      <c r="AA35" s="5" t="s">
        <v>2312</v>
      </c>
      <c r="AB35" s="5" t="s">
        <v>469</v>
      </c>
      <c r="AC35" s="5" t="s">
        <v>498</v>
      </c>
      <c r="AD35" s="5" t="s">
        <v>142</v>
      </c>
      <c r="AE35" s="5" t="s">
        <v>2391</v>
      </c>
      <c r="AF35" s="5" t="s">
        <v>213</v>
      </c>
      <c r="AG35" s="23" t="s">
        <v>1174</v>
      </c>
      <c r="AH35" s="23" t="s">
        <v>7281</v>
      </c>
      <c r="AI35" s="23" t="s">
        <v>2060</v>
      </c>
      <c r="AJ35" s="23" t="s">
        <v>7282</v>
      </c>
      <c r="AK35" s="23" t="s">
        <v>7479</v>
      </c>
      <c r="AL35" s="23" t="s">
        <v>7480</v>
      </c>
    </row>
    <row r="36" ht="15.0" customHeight="1">
      <c r="A36" s="249" t="s">
        <v>2172</v>
      </c>
      <c r="B36" s="249" t="s">
        <v>7126</v>
      </c>
      <c r="C36" s="249" t="s">
        <v>7481</v>
      </c>
      <c r="D36" s="249" t="s">
        <v>7128</v>
      </c>
      <c r="E36" s="249" t="str">
        <f t="shared" si="1"/>
        <v>POI-VIS</v>
      </c>
      <c r="F36" s="249" t="s">
        <v>7482</v>
      </c>
      <c r="G36" s="249" t="s">
        <v>7154</v>
      </c>
      <c r="H36" s="249" t="s">
        <v>7294</v>
      </c>
      <c r="I36" s="249" t="s">
        <v>7067</v>
      </c>
      <c r="J36" s="249" t="s">
        <v>7483</v>
      </c>
      <c r="K36" s="300" t="s">
        <v>7139</v>
      </c>
      <c r="L36" s="251" t="s">
        <v>7483</v>
      </c>
      <c r="M36" s="251">
        <v>30.9335436</v>
      </c>
      <c r="N36" s="251">
        <v>-6.937016</v>
      </c>
      <c r="O36" s="251" t="s">
        <v>7484</v>
      </c>
      <c r="P36" s="251" t="s">
        <v>1229</v>
      </c>
      <c r="Q36" s="251" t="s">
        <v>1229</v>
      </c>
      <c r="R36" s="251" t="s">
        <v>1229</v>
      </c>
      <c r="S36" s="251" t="s">
        <v>5801</v>
      </c>
      <c r="T36" s="300" t="s">
        <v>2208</v>
      </c>
      <c r="U36" s="251" t="s">
        <v>7485</v>
      </c>
      <c r="V36" s="251" t="s">
        <v>7146</v>
      </c>
      <c r="W36" s="249" t="s">
        <v>7147</v>
      </c>
      <c r="X36" s="249" t="s">
        <v>7299</v>
      </c>
      <c r="Y36" s="5" t="s">
        <v>7149</v>
      </c>
      <c r="Z36" s="5" t="s">
        <v>97</v>
      </c>
      <c r="AA36" s="5" t="s">
        <v>2312</v>
      </c>
      <c r="AB36" s="5" t="s">
        <v>469</v>
      </c>
      <c r="AC36" s="5" t="s">
        <v>498</v>
      </c>
      <c r="AD36" s="5" t="s">
        <v>142</v>
      </c>
      <c r="AE36" s="5" t="s">
        <v>2391</v>
      </c>
      <c r="AF36" s="5" t="s">
        <v>213</v>
      </c>
      <c r="AG36" s="23" t="s">
        <v>1174</v>
      </c>
      <c r="AH36" s="23" t="s">
        <v>7281</v>
      </c>
      <c r="AI36" s="23" t="s">
        <v>2060</v>
      </c>
      <c r="AJ36" s="23" t="s">
        <v>7486</v>
      </c>
      <c r="AK36" s="23" t="s">
        <v>7487</v>
      </c>
      <c r="AL36" s="23" t="s">
        <v>7488</v>
      </c>
    </row>
    <row r="37" ht="15.0" customHeight="1">
      <c r="A37" s="249" t="s">
        <v>2172</v>
      </c>
      <c r="B37" s="249" t="s">
        <v>7126</v>
      </c>
      <c r="C37" s="249" t="s">
        <v>7489</v>
      </c>
      <c r="D37" s="249" t="s">
        <v>7128</v>
      </c>
      <c r="E37" s="249" t="str">
        <f t="shared" si="1"/>
        <v>POI-VIS</v>
      </c>
      <c r="F37" s="249" t="s">
        <v>7490</v>
      </c>
      <c r="G37" s="249" t="s">
        <v>7154</v>
      </c>
      <c r="H37" s="249" t="s">
        <v>7491</v>
      </c>
      <c r="I37" s="249" t="s">
        <v>7067</v>
      </c>
      <c r="J37" s="249" t="s">
        <v>7482</v>
      </c>
      <c r="K37" s="300" t="s">
        <v>7139</v>
      </c>
      <c r="L37" s="251" t="s">
        <v>7492</v>
      </c>
      <c r="M37" s="251">
        <v>30.9401361</v>
      </c>
      <c r="N37" s="251">
        <v>-6.9670487</v>
      </c>
      <c r="O37" s="251" t="s">
        <v>7493</v>
      </c>
      <c r="P37" s="251" t="s">
        <v>7494</v>
      </c>
      <c r="Q37" s="251" t="s">
        <v>1229</v>
      </c>
      <c r="R37" s="251" t="s">
        <v>1229</v>
      </c>
      <c r="S37" s="251" t="s">
        <v>5801</v>
      </c>
      <c r="T37" s="300" t="s">
        <v>2208</v>
      </c>
      <c r="U37" s="251" t="s">
        <v>7495</v>
      </c>
      <c r="V37" s="251" t="s">
        <v>7146</v>
      </c>
      <c r="W37" s="249" t="s">
        <v>7147</v>
      </c>
      <c r="X37" s="249" t="s">
        <v>7328</v>
      </c>
      <c r="Y37" s="5" t="s">
        <v>7149</v>
      </c>
      <c r="Z37" s="5" t="s">
        <v>97</v>
      </c>
      <c r="AA37" s="5" t="s">
        <v>2312</v>
      </c>
      <c r="AB37" s="5" t="s">
        <v>469</v>
      </c>
      <c r="AC37" s="5" t="s">
        <v>498</v>
      </c>
      <c r="AD37" s="5" t="s">
        <v>142</v>
      </c>
      <c r="AE37" s="5" t="s">
        <v>2391</v>
      </c>
      <c r="AF37" s="5" t="s">
        <v>213</v>
      </c>
      <c r="AG37" s="23" t="s">
        <v>1174</v>
      </c>
      <c r="AH37" s="23" t="s">
        <v>7281</v>
      </c>
      <c r="AI37" s="23" t="s">
        <v>2060</v>
      </c>
      <c r="AJ37" s="23" t="s">
        <v>7496</v>
      </c>
      <c r="AK37" s="23" t="s">
        <v>7497</v>
      </c>
      <c r="AL37" s="23" t="s">
        <v>7498</v>
      </c>
    </row>
    <row r="38" ht="15.0" customHeight="1">
      <c r="A38" s="249" t="s">
        <v>2172</v>
      </c>
      <c r="B38" s="249" t="s">
        <v>7126</v>
      </c>
      <c r="C38" s="249" t="s">
        <v>7499</v>
      </c>
      <c r="D38" s="249" t="s">
        <v>7281</v>
      </c>
      <c r="E38" s="249" t="str">
        <f t="shared" si="1"/>
        <v>POI-VUE</v>
      </c>
      <c r="F38" s="249" t="s">
        <v>7500</v>
      </c>
      <c r="G38" s="249" t="s">
        <v>7293</v>
      </c>
      <c r="H38" s="249" t="s">
        <v>7294</v>
      </c>
      <c r="I38" s="249" t="s">
        <v>7067</v>
      </c>
      <c r="J38" s="249" t="s">
        <v>7501</v>
      </c>
      <c r="K38" s="300" t="s">
        <v>7139</v>
      </c>
      <c r="L38" s="251" t="s">
        <v>7502</v>
      </c>
      <c r="M38" s="251">
        <v>31.2360736</v>
      </c>
      <c r="N38" s="251">
        <v>-7.9847225</v>
      </c>
      <c r="O38" s="251" t="s">
        <v>7503</v>
      </c>
      <c r="P38" s="251" t="s">
        <v>1229</v>
      </c>
      <c r="Q38" s="251" t="s">
        <v>1229</v>
      </c>
      <c r="R38" s="251" t="s">
        <v>1229</v>
      </c>
      <c r="S38" s="251" t="s">
        <v>5801</v>
      </c>
      <c r="T38" s="300" t="s">
        <v>2208</v>
      </c>
      <c r="U38" s="251" t="s">
        <v>7504</v>
      </c>
      <c r="V38" s="251" t="s">
        <v>7146</v>
      </c>
      <c r="W38" s="249" t="s">
        <v>7147</v>
      </c>
      <c r="X38" s="249" t="s">
        <v>7288</v>
      </c>
      <c r="Y38" s="5" t="s">
        <v>7149</v>
      </c>
      <c r="Z38" s="5" t="s">
        <v>97</v>
      </c>
      <c r="AA38" s="5" t="s">
        <v>2312</v>
      </c>
      <c r="AB38" s="5" t="s">
        <v>469</v>
      </c>
      <c r="AC38" s="5" t="s">
        <v>498</v>
      </c>
      <c r="AD38" s="5" t="s">
        <v>142</v>
      </c>
      <c r="AE38" s="5" t="s">
        <v>2391</v>
      </c>
      <c r="AF38" s="5" t="s">
        <v>213</v>
      </c>
      <c r="AG38" s="23" t="s">
        <v>1174</v>
      </c>
      <c r="AH38" s="23" t="s">
        <v>7219</v>
      </c>
      <c r="AI38" s="23" t="s">
        <v>2051</v>
      </c>
      <c r="AJ38" s="23" t="s">
        <v>7505</v>
      </c>
      <c r="AK38" s="23" t="s">
        <v>7506</v>
      </c>
      <c r="AL38" s="23" t="s">
        <v>7507</v>
      </c>
    </row>
    <row r="39" ht="15.0" customHeight="1">
      <c r="A39" s="249" t="s">
        <v>2172</v>
      </c>
      <c r="B39" s="249" t="s">
        <v>7126</v>
      </c>
      <c r="C39" s="249" t="s">
        <v>7508</v>
      </c>
      <c r="D39" s="249" t="s">
        <v>7281</v>
      </c>
      <c r="E39" s="249" t="str">
        <f t="shared" si="1"/>
        <v>POI-VUE</v>
      </c>
      <c r="F39" s="249" t="s">
        <v>7509</v>
      </c>
      <c r="G39" s="249" t="s">
        <v>7293</v>
      </c>
      <c r="H39" s="249" t="s">
        <v>7309</v>
      </c>
      <c r="I39" s="249" t="s">
        <v>7067</v>
      </c>
      <c r="J39" s="249" t="s">
        <v>7510</v>
      </c>
      <c r="K39" s="300" t="s">
        <v>7139</v>
      </c>
      <c r="L39" s="251" t="s">
        <v>7511</v>
      </c>
      <c r="M39" s="251">
        <v>31.0606</v>
      </c>
      <c r="N39" s="251">
        <v>-7.9153</v>
      </c>
      <c r="O39" s="251" t="s">
        <v>7512</v>
      </c>
      <c r="P39" s="251" t="s">
        <v>1229</v>
      </c>
      <c r="Q39" s="251" t="s">
        <v>1229</v>
      </c>
      <c r="R39" s="251" t="s">
        <v>1229</v>
      </c>
      <c r="S39" s="251" t="s">
        <v>5801</v>
      </c>
      <c r="T39" s="300" t="s">
        <v>2208</v>
      </c>
      <c r="U39" s="251" t="s">
        <v>7513</v>
      </c>
      <c r="V39" s="251" t="s">
        <v>7146</v>
      </c>
      <c r="W39" s="249" t="s">
        <v>7147</v>
      </c>
      <c r="X39" s="249" t="s">
        <v>7299</v>
      </c>
      <c r="Y39" s="5" t="s">
        <v>7149</v>
      </c>
      <c r="Z39" s="5" t="s">
        <v>97</v>
      </c>
      <c r="AA39" s="5" t="s">
        <v>2312</v>
      </c>
      <c r="AB39" s="5" t="s">
        <v>469</v>
      </c>
      <c r="AC39" s="5" t="s">
        <v>498</v>
      </c>
      <c r="AD39" s="5" t="s">
        <v>142</v>
      </c>
      <c r="AE39" s="5" t="s">
        <v>2391</v>
      </c>
      <c r="AF39" s="5" t="s">
        <v>213</v>
      </c>
      <c r="AG39" s="23" t="s">
        <v>1174</v>
      </c>
      <c r="AH39" s="23" t="s">
        <v>7219</v>
      </c>
      <c r="AI39" s="23" t="s">
        <v>2051</v>
      </c>
      <c r="AJ39" s="23" t="s">
        <v>7514</v>
      </c>
      <c r="AK39" s="23" t="s">
        <v>7515</v>
      </c>
      <c r="AL39" s="23" t="s">
        <v>7516</v>
      </c>
    </row>
    <row r="40" ht="15.0" customHeight="1">
      <c r="A40" s="249" t="s">
        <v>2172</v>
      </c>
      <c r="B40" s="249" t="s">
        <v>7126</v>
      </c>
      <c r="C40" s="249" t="s">
        <v>7517</v>
      </c>
      <c r="D40" s="249" t="s">
        <v>7219</v>
      </c>
      <c r="E40" s="249" t="str">
        <f t="shared" si="1"/>
        <v>POI-SHO</v>
      </c>
      <c r="F40" s="249" t="s">
        <v>7518</v>
      </c>
      <c r="G40" s="249" t="s">
        <v>7237</v>
      </c>
      <c r="H40" s="249" t="s">
        <v>7519</v>
      </c>
      <c r="I40" s="249" t="s">
        <v>7067</v>
      </c>
      <c r="J40" s="249" t="s">
        <v>7520</v>
      </c>
      <c r="K40" s="300" t="s">
        <v>7139</v>
      </c>
      <c r="L40" s="251" t="s">
        <v>7521</v>
      </c>
      <c r="M40" s="251">
        <v>31.6166533</v>
      </c>
      <c r="N40" s="251">
        <v>-7.8140169</v>
      </c>
      <c r="O40" s="251" t="s">
        <v>7522</v>
      </c>
      <c r="P40" s="251" t="s">
        <v>1229</v>
      </c>
      <c r="Q40" s="251" t="s">
        <v>1229</v>
      </c>
      <c r="R40" s="251" t="s">
        <v>1229</v>
      </c>
      <c r="S40" s="251" t="s">
        <v>5801</v>
      </c>
      <c r="T40" s="300" t="s">
        <v>2208</v>
      </c>
      <c r="U40" s="251" t="s">
        <v>7523</v>
      </c>
      <c r="V40" s="251" t="s">
        <v>7146</v>
      </c>
      <c r="W40" s="249" t="s">
        <v>7147</v>
      </c>
      <c r="X40" s="249" t="s">
        <v>7400</v>
      </c>
      <c r="Y40" s="5" t="s">
        <v>7149</v>
      </c>
      <c r="Z40" s="5" t="s">
        <v>97</v>
      </c>
      <c r="AA40" s="5" t="s">
        <v>2312</v>
      </c>
      <c r="AB40" s="5" t="s">
        <v>469</v>
      </c>
      <c r="AC40" s="5" t="s">
        <v>498</v>
      </c>
      <c r="AD40" s="5" t="s">
        <v>142</v>
      </c>
      <c r="AE40" s="5" t="s">
        <v>2391</v>
      </c>
      <c r="AF40" s="5" t="s">
        <v>213</v>
      </c>
    </row>
    <row r="41" ht="15.0" customHeight="1">
      <c r="A41" s="249" t="s">
        <v>2172</v>
      </c>
      <c r="B41" s="249" t="s">
        <v>7126</v>
      </c>
      <c r="C41" s="249" t="s">
        <v>7524</v>
      </c>
      <c r="D41" s="249" t="s">
        <v>7128</v>
      </c>
      <c r="E41" s="249" t="str">
        <f t="shared" si="1"/>
        <v>POI-VIS</v>
      </c>
      <c r="F41" s="249" t="s">
        <v>7525</v>
      </c>
      <c r="G41" s="249" t="s">
        <v>7150</v>
      </c>
      <c r="H41" s="249" t="s">
        <v>7526</v>
      </c>
      <c r="I41" s="249" t="s">
        <v>7067</v>
      </c>
      <c r="J41" s="249" t="s">
        <v>7527</v>
      </c>
      <c r="K41" s="300" t="s">
        <v>7139</v>
      </c>
      <c r="L41" s="251" t="s">
        <v>7528</v>
      </c>
      <c r="M41" s="251">
        <v>31.626536</v>
      </c>
      <c r="N41" s="251">
        <v>-7.996418</v>
      </c>
      <c r="O41" s="251" t="s">
        <v>7529</v>
      </c>
      <c r="P41" s="251" t="s">
        <v>1229</v>
      </c>
      <c r="Q41" s="251" t="s">
        <v>1229</v>
      </c>
      <c r="R41" s="251" t="s">
        <v>1229</v>
      </c>
      <c r="S41" s="251" t="s">
        <v>5801</v>
      </c>
      <c r="T41" s="300" t="s">
        <v>2208</v>
      </c>
      <c r="U41" s="251" t="s">
        <v>7530</v>
      </c>
      <c r="V41" s="251" t="s">
        <v>7146</v>
      </c>
      <c r="W41" s="249" t="s">
        <v>7147</v>
      </c>
      <c r="X41" s="249" t="s">
        <v>7227</v>
      </c>
      <c r="Y41" s="5" t="s">
        <v>7149</v>
      </c>
      <c r="Z41" s="5" t="s">
        <v>97</v>
      </c>
      <c r="AA41" s="5" t="s">
        <v>2312</v>
      </c>
      <c r="AB41" s="5" t="s">
        <v>469</v>
      </c>
      <c r="AC41" s="5" t="s">
        <v>498</v>
      </c>
      <c r="AD41" s="5" t="s">
        <v>142</v>
      </c>
      <c r="AE41" s="5" t="s">
        <v>2391</v>
      </c>
      <c r="AF41" s="5" t="s">
        <v>213</v>
      </c>
    </row>
    <row r="42" ht="15.0" customHeight="1">
      <c r="A42" s="249" t="s">
        <v>2172</v>
      </c>
      <c r="B42" s="249" t="s">
        <v>7126</v>
      </c>
      <c r="C42" s="249" t="s">
        <v>7531</v>
      </c>
      <c r="D42" s="249" t="s">
        <v>7128</v>
      </c>
      <c r="E42" s="249" t="str">
        <f t="shared" si="1"/>
        <v>POI-VIS</v>
      </c>
      <c r="F42" s="249" t="s">
        <v>7532</v>
      </c>
      <c r="G42" s="249" t="s">
        <v>7136</v>
      </c>
      <c r="H42" s="249" t="s">
        <v>7137</v>
      </c>
      <c r="I42" s="249" t="s">
        <v>7067</v>
      </c>
      <c r="J42" s="249" t="s">
        <v>7165</v>
      </c>
      <c r="K42" s="300" t="s">
        <v>7139</v>
      </c>
      <c r="L42" s="251" t="s">
        <v>7533</v>
      </c>
      <c r="M42" s="251">
        <v>31.6294966</v>
      </c>
      <c r="N42" s="251">
        <v>-7.9890551</v>
      </c>
      <c r="O42" s="251" t="s">
        <v>7534</v>
      </c>
      <c r="P42" s="251" t="s">
        <v>7535</v>
      </c>
      <c r="Q42" s="251" t="s">
        <v>1229</v>
      </c>
      <c r="R42" s="251" t="s">
        <v>1229</v>
      </c>
      <c r="S42" s="251" t="s">
        <v>5801</v>
      </c>
      <c r="T42" s="300" t="s">
        <v>2208</v>
      </c>
      <c r="U42" s="251" t="s">
        <v>7536</v>
      </c>
      <c r="V42" s="251" t="s">
        <v>7146</v>
      </c>
      <c r="W42" s="249" t="s">
        <v>7147</v>
      </c>
      <c r="X42" s="249" t="s">
        <v>7227</v>
      </c>
      <c r="Y42" s="5" t="s">
        <v>7149</v>
      </c>
      <c r="Z42" s="5" t="s">
        <v>97</v>
      </c>
      <c r="AA42" s="5" t="s">
        <v>2312</v>
      </c>
      <c r="AB42" s="5" t="s">
        <v>469</v>
      </c>
      <c r="AC42" s="5" t="s">
        <v>498</v>
      </c>
      <c r="AD42" s="5" t="s">
        <v>142</v>
      </c>
      <c r="AE42" s="5" t="s">
        <v>2391</v>
      </c>
      <c r="AF42" s="5" t="s">
        <v>213</v>
      </c>
    </row>
    <row r="43" ht="15.0" customHeight="1">
      <c r="A43" s="249" t="s">
        <v>2172</v>
      </c>
      <c r="B43" s="249" t="s">
        <v>7126</v>
      </c>
      <c r="C43" s="249" t="s">
        <v>7537</v>
      </c>
      <c r="D43" s="249" t="s">
        <v>7128</v>
      </c>
      <c r="E43" s="249" t="str">
        <f t="shared" si="1"/>
        <v>POI-VIS</v>
      </c>
      <c r="F43" s="249" t="s">
        <v>7538</v>
      </c>
      <c r="G43" s="249" t="s">
        <v>7136</v>
      </c>
      <c r="H43" s="249" t="s">
        <v>7137</v>
      </c>
      <c r="I43" s="249" t="s">
        <v>7067</v>
      </c>
      <c r="J43" s="249" t="s">
        <v>2306</v>
      </c>
      <c r="K43" s="300" t="s">
        <v>7139</v>
      </c>
      <c r="L43" s="251" t="s">
        <v>7539</v>
      </c>
      <c r="M43" s="251">
        <v>31.6251482</v>
      </c>
      <c r="N43" s="251">
        <v>-7.9891299</v>
      </c>
      <c r="O43" s="251" t="s">
        <v>7540</v>
      </c>
      <c r="P43" s="251" t="s">
        <v>1229</v>
      </c>
      <c r="Q43" s="251" t="s">
        <v>1229</v>
      </c>
      <c r="R43" s="251" t="s">
        <v>1229</v>
      </c>
      <c r="S43" s="251" t="s">
        <v>5801</v>
      </c>
      <c r="T43" s="300" t="s">
        <v>2208</v>
      </c>
      <c r="U43" s="251" t="s">
        <v>7541</v>
      </c>
      <c r="V43" s="251" t="s">
        <v>7146</v>
      </c>
      <c r="W43" s="249" t="s">
        <v>7147</v>
      </c>
      <c r="X43" s="249" t="s">
        <v>7174</v>
      </c>
      <c r="Y43" s="5" t="s">
        <v>7149</v>
      </c>
      <c r="Z43" s="5" t="s">
        <v>97</v>
      </c>
      <c r="AA43" s="5" t="s">
        <v>2312</v>
      </c>
      <c r="AB43" s="5" t="s">
        <v>469</v>
      </c>
      <c r="AC43" s="5" t="s">
        <v>498</v>
      </c>
      <c r="AD43" s="5" t="s">
        <v>142</v>
      </c>
      <c r="AE43" s="5" t="s">
        <v>2391</v>
      </c>
      <c r="AF43" s="5" t="s">
        <v>213</v>
      </c>
    </row>
    <row r="44" ht="15.0" customHeight="1">
      <c r="A44" s="249" t="s">
        <v>2172</v>
      </c>
      <c r="B44" s="249" t="s">
        <v>7126</v>
      </c>
      <c r="C44" s="249" t="s">
        <v>7542</v>
      </c>
      <c r="D44" s="249" t="s">
        <v>7128</v>
      </c>
      <c r="E44" s="249" t="str">
        <f t="shared" si="1"/>
        <v>POI-VIS</v>
      </c>
      <c r="F44" s="249" t="s">
        <v>7543</v>
      </c>
      <c r="G44" s="249" t="s">
        <v>7136</v>
      </c>
      <c r="H44" s="249" t="s">
        <v>7544</v>
      </c>
      <c r="I44" s="249" t="s">
        <v>7067</v>
      </c>
      <c r="J44" s="249" t="s">
        <v>2306</v>
      </c>
      <c r="K44" s="300" t="s">
        <v>7139</v>
      </c>
      <c r="L44" s="251" t="s">
        <v>7545</v>
      </c>
      <c r="M44" s="251">
        <v>31.6314376</v>
      </c>
      <c r="N44" s="251">
        <v>-7.9922895</v>
      </c>
      <c r="O44" s="251" t="s">
        <v>7254</v>
      </c>
      <c r="P44" s="251" t="s">
        <v>1229</v>
      </c>
      <c r="Q44" s="251" t="s">
        <v>1229</v>
      </c>
      <c r="R44" s="251" t="s">
        <v>1229</v>
      </c>
      <c r="S44" s="251" t="s">
        <v>5801</v>
      </c>
      <c r="T44" s="300" t="s">
        <v>2208</v>
      </c>
      <c r="U44" s="251" t="s">
        <v>7546</v>
      </c>
      <c r="V44" s="251" t="s">
        <v>7146</v>
      </c>
      <c r="W44" s="249" t="s">
        <v>7147</v>
      </c>
      <c r="X44" s="249" t="s">
        <v>7174</v>
      </c>
      <c r="Y44" s="5" t="s">
        <v>7149</v>
      </c>
      <c r="Z44" s="5" t="s">
        <v>97</v>
      </c>
      <c r="AA44" s="5" t="s">
        <v>2312</v>
      </c>
      <c r="AB44" s="5" t="s">
        <v>469</v>
      </c>
      <c r="AC44" s="5" t="s">
        <v>498</v>
      </c>
      <c r="AD44" s="5" t="s">
        <v>142</v>
      </c>
      <c r="AE44" s="5" t="s">
        <v>2391</v>
      </c>
      <c r="AF44" s="5" t="s">
        <v>213</v>
      </c>
    </row>
    <row r="45" ht="15.0" customHeight="1">
      <c r="A45" s="249" t="s">
        <v>2172</v>
      </c>
      <c r="B45" s="249" t="s">
        <v>7126</v>
      </c>
      <c r="C45" s="249" t="s">
        <v>7547</v>
      </c>
      <c r="D45" s="249" t="s">
        <v>7128</v>
      </c>
      <c r="E45" s="249" t="str">
        <f t="shared" si="1"/>
        <v>POI-VIS</v>
      </c>
      <c r="F45" s="249" t="s">
        <v>7548</v>
      </c>
      <c r="G45" s="249" t="s">
        <v>7154</v>
      </c>
      <c r="H45" s="249" t="s">
        <v>7549</v>
      </c>
      <c r="I45" s="249" t="s">
        <v>7067</v>
      </c>
      <c r="J45" s="249" t="s">
        <v>2306</v>
      </c>
      <c r="K45" s="300" t="s">
        <v>7139</v>
      </c>
      <c r="L45" s="251" t="s">
        <v>7166</v>
      </c>
      <c r="M45" s="251">
        <v>31.6306908</v>
      </c>
      <c r="N45" s="251">
        <v>-7.98952</v>
      </c>
      <c r="O45" s="251" t="s">
        <v>7168</v>
      </c>
      <c r="P45" s="251" t="s">
        <v>7169</v>
      </c>
      <c r="Q45" s="251" t="s">
        <v>1229</v>
      </c>
      <c r="R45" s="251" t="s">
        <v>1229</v>
      </c>
      <c r="S45" s="251" t="s">
        <v>5801</v>
      </c>
      <c r="T45" s="300" t="s">
        <v>2208</v>
      </c>
      <c r="U45" s="251" t="s">
        <v>7550</v>
      </c>
      <c r="V45" s="251" t="s">
        <v>7146</v>
      </c>
      <c r="W45" s="249" t="s">
        <v>7147</v>
      </c>
      <c r="X45" s="249" t="s">
        <v>7551</v>
      </c>
      <c r="Y45" s="5" t="s">
        <v>7149</v>
      </c>
      <c r="Z45" s="5" t="s">
        <v>97</v>
      </c>
      <c r="AA45" s="5" t="s">
        <v>2312</v>
      </c>
      <c r="AB45" s="5" t="s">
        <v>469</v>
      </c>
      <c r="AC45" s="5" t="s">
        <v>498</v>
      </c>
      <c r="AD45" s="5" t="s">
        <v>142</v>
      </c>
      <c r="AE45" s="5" t="s">
        <v>2391</v>
      </c>
      <c r="AF45" s="5" t="s">
        <v>213</v>
      </c>
    </row>
    <row r="46" ht="15.0" customHeight="1">
      <c r="A46" s="249" t="s">
        <v>2172</v>
      </c>
      <c r="B46" s="249" t="s">
        <v>7126</v>
      </c>
      <c r="C46" s="249" t="s">
        <v>7552</v>
      </c>
      <c r="D46" s="249" t="s">
        <v>7128</v>
      </c>
      <c r="E46" s="249" t="str">
        <f t="shared" si="1"/>
        <v>POI-VIS</v>
      </c>
      <c r="F46" s="249" t="s">
        <v>7553</v>
      </c>
      <c r="G46" s="249" t="s">
        <v>7136</v>
      </c>
      <c r="H46" s="249" t="s">
        <v>7554</v>
      </c>
      <c r="I46" s="249" t="s">
        <v>7067</v>
      </c>
      <c r="J46" s="249" t="s">
        <v>2306</v>
      </c>
      <c r="K46" s="300" t="s">
        <v>7139</v>
      </c>
      <c r="L46" s="251" t="s">
        <v>7555</v>
      </c>
      <c r="M46" s="251">
        <v>31.6217067</v>
      </c>
      <c r="N46" s="251">
        <v>-7.9819688</v>
      </c>
      <c r="O46" s="251" t="s">
        <v>7157</v>
      </c>
      <c r="P46" s="251" t="s">
        <v>7158</v>
      </c>
      <c r="Q46" s="251" t="s">
        <v>1229</v>
      </c>
      <c r="R46" s="251" t="s">
        <v>1229</v>
      </c>
      <c r="S46" s="251" t="s">
        <v>5801</v>
      </c>
      <c r="T46" s="300" t="s">
        <v>2208</v>
      </c>
      <c r="U46" s="251" t="s">
        <v>7556</v>
      </c>
      <c r="V46" s="251" t="s">
        <v>7146</v>
      </c>
      <c r="W46" s="249" t="s">
        <v>7147</v>
      </c>
      <c r="X46" s="249" t="s">
        <v>7551</v>
      </c>
      <c r="Y46" s="5" t="s">
        <v>7149</v>
      </c>
      <c r="Z46" s="5" t="s">
        <v>97</v>
      </c>
      <c r="AA46" s="5" t="s">
        <v>2312</v>
      </c>
      <c r="AB46" s="5" t="s">
        <v>469</v>
      </c>
      <c r="AC46" s="5" t="s">
        <v>498</v>
      </c>
      <c r="AD46" s="5" t="s">
        <v>142</v>
      </c>
      <c r="AE46" s="5" t="s">
        <v>2391</v>
      </c>
      <c r="AF46" s="5" t="s">
        <v>213</v>
      </c>
    </row>
    <row r="47" ht="15.0" customHeight="1">
      <c r="A47" s="249" t="s">
        <v>2172</v>
      </c>
      <c r="B47" s="249" t="s">
        <v>7126</v>
      </c>
      <c r="C47" s="249" t="s">
        <v>7557</v>
      </c>
      <c r="D47" s="249" t="s">
        <v>7128</v>
      </c>
      <c r="E47" s="249" t="str">
        <f t="shared" si="1"/>
        <v>POI-VIS</v>
      </c>
      <c r="F47" s="249" t="s">
        <v>7558</v>
      </c>
      <c r="G47" s="249" t="s">
        <v>7150</v>
      </c>
      <c r="H47" s="249" t="s">
        <v>7559</v>
      </c>
      <c r="I47" s="249" t="s">
        <v>7067</v>
      </c>
      <c r="J47" s="249" t="s">
        <v>2511</v>
      </c>
      <c r="K47" s="300" t="s">
        <v>7139</v>
      </c>
      <c r="L47" s="251" t="s">
        <v>7560</v>
      </c>
      <c r="M47" s="251">
        <v>31.672683</v>
      </c>
      <c r="N47" s="251">
        <v>-7.9293562</v>
      </c>
      <c r="O47" s="251" t="s">
        <v>7561</v>
      </c>
      <c r="P47" s="251" t="s">
        <v>4764</v>
      </c>
      <c r="Q47" s="251" t="s">
        <v>1229</v>
      </c>
      <c r="R47" s="251" t="s">
        <v>1229</v>
      </c>
      <c r="S47" s="251" t="s">
        <v>5801</v>
      </c>
      <c r="T47" s="300" t="s">
        <v>2208</v>
      </c>
      <c r="U47" s="251" t="s">
        <v>7562</v>
      </c>
      <c r="V47" s="251" t="s">
        <v>7146</v>
      </c>
      <c r="W47" s="249" t="s">
        <v>7147</v>
      </c>
      <c r="X47" s="249" t="s">
        <v>7328</v>
      </c>
      <c r="Y47" s="5" t="s">
        <v>7149</v>
      </c>
      <c r="Z47" s="5" t="s">
        <v>97</v>
      </c>
      <c r="AA47" s="5" t="s">
        <v>2312</v>
      </c>
      <c r="AB47" s="5" t="s">
        <v>469</v>
      </c>
      <c r="AC47" s="5" t="s">
        <v>498</v>
      </c>
      <c r="AD47" s="5" t="s">
        <v>142</v>
      </c>
      <c r="AE47" s="5" t="s">
        <v>2391</v>
      </c>
      <c r="AF47" s="5" t="s">
        <v>213</v>
      </c>
    </row>
    <row r="48" ht="15.0" customHeight="1">
      <c r="A48" s="249" t="s">
        <v>2172</v>
      </c>
      <c r="B48" s="249" t="s">
        <v>7126</v>
      </c>
      <c r="C48" s="249" t="s">
        <v>7563</v>
      </c>
      <c r="D48" s="249" t="s">
        <v>7281</v>
      </c>
      <c r="E48" s="249" t="str">
        <f t="shared" si="1"/>
        <v>POI-VUE</v>
      </c>
      <c r="F48" s="249" t="s">
        <v>7564</v>
      </c>
      <c r="G48" s="249" t="s">
        <v>7282</v>
      </c>
      <c r="H48" s="249" t="s">
        <v>7565</v>
      </c>
      <c r="I48" s="249" t="s">
        <v>7067</v>
      </c>
      <c r="J48" s="249" t="s">
        <v>2543</v>
      </c>
      <c r="K48" s="300" t="s">
        <v>7139</v>
      </c>
      <c r="L48" s="251" t="s">
        <v>7566</v>
      </c>
      <c r="M48" s="251">
        <v>31.4316034</v>
      </c>
      <c r="N48" s="251">
        <v>-8.1905653</v>
      </c>
      <c r="O48" s="251" t="s">
        <v>7408</v>
      </c>
      <c r="P48" s="251" t="s">
        <v>7567</v>
      </c>
      <c r="Q48" s="251" t="s">
        <v>1229</v>
      </c>
      <c r="R48" s="251" t="s">
        <v>1229</v>
      </c>
      <c r="S48" s="251" t="s">
        <v>5801</v>
      </c>
      <c r="T48" s="300" t="s">
        <v>2208</v>
      </c>
      <c r="U48" s="251" t="s">
        <v>7568</v>
      </c>
      <c r="V48" s="251" t="s">
        <v>7146</v>
      </c>
      <c r="W48" s="249" t="s">
        <v>7147</v>
      </c>
      <c r="X48" s="249" t="s">
        <v>7569</v>
      </c>
      <c r="Y48" s="5" t="s">
        <v>7149</v>
      </c>
      <c r="Z48" s="5" t="s">
        <v>97</v>
      </c>
      <c r="AA48" s="5" t="s">
        <v>2312</v>
      </c>
      <c r="AB48" s="5" t="s">
        <v>469</v>
      </c>
      <c r="AC48" s="5" t="s">
        <v>498</v>
      </c>
      <c r="AD48" s="5" t="s">
        <v>142</v>
      </c>
      <c r="AE48" s="5" t="s">
        <v>2391</v>
      </c>
      <c r="AF48" s="5" t="s">
        <v>213</v>
      </c>
    </row>
    <row r="49" ht="15.0" customHeight="1">
      <c r="A49" s="249" t="s">
        <v>2172</v>
      </c>
      <c r="B49" s="249" t="s">
        <v>7126</v>
      </c>
      <c r="C49" s="249" t="s">
        <v>7570</v>
      </c>
      <c r="D49" s="249" t="s">
        <v>7281</v>
      </c>
      <c r="E49" s="249" t="str">
        <f t="shared" si="1"/>
        <v>POI-VUE</v>
      </c>
      <c r="F49" s="249" t="s">
        <v>7571</v>
      </c>
      <c r="G49" s="249" t="s">
        <v>7293</v>
      </c>
      <c r="H49" s="249" t="s">
        <v>7283</v>
      </c>
      <c r="I49" s="249" t="s">
        <v>7067</v>
      </c>
      <c r="J49" s="249" t="s">
        <v>3146</v>
      </c>
      <c r="K49" s="300" t="s">
        <v>7139</v>
      </c>
      <c r="L49" s="251" t="s">
        <v>7572</v>
      </c>
      <c r="M49" s="251">
        <v>31.3799334</v>
      </c>
      <c r="N49" s="251">
        <v>-7.7843174</v>
      </c>
      <c r="O49" s="251" t="s">
        <v>7273</v>
      </c>
      <c r="P49" s="251" t="s">
        <v>7573</v>
      </c>
      <c r="Q49" s="251" t="s">
        <v>1229</v>
      </c>
      <c r="R49" s="251" t="s">
        <v>1229</v>
      </c>
      <c r="S49" s="251" t="s">
        <v>5801</v>
      </c>
      <c r="T49" s="300" t="s">
        <v>2208</v>
      </c>
      <c r="U49" s="251" t="s">
        <v>7574</v>
      </c>
      <c r="V49" s="251" t="s">
        <v>7146</v>
      </c>
      <c r="W49" s="249" t="s">
        <v>7147</v>
      </c>
      <c r="X49" s="249" t="s">
        <v>7328</v>
      </c>
      <c r="Y49" s="5" t="s">
        <v>7149</v>
      </c>
      <c r="Z49" s="5" t="s">
        <v>97</v>
      </c>
      <c r="AA49" s="5" t="s">
        <v>2312</v>
      </c>
      <c r="AB49" s="5" t="s">
        <v>469</v>
      </c>
      <c r="AC49" s="5" t="s">
        <v>498</v>
      </c>
      <c r="AD49" s="5" t="s">
        <v>142</v>
      </c>
      <c r="AE49" s="5" t="s">
        <v>2391</v>
      </c>
      <c r="AF49" s="5" t="s">
        <v>213</v>
      </c>
    </row>
    <row r="50" ht="15.0" customHeight="1">
      <c r="A50" s="249" t="s">
        <v>2172</v>
      </c>
      <c r="B50" s="249" t="s">
        <v>7126</v>
      </c>
      <c r="C50" s="249" t="s">
        <v>7575</v>
      </c>
      <c r="D50" s="249" t="s">
        <v>7281</v>
      </c>
      <c r="E50" s="249" t="str">
        <f t="shared" si="1"/>
        <v>POI-VUE</v>
      </c>
      <c r="F50" s="249" t="s">
        <v>7576</v>
      </c>
      <c r="G50" s="249" t="s">
        <v>7293</v>
      </c>
      <c r="H50" s="249" t="s">
        <v>7577</v>
      </c>
      <c r="I50" s="249" t="s">
        <v>7067</v>
      </c>
      <c r="J50" s="249" t="s">
        <v>7578</v>
      </c>
      <c r="K50" s="300" t="s">
        <v>7139</v>
      </c>
      <c r="L50" s="251" t="s">
        <v>7579</v>
      </c>
      <c r="M50" s="251">
        <v>31.3607462</v>
      </c>
      <c r="N50" s="251">
        <v>-7.9474293</v>
      </c>
      <c r="O50" s="251" t="s">
        <v>7580</v>
      </c>
      <c r="P50" s="251" t="s">
        <v>1229</v>
      </c>
      <c r="Q50" s="251" t="s">
        <v>1229</v>
      </c>
      <c r="R50" s="251" t="s">
        <v>1229</v>
      </c>
      <c r="S50" s="251" t="s">
        <v>5801</v>
      </c>
      <c r="T50" s="300" t="s">
        <v>2208</v>
      </c>
      <c r="U50" s="251" t="s">
        <v>7581</v>
      </c>
      <c r="V50" s="251" t="s">
        <v>7146</v>
      </c>
      <c r="W50" s="249" t="s">
        <v>7147</v>
      </c>
      <c r="X50" s="249" t="s">
        <v>7328</v>
      </c>
      <c r="Y50" s="5" t="s">
        <v>7149</v>
      </c>
      <c r="Z50" s="5" t="s">
        <v>97</v>
      </c>
      <c r="AA50" s="5" t="s">
        <v>2312</v>
      </c>
      <c r="AB50" s="5" t="s">
        <v>469</v>
      </c>
      <c r="AC50" s="5" t="s">
        <v>498</v>
      </c>
      <c r="AD50" s="5" t="s">
        <v>142</v>
      </c>
      <c r="AE50" s="5" t="s">
        <v>2391</v>
      </c>
      <c r="AF50" s="5" t="s">
        <v>213</v>
      </c>
    </row>
    <row r="51" ht="15.0" customHeight="1">
      <c r="A51" s="249" t="s">
        <v>2172</v>
      </c>
      <c r="B51" s="249" t="s">
        <v>7126</v>
      </c>
      <c r="C51" s="249" t="s">
        <v>7582</v>
      </c>
      <c r="D51" s="249" t="s">
        <v>7219</v>
      </c>
      <c r="E51" s="249" t="str">
        <f t="shared" si="1"/>
        <v>POI-SHO</v>
      </c>
      <c r="F51" s="249" t="s">
        <v>7583</v>
      </c>
      <c r="G51" s="249" t="s">
        <v>7220</v>
      </c>
      <c r="H51" s="249" t="s">
        <v>7584</v>
      </c>
      <c r="I51" s="249" t="s">
        <v>2398</v>
      </c>
      <c r="J51" s="249" t="s">
        <v>7585</v>
      </c>
      <c r="K51" s="300" t="s">
        <v>7139</v>
      </c>
      <c r="L51" s="251" t="s">
        <v>7586</v>
      </c>
      <c r="M51" s="251">
        <v>31.6656037</v>
      </c>
      <c r="N51" s="251">
        <v>-8.0442593</v>
      </c>
      <c r="O51" s="251" t="s">
        <v>7587</v>
      </c>
      <c r="P51" s="251" t="s">
        <v>7588</v>
      </c>
      <c r="Q51" s="251" t="s">
        <v>1229</v>
      </c>
      <c r="R51" s="251" t="s">
        <v>1229</v>
      </c>
      <c r="S51" s="251" t="s">
        <v>5801</v>
      </c>
      <c r="T51" s="300" t="s">
        <v>2208</v>
      </c>
      <c r="U51" s="251" t="s">
        <v>7589</v>
      </c>
      <c r="V51" s="251" t="s">
        <v>7146</v>
      </c>
      <c r="W51" s="249" t="s">
        <v>7147</v>
      </c>
      <c r="X51" s="249" t="s">
        <v>7590</v>
      </c>
      <c r="Y51" s="5" t="s">
        <v>7149</v>
      </c>
      <c r="Z51" s="5" t="s">
        <v>110</v>
      </c>
      <c r="AA51" s="5" t="s">
        <v>2312</v>
      </c>
      <c r="AB51" s="5" t="s">
        <v>469</v>
      </c>
      <c r="AC51" s="5" t="s">
        <v>498</v>
      </c>
      <c r="AD51" s="5" t="s">
        <v>142</v>
      </c>
      <c r="AE51" s="5" t="s">
        <v>2391</v>
      </c>
      <c r="AF51" s="5" t="s">
        <v>213</v>
      </c>
    </row>
    <row r="52" ht="15.0" customHeight="1">
      <c r="A52" s="249" t="s">
        <v>2172</v>
      </c>
      <c r="B52" s="249" t="s">
        <v>7126</v>
      </c>
      <c r="C52" s="249" t="s">
        <v>7591</v>
      </c>
      <c r="D52" s="249" t="s">
        <v>7219</v>
      </c>
      <c r="E52" s="249" t="str">
        <f t="shared" si="1"/>
        <v>POI-SHO</v>
      </c>
      <c r="F52" s="249" t="s">
        <v>7592</v>
      </c>
      <c r="G52" s="249" t="s">
        <v>7220</v>
      </c>
      <c r="H52" s="249" t="s">
        <v>7584</v>
      </c>
      <c r="I52" s="249" t="s">
        <v>2398</v>
      </c>
      <c r="J52" s="249" t="s">
        <v>2306</v>
      </c>
      <c r="K52" s="300" t="s">
        <v>7139</v>
      </c>
      <c r="L52" s="251" t="s">
        <v>7593</v>
      </c>
      <c r="M52" s="251">
        <v>31.6341038</v>
      </c>
      <c r="N52" s="251">
        <v>-8.0145597</v>
      </c>
      <c r="O52" s="251" t="s">
        <v>7594</v>
      </c>
      <c r="P52" s="251" t="s">
        <v>7595</v>
      </c>
      <c r="Q52" s="251" t="s">
        <v>1229</v>
      </c>
      <c r="R52" s="251" t="s">
        <v>1229</v>
      </c>
      <c r="S52" s="251" t="s">
        <v>5801</v>
      </c>
      <c r="T52" s="300" t="s">
        <v>2208</v>
      </c>
      <c r="U52" s="251" t="s">
        <v>7596</v>
      </c>
      <c r="V52" s="251" t="s">
        <v>7146</v>
      </c>
      <c r="W52" s="249" t="s">
        <v>7147</v>
      </c>
      <c r="X52" s="249" t="s">
        <v>7590</v>
      </c>
      <c r="Y52" s="5" t="s">
        <v>7149</v>
      </c>
      <c r="Z52" s="5" t="s">
        <v>110</v>
      </c>
      <c r="AA52" s="5" t="s">
        <v>2312</v>
      </c>
      <c r="AB52" s="5" t="s">
        <v>469</v>
      </c>
      <c r="AC52" s="5" t="s">
        <v>498</v>
      </c>
      <c r="AD52" s="5" t="s">
        <v>142</v>
      </c>
      <c r="AE52" s="5" t="s">
        <v>2391</v>
      </c>
      <c r="AF52" s="5" t="s">
        <v>213</v>
      </c>
    </row>
    <row r="53" ht="15.0" customHeight="1">
      <c r="A53" s="249" t="s">
        <v>2172</v>
      </c>
      <c r="B53" s="249" t="s">
        <v>7126</v>
      </c>
      <c r="C53" s="249" t="s">
        <v>7597</v>
      </c>
      <c r="D53" s="249" t="s">
        <v>7219</v>
      </c>
      <c r="E53" s="249" t="str">
        <f t="shared" si="1"/>
        <v>POI-SHO</v>
      </c>
      <c r="F53" s="249" t="s">
        <v>7598</v>
      </c>
      <c r="G53" s="249" t="s">
        <v>7220</v>
      </c>
      <c r="H53" s="249" t="s">
        <v>7584</v>
      </c>
      <c r="I53" s="249" t="s">
        <v>2398</v>
      </c>
      <c r="J53" s="249" t="s">
        <v>7599</v>
      </c>
      <c r="K53" s="300" t="s">
        <v>7139</v>
      </c>
      <c r="L53" s="251" t="s">
        <v>7600</v>
      </c>
      <c r="M53" s="251">
        <v>31.6406189</v>
      </c>
      <c r="N53" s="251">
        <v>-8.0027031</v>
      </c>
      <c r="O53" s="251" t="s">
        <v>7534</v>
      </c>
      <c r="P53" s="251" t="s">
        <v>7601</v>
      </c>
      <c r="Q53" s="251" t="s">
        <v>1229</v>
      </c>
      <c r="R53" s="251" t="s">
        <v>1229</v>
      </c>
      <c r="S53" s="251" t="s">
        <v>5801</v>
      </c>
      <c r="T53" s="300" t="s">
        <v>2208</v>
      </c>
      <c r="U53" s="251" t="s">
        <v>7602</v>
      </c>
      <c r="V53" s="251" t="s">
        <v>7146</v>
      </c>
      <c r="W53" s="249" t="s">
        <v>7147</v>
      </c>
      <c r="X53" s="249" t="s">
        <v>7590</v>
      </c>
      <c r="Y53" s="5" t="s">
        <v>7149</v>
      </c>
      <c r="Z53" s="5" t="s">
        <v>110</v>
      </c>
      <c r="AA53" s="5" t="s">
        <v>2312</v>
      </c>
      <c r="AB53" s="5" t="s">
        <v>469</v>
      </c>
      <c r="AC53" s="5" t="s">
        <v>498</v>
      </c>
      <c r="AD53" s="5" t="s">
        <v>142</v>
      </c>
      <c r="AE53" s="5" t="s">
        <v>2391</v>
      </c>
      <c r="AF53" s="5" t="s">
        <v>213</v>
      </c>
    </row>
    <row r="54" ht="15.0" customHeight="1">
      <c r="A54" s="249" t="s">
        <v>2172</v>
      </c>
      <c r="B54" s="249" t="s">
        <v>7126</v>
      </c>
      <c r="C54" s="249" t="s">
        <v>7603</v>
      </c>
      <c r="D54" s="249" t="s">
        <v>7219</v>
      </c>
      <c r="E54" s="249" t="str">
        <f t="shared" si="1"/>
        <v>POI-SHO</v>
      </c>
      <c r="F54" s="249" t="s">
        <v>7604</v>
      </c>
      <c r="G54" s="249" t="s">
        <v>7220</v>
      </c>
      <c r="H54" s="249" t="s">
        <v>7584</v>
      </c>
      <c r="I54" s="249" t="s">
        <v>2398</v>
      </c>
      <c r="J54" s="249" t="s">
        <v>2191</v>
      </c>
      <c r="K54" s="300" t="s">
        <v>7139</v>
      </c>
      <c r="L54" s="251" t="s">
        <v>7605</v>
      </c>
      <c r="M54" s="251">
        <v>31.633838</v>
      </c>
      <c r="N54" s="251">
        <v>-7.9852459</v>
      </c>
      <c r="O54" s="251" t="s">
        <v>7606</v>
      </c>
      <c r="P54" s="251" t="s">
        <v>7607</v>
      </c>
      <c r="Q54" s="251" t="s">
        <v>1229</v>
      </c>
      <c r="R54" s="251" t="s">
        <v>1229</v>
      </c>
      <c r="S54" s="251" t="s">
        <v>5801</v>
      </c>
      <c r="T54" s="300" t="s">
        <v>2208</v>
      </c>
      <c r="U54" s="251" t="s">
        <v>7608</v>
      </c>
      <c r="V54" s="251" t="s">
        <v>7146</v>
      </c>
      <c r="W54" s="249" t="s">
        <v>7147</v>
      </c>
      <c r="X54" s="249" t="s">
        <v>7590</v>
      </c>
      <c r="Y54" s="5" t="s">
        <v>7149</v>
      </c>
      <c r="Z54" s="5" t="s">
        <v>110</v>
      </c>
      <c r="AA54" s="5" t="s">
        <v>2312</v>
      </c>
      <c r="AB54" s="5" t="s">
        <v>469</v>
      </c>
      <c r="AC54" s="5" t="s">
        <v>498</v>
      </c>
      <c r="AD54" s="5" t="s">
        <v>142</v>
      </c>
      <c r="AE54" s="5" t="s">
        <v>2391</v>
      </c>
      <c r="AF54" s="5" t="s">
        <v>213</v>
      </c>
    </row>
    <row r="55" ht="15.0" customHeight="1">
      <c r="A55" s="249" t="s">
        <v>2172</v>
      </c>
      <c r="B55" s="249" t="s">
        <v>7126</v>
      </c>
      <c r="C55" s="249" t="s">
        <v>7609</v>
      </c>
      <c r="D55" s="249" t="s">
        <v>7219</v>
      </c>
      <c r="E55" s="249" t="str">
        <f t="shared" si="1"/>
        <v>POI-SHO</v>
      </c>
      <c r="F55" s="249" t="s">
        <v>7610</v>
      </c>
      <c r="G55" s="249" t="s">
        <v>7220</v>
      </c>
      <c r="H55" s="249" t="s">
        <v>7584</v>
      </c>
      <c r="I55" s="249" t="s">
        <v>2398</v>
      </c>
      <c r="J55" s="249" t="s">
        <v>7611</v>
      </c>
      <c r="K55" s="300" t="s">
        <v>7139</v>
      </c>
      <c r="L55" s="251" t="s">
        <v>7612</v>
      </c>
      <c r="M55" s="251">
        <v>31.6317051</v>
      </c>
      <c r="N55" s="251">
        <v>-7.9941436</v>
      </c>
      <c r="O55" s="251" t="s">
        <v>7181</v>
      </c>
      <c r="P55" s="251" t="s">
        <v>7613</v>
      </c>
      <c r="Q55" s="251" t="s">
        <v>1229</v>
      </c>
      <c r="R55" s="251" t="s">
        <v>1229</v>
      </c>
      <c r="S55" s="251" t="s">
        <v>5801</v>
      </c>
      <c r="T55" s="300" t="s">
        <v>2208</v>
      </c>
      <c r="U55" s="251" t="s">
        <v>7614</v>
      </c>
      <c r="V55" s="251" t="s">
        <v>7146</v>
      </c>
      <c r="W55" s="249" t="s">
        <v>7147</v>
      </c>
      <c r="X55" s="249" t="s">
        <v>7590</v>
      </c>
      <c r="Y55" s="5" t="s">
        <v>7149</v>
      </c>
      <c r="Z55" s="5" t="s">
        <v>110</v>
      </c>
      <c r="AA55" s="5" t="s">
        <v>2312</v>
      </c>
      <c r="AB55" s="5" t="s">
        <v>469</v>
      </c>
      <c r="AC55" s="5" t="s">
        <v>498</v>
      </c>
      <c r="AD55" s="5" t="s">
        <v>142</v>
      </c>
      <c r="AE55" s="5" t="s">
        <v>2391</v>
      </c>
      <c r="AF55" s="5" t="s">
        <v>213</v>
      </c>
    </row>
    <row r="56" ht="15.0" customHeight="1">
      <c r="A56" s="249" t="s">
        <v>2172</v>
      </c>
      <c r="B56" s="249" t="s">
        <v>7126</v>
      </c>
      <c r="C56" s="249" t="s">
        <v>7615</v>
      </c>
      <c r="D56" s="249" t="s">
        <v>7219</v>
      </c>
      <c r="E56" s="249" t="str">
        <f t="shared" si="1"/>
        <v>POI-SHO</v>
      </c>
      <c r="F56" s="249" t="s">
        <v>7616</v>
      </c>
      <c r="G56" s="249" t="s">
        <v>7220</v>
      </c>
      <c r="H56" s="249" t="s">
        <v>7584</v>
      </c>
      <c r="I56" s="249" t="s">
        <v>2398</v>
      </c>
      <c r="J56" s="249" t="s">
        <v>7617</v>
      </c>
      <c r="K56" s="300" t="s">
        <v>7139</v>
      </c>
      <c r="L56" s="251" t="s">
        <v>7618</v>
      </c>
      <c r="M56" s="251">
        <v>31.6323024</v>
      </c>
      <c r="N56" s="251">
        <v>-7.9885401</v>
      </c>
      <c r="O56" s="251" t="s">
        <v>7619</v>
      </c>
      <c r="P56" s="251" t="s">
        <v>7620</v>
      </c>
      <c r="Q56" s="251" t="s">
        <v>1229</v>
      </c>
      <c r="R56" s="251" t="s">
        <v>1229</v>
      </c>
      <c r="S56" s="251" t="s">
        <v>5801</v>
      </c>
      <c r="T56" s="300" t="s">
        <v>2208</v>
      </c>
      <c r="U56" s="251" t="s">
        <v>7621</v>
      </c>
      <c r="V56" s="251" t="s">
        <v>7146</v>
      </c>
      <c r="W56" s="249" t="s">
        <v>7147</v>
      </c>
      <c r="X56" s="249" t="s">
        <v>7590</v>
      </c>
      <c r="Y56" s="5" t="s">
        <v>7149</v>
      </c>
      <c r="Z56" s="5" t="s">
        <v>110</v>
      </c>
      <c r="AA56" s="5" t="s">
        <v>2312</v>
      </c>
      <c r="AB56" s="5" t="s">
        <v>469</v>
      </c>
      <c r="AC56" s="5" t="s">
        <v>498</v>
      </c>
      <c r="AD56" s="5" t="s">
        <v>142</v>
      </c>
      <c r="AE56" s="5" t="s">
        <v>2391</v>
      </c>
      <c r="AF56" s="5" t="s">
        <v>213</v>
      </c>
    </row>
    <row r="57" ht="15.0" customHeight="1">
      <c r="A57" s="249" t="s">
        <v>2172</v>
      </c>
      <c r="B57" s="249" t="s">
        <v>7126</v>
      </c>
      <c r="C57" s="249" t="s">
        <v>7622</v>
      </c>
      <c r="D57" s="249" t="s">
        <v>7219</v>
      </c>
      <c r="E57" s="249" t="str">
        <f t="shared" si="1"/>
        <v>POI-SHO</v>
      </c>
      <c r="F57" s="249" t="s">
        <v>7623</v>
      </c>
      <c r="G57" s="249" t="s">
        <v>7220</v>
      </c>
      <c r="H57" s="249" t="s">
        <v>7584</v>
      </c>
      <c r="I57" s="249" t="s">
        <v>2398</v>
      </c>
      <c r="J57" s="249" t="s">
        <v>4617</v>
      </c>
      <c r="K57" s="300" t="s">
        <v>7139</v>
      </c>
      <c r="L57" s="251" t="s">
        <v>7624</v>
      </c>
      <c r="M57" s="251">
        <v>31.6690972</v>
      </c>
      <c r="N57" s="251">
        <v>-8.0379824</v>
      </c>
      <c r="O57" s="251" t="s">
        <v>7625</v>
      </c>
      <c r="P57" s="251" t="s">
        <v>7626</v>
      </c>
      <c r="Q57" s="251" t="s">
        <v>1229</v>
      </c>
      <c r="R57" s="251" t="s">
        <v>1229</v>
      </c>
      <c r="S57" s="251" t="s">
        <v>5801</v>
      </c>
      <c r="T57" s="300" t="s">
        <v>2208</v>
      </c>
      <c r="U57" s="251" t="s">
        <v>7627</v>
      </c>
      <c r="V57" s="251" t="s">
        <v>7146</v>
      </c>
      <c r="W57" s="249" t="s">
        <v>7147</v>
      </c>
      <c r="X57" s="249" t="s">
        <v>7590</v>
      </c>
      <c r="Y57" s="5" t="s">
        <v>7149</v>
      </c>
      <c r="Z57" s="5" t="s">
        <v>110</v>
      </c>
      <c r="AA57" s="5" t="s">
        <v>2312</v>
      </c>
      <c r="AB57" s="5" t="s">
        <v>469</v>
      </c>
      <c r="AC57" s="5" t="s">
        <v>498</v>
      </c>
      <c r="AD57" s="5" t="s">
        <v>142</v>
      </c>
      <c r="AE57" s="5" t="s">
        <v>2391</v>
      </c>
      <c r="AF57" s="5" t="s">
        <v>213</v>
      </c>
    </row>
    <row r="58" ht="15.0" customHeight="1">
      <c r="A58" s="249" t="s">
        <v>2172</v>
      </c>
      <c r="B58" s="249" t="s">
        <v>7126</v>
      </c>
      <c r="C58" s="249" t="s">
        <v>7628</v>
      </c>
      <c r="D58" s="249" t="s">
        <v>7219</v>
      </c>
      <c r="E58" s="249" t="str">
        <f t="shared" si="1"/>
        <v>POI-SHO</v>
      </c>
      <c r="F58" s="249" t="s">
        <v>7629</v>
      </c>
      <c r="G58" s="249" t="s">
        <v>7220</v>
      </c>
      <c r="H58" s="249" t="s">
        <v>7584</v>
      </c>
      <c r="I58" s="249" t="s">
        <v>2398</v>
      </c>
      <c r="J58" s="249" t="s">
        <v>7630</v>
      </c>
      <c r="K58" s="300" t="s">
        <v>7139</v>
      </c>
      <c r="L58" s="251" t="s">
        <v>7631</v>
      </c>
      <c r="M58" s="251">
        <v>31.6661792</v>
      </c>
      <c r="N58" s="251">
        <v>-8.0437938</v>
      </c>
      <c r="O58" s="251" t="s">
        <v>7632</v>
      </c>
      <c r="P58" s="251" t="s">
        <v>7633</v>
      </c>
      <c r="Q58" s="251" t="s">
        <v>1229</v>
      </c>
      <c r="R58" s="251" t="s">
        <v>1229</v>
      </c>
      <c r="S58" s="251" t="s">
        <v>5801</v>
      </c>
      <c r="T58" s="300" t="s">
        <v>2208</v>
      </c>
      <c r="U58" s="251" t="s">
        <v>7634</v>
      </c>
      <c r="V58" s="251" t="s">
        <v>7146</v>
      </c>
      <c r="W58" s="249" t="s">
        <v>7147</v>
      </c>
      <c r="X58" s="249" t="s">
        <v>7590</v>
      </c>
      <c r="Y58" s="5" t="s">
        <v>7149</v>
      </c>
      <c r="Z58" s="5" t="s">
        <v>110</v>
      </c>
      <c r="AA58" s="5" t="s">
        <v>2312</v>
      </c>
      <c r="AB58" s="5" t="s">
        <v>469</v>
      </c>
      <c r="AC58" s="5" t="s">
        <v>498</v>
      </c>
      <c r="AD58" s="5" t="s">
        <v>142</v>
      </c>
      <c r="AE58" s="5" t="s">
        <v>2391</v>
      </c>
      <c r="AF58" s="5" t="s">
        <v>213</v>
      </c>
    </row>
    <row r="59" ht="15.0" customHeight="1">
      <c r="A59" s="249" t="s">
        <v>2172</v>
      </c>
      <c r="B59" s="249" t="s">
        <v>7126</v>
      </c>
      <c r="C59" s="249" t="s">
        <v>7635</v>
      </c>
      <c r="D59" s="249" t="s">
        <v>7219</v>
      </c>
      <c r="E59" s="249" t="str">
        <f t="shared" si="1"/>
        <v>POI-SHO</v>
      </c>
      <c r="F59" s="249" t="s">
        <v>7636</v>
      </c>
      <c r="G59" s="249" t="s">
        <v>7220</v>
      </c>
      <c r="H59" s="249" t="s">
        <v>7584</v>
      </c>
      <c r="I59" s="249" t="s">
        <v>2398</v>
      </c>
      <c r="J59" s="249" t="s">
        <v>2191</v>
      </c>
      <c r="K59" s="300" t="s">
        <v>7139</v>
      </c>
      <c r="L59" s="251" t="s">
        <v>7637</v>
      </c>
      <c r="M59" s="251">
        <v>31.626811</v>
      </c>
      <c r="N59" s="251">
        <v>-7.9891649</v>
      </c>
      <c r="O59" s="251" t="s">
        <v>7638</v>
      </c>
      <c r="P59" s="251" t="s">
        <v>7639</v>
      </c>
      <c r="Q59" s="251" t="s">
        <v>1229</v>
      </c>
      <c r="R59" s="251" t="s">
        <v>1229</v>
      </c>
      <c r="S59" s="251" t="s">
        <v>5801</v>
      </c>
      <c r="T59" s="300" t="s">
        <v>2208</v>
      </c>
      <c r="U59" s="251" t="s">
        <v>7640</v>
      </c>
      <c r="V59" s="251" t="s">
        <v>7146</v>
      </c>
      <c r="W59" s="249" t="s">
        <v>7147</v>
      </c>
      <c r="X59" s="249" t="s">
        <v>7590</v>
      </c>
      <c r="Y59" s="5" t="s">
        <v>7149</v>
      </c>
      <c r="Z59" s="5" t="s">
        <v>110</v>
      </c>
      <c r="AA59" s="5" t="s">
        <v>2312</v>
      </c>
      <c r="AB59" s="5" t="s">
        <v>469</v>
      </c>
      <c r="AC59" s="5" t="s">
        <v>498</v>
      </c>
      <c r="AD59" s="5" t="s">
        <v>142</v>
      </c>
      <c r="AE59" s="5" t="s">
        <v>2391</v>
      </c>
      <c r="AF59" s="5" t="s">
        <v>213</v>
      </c>
    </row>
    <row r="60" ht="15.0" customHeight="1">
      <c r="A60" s="249" t="s">
        <v>2172</v>
      </c>
      <c r="B60" s="249" t="s">
        <v>7126</v>
      </c>
      <c r="C60" s="249" t="s">
        <v>7641</v>
      </c>
      <c r="D60" s="249" t="s">
        <v>7219</v>
      </c>
      <c r="E60" s="249" t="str">
        <f t="shared" si="1"/>
        <v>POI-SHO</v>
      </c>
      <c r="F60" s="249" t="s">
        <v>7642</v>
      </c>
      <c r="G60" s="249" t="s">
        <v>7220</v>
      </c>
      <c r="H60" s="249" t="s">
        <v>7584</v>
      </c>
      <c r="I60" s="249" t="s">
        <v>2398</v>
      </c>
      <c r="J60" s="249" t="s">
        <v>2191</v>
      </c>
      <c r="K60" s="300" t="s">
        <v>7139</v>
      </c>
      <c r="L60" s="251" t="s">
        <v>7643</v>
      </c>
      <c r="M60" s="251">
        <v>31.6294598</v>
      </c>
      <c r="N60" s="251">
        <v>-8.0653327</v>
      </c>
      <c r="O60" s="251" t="s">
        <v>7644</v>
      </c>
      <c r="P60" s="251" t="s">
        <v>7645</v>
      </c>
      <c r="Q60" s="251" t="s">
        <v>1229</v>
      </c>
      <c r="R60" s="251" t="s">
        <v>1229</v>
      </c>
      <c r="S60" s="251" t="s">
        <v>5801</v>
      </c>
      <c r="T60" s="300" t="s">
        <v>2208</v>
      </c>
      <c r="U60" s="251" t="s">
        <v>7646</v>
      </c>
      <c r="V60" s="251" t="s">
        <v>7146</v>
      </c>
      <c r="W60" s="249" t="s">
        <v>7147</v>
      </c>
      <c r="X60" s="249" t="s">
        <v>7590</v>
      </c>
      <c r="Y60" s="5" t="s">
        <v>7149</v>
      </c>
      <c r="Z60" s="5" t="s">
        <v>110</v>
      </c>
      <c r="AA60" s="5" t="s">
        <v>2312</v>
      </c>
      <c r="AB60" s="5" t="s">
        <v>469</v>
      </c>
      <c r="AC60" s="5" t="s">
        <v>498</v>
      </c>
      <c r="AD60" s="5" t="s">
        <v>142</v>
      </c>
      <c r="AE60" s="5" t="s">
        <v>2391</v>
      </c>
      <c r="AF60" s="5" t="s">
        <v>213</v>
      </c>
    </row>
    <row r="61" ht="15.0" customHeight="1">
      <c r="A61" s="249" t="s">
        <v>2172</v>
      </c>
      <c r="B61" s="249" t="s">
        <v>7126</v>
      </c>
      <c r="C61" s="249" t="s">
        <v>7647</v>
      </c>
      <c r="D61" s="249" t="s">
        <v>7219</v>
      </c>
      <c r="E61" s="249" t="str">
        <f t="shared" si="1"/>
        <v>POI-SHO</v>
      </c>
      <c r="F61" s="249" t="s">
        <v>7648</v>
      </c>
      <c r="G61" s="249" t="s">
        <v>7220</v>
      </c>
      <c r="H61" s="249" t="s">
        <v>7584</v>
      </c>
      <c r="I61" s="249" t="s">
        <v>2398</v>
      </c>
      <c r="J61" s="249" t="s">
        <v>7599</v>
      </c>
      <c r="K61" s="300" t="s">
        <v>7139</v>
      </c>
      <c r="L61" s="251" t="s">
        <v>7649</v>
      </c>
      <c r="M61" s="251">
        <v>31.628846</v>
      </c>
      <c r="N61" s="251">
        <v>-7.9868831</v>
      </c>
      <c r="O61" s="251" t="s">
        <v>7650</v>
      </c>
      <c r="P61" s="251" t="s">
        <v>7651</v>
      </c>
      <c r="Q61" s="251" t="s">
        <v>1229</v>
      </c>
      <c r="R61" s="251" t="s">
        <v>1229</v>
      </c>
      <c r="S61" s="251" t="s">
        <v>5801</v>
      </c>
      <c r="T61" s="300" t="s">
        <v>2208</v>
      </c>
      <c r="U61" s="251" t="s">
        <v>7652</v>
      </c>
      <c r="V61" s="251" t="s">
        <v>7146</v>
      </c>
      <c r="W61" s="249" t="s">
        <v>7147</v>
      </c>
      <c r="X61" s="249" t="s">
        <v>7590</v>
      </c>
      <c r="Y61" s="5" t="s">
        <v>7149</v>
      </c>
      <c r="Z61" s="5" t="s">
        <v>110</v>
      </c>
      <c r="AA61" s="5" t="s">
        <v>2312</v>
      </c>
      <c r="AB61" s="5" t="s">
        <v>469</v>
      </c>
      <c r="AC61" s="5" t="s">
        <v>498</v>
      </c>
      <c r="AD61" s="5" t="s">
        <v>142</v>
      </c>
      <c r="AE61" s="5" t="s">
        <v>2391</v>
      </c>
      <c r="AF61" s="5" t="s">
        <v>213</v>
      </c>
    </row>
    <row r="62" ht="15.0" customHeight="1">
      <c r="A62" s="249" t="s">
        <v>2172</v>
      </c>
      <c r="B62" s="249" t="s">
        <v>7126</v>
      </c>
      <c r="C62" s="249" t="s">
        <v>7653</v>
      </c>
      <c r="D62" s="249" t="s">
        <v>7219</v>
      </c>
      <c r="E62" s="249" t="str">
        <f t="shared" si="1"/>
        <v>POI-SHO</v>
      </c>
      <c r="F62" s="249" t="s">
        <v>7654</v>
      </c>
      <c r="G62" s="249" t="s">
        <v>7220</v>
      </c>
      <c r="H62" s="249" t="s">
        <v>7584</v>
      </c>
      <c r="I62" s="249" t="s">
        <v>2398</v>
      </c>
      <c r="J62" s="249" t="s">
        <v>7655</v>
      </c>
      <c r="K62" s="300" t="s">
        <v>7139</v>
      </c>
      <c r="L62" s="251" t="s">
        <v>1229</v>
      </c>
      <c r="M62" s="251" t="s">
        <v>1229</v>
      </c>
      <c r="N62" s="251" t="s">
        <v>1229</v>
      </c>
      <c r="O62" s="251" t="s">
        <v>1229</v>
      </c>
      <c r="P62" s="251" t="s">
        <v>1229</v>
      </c>
      <c r="Q62" s="251" t="s">
        <v>1229</v>
      </c>
      <c r="R62" s="251" t="s">
        <v>1229</v>
      </c>
      <c r="S62" s="251" t="s">
        <v>5801</v>
      </c>
      <c r="T62" s="300" t="s">
        <v>2208</v>
      </c>
      <c r="U62" s="251" t="s">
        <v>7656</v>
      </c>
      <c r="V62" s="251" t="s">
        <v>7146</v>
      </c>
      <c r="W62" s="249" t="s">
        <v>7147</v>
      </c>
      <c r="X62" s="249" t="s">
        <v>7590</v>
      </c>
      <c r="Y62" s="5" t="s">
        <v>7149</v>
      </c>
      <c r="Z62" s="5" t="s">
        <v>110</v>
      </c>
      <c r="AA62" s="5" t="s">
        <v>2312</v>
      </c>
      <c r="AB62" s="5" t="s">
        <v>469</v>
      </c>
      <c r="AC62" s="5" t="s">
        <v>498</v>
      </c>
      <c r="AD62" s="5" t="s">
        <v>142</v>
      </c>
      <c r="AE62" s="5" t="s">
        <v>2391</v>
      </c>
      <c r="AF62" s="5" t="s">
        <v>213</v>
      </c>
    </row>
    <row r="63" ht="15.0" customHeight="1">
      <c r="A63" s="249" t="s">
        <v>2172</v>
      </c>
      <c r="B63" s="249" t="s">
        <v>7126</v>
      </c>
      <c r="C63" s="249" t="s">
        <v>7657</v>
      </c>
      <c r="D63" s="249" t="s">
        <v>7219</v>
      </c>
      <c r="E63" s="249" t="str">
        <f t="shared" si="1"/>
        <v>POI-SHO</v>
      </c>
      <c r="F63" s="249" t="s">
        <v>7658</v>
      </c>
      <c r="G63" s="249" t="s">
        <v>7220</v>
      </c>
      <c r="H63" s="249" t="s">
        <v>7584</v>
      </c>
      <c r="I63" s="249" t="s">
        <v>2398</v>
      </c>
      <c r="J63" s="249" t="s">
        <v>7655</v>
      </c>
      <c r="K63" s="300" t="s">
        <v>7139</v>
      </c>
      <c r="L63" s="251" t="s">
        <v>1229</v>
      </c>
      <c r="M63" s="251" t="s">
        <v>1229</v>
      </c>
      <c r="N63" s="251" t="s">
        <v>1229</v>
      </c>
      <c r="O63" s="251" t="s">
        <v>1229</v>
      </c>
      <c r="P63" s="251" t="s">
        <v>1229</v>
      </c>
      <c r="Q63" s="251" t="s">
        <v>1229</v>
      </c>
      <c r="R63" s="251" t="s">
        <v>1229</v>
      </c>
      <c r="S63" s="251" t="s">
        <v>5801</v>
      </c>
      <c r="T63" s="300" t="s">
        <v>2208</v>
      </c>
      <c r="U63" s="251" t="s">
        <v>7659</v>
      </c>
      <c r="V63" s="251" t="s">
        <v>7146</v>
      </c>
      <c r="W63" s="249" t="s">
        <v>7147</v>
      </c>
      <c r="X63" s="249" t="s">
        <v>7590</v>
      </c>
      <c r="Y63" s="5" t="s">
        <v>7149</v>
      </c>
      <c r="Z63" s="5" t="s">
        <v>110</v>
      </c>
      <c r="AA63" s="5" t="s">
        <v>2312</v>
      </c>
      <c r="AB63" s="5" t="s">
        <v>469</v>
      </c>
      <c r="AC63" s="5" t="s">
        <v>498</v>
      </c>
      <c r="AD63" s="5" t="s">
        <v>142</v>
      </c>
      <c r="AE63" s="5" t="s">
        <v>2391</v>
      </c>
      <c r="AF63" s="5" t="s">
        <v>213</v>
      </c>
    </row>
    <row r="64" ht="15.0" customHeight="1">
      <c r="A64" s="249" t="s">
        <v>2172</v>
      </c>
      <c r="B64" s="249" t="s">
        <v>7126</v>
      </c>
      <c r="C64" s="249" t="s">
        <v>7660</v>
      </c>
      <c r="D64" s="249" t="s">
        <v>7219</v>
      </c>
      <c r="E64" s="249" t="str">
        <f t="shared" si="1"/>
        <v>POI-SHO</v>
      </c>
      <c r="F64" s="249" t="s">
        <v>7661</v>
      </c>
      <c r="G64" s="249" t="s">
        <v>7220</v>
      </c>
      <c r="H64" s="249" t="s">
        <v>7584</v>
      </c>
      <c r="I64" s="249" t="s">
        <v>2398</v>
      </c>
      <c r="J64" s="249" t="s">
        <v>4617</v>
      </c>
      <c r="K64" s="300" t="s">
        <v>7139</v>
      </c>
      <c r="L64" s="251" t="s">
        <v>7662</v>
      </c>
      <c r="M64" s="251">
        <v>31.6795032</v>
      </c>
      <c r="N64" s="251">
        <v>-8.0512684</v>
      </c>
      <c r="O64" s="251" t="s">
        <v>7663</v>
      </c>
      <c r="P64" s="251" t="s">
        <v>7664</v>
      </c>
      <c r="Q64" s="251" t="s">
        <v>1229</v>
      </c>
      <c r="R64" s="251" t="s">
        <v>1229</v>
      </c>
      <c r="S64" s="251" t="s">
        <v>5801</v>
      </c>
      <c r="T64" s="300" t="s">
        <v>2208</v>
      </c>
      <c r="U64" s="251" t="s">
        <v>7665</v>
      </c>
      <c r="V64" s="251" t="s">
        <v>7146</v>
      </c>
      <c r="W64" s="249" t="s">
        <v>7147</v>
      </c>
      <c r="X64" s="249" t="s">
        <v>7590</v>
      </c>
      <c r="Y64" s="5" t="s">
        <v>7149</v>
      </c>
      <c r="Z64" s="5" t="s">
        <v>110</v>
      </c>
      <c r="AA64" s="5" t="s">
        <v>2312</v>
      </c>
      <c r="AB64" s="5" t="s">
        <v>469</v>
      </c>
      <c r="AC64" s="5" t="s">
        <v>498</v>
      </c>
      <c r="AD64" s="5" t="s">
        <v>142</v>
      </c>
      <c r="AE64" s="5" t="s">
        <v>2391</v>
      </c>
      <c r="AF64" s="5" t="s">
        <v>213</v>
      </c>
    </row>
    <row r="65" ht="15.0" customHeight="1">
      <c r="A65" s="249" t="s">
        <v>2172</v>
      </c>
      <c r="B65" s="249" t="s">
        <v>7126</v>
      </c>
      <c r="C65" s="249" t="s">
        <v>7666</v>
      </c>
      <c r="D65" s="249" t="s">
        <v>7219</v>
      </c>
      <c r="E65" s="249" t="str">
        <f t="shared" si="1"/>
        <v>POI-SHO</v>
      </c>
      <c r="F65" s="249" t="s">
        <v>7667</v>
      </c>
      <c r="G65" s="249" t="s">
        <v>7220</v>
      </c>
      <c r="H65" s="249" t="s">
        <v>7584</v>
      </c>
      <c r="I65" s="249" t="s">
        <v>2398</v>
      </c>
      <c r="J65" s="249" t="s">
        <v>7668</v>
      </c>
      <c r="K65" s="300" t="s">
        <v>7139</v>
      </c>
      <c r="L65" s="251" t="s">
        <v>7669</v>
      </c>
      <c r="M65" s="251">
        <v>31.6410772</v>
      </c>
      <c r="N65" s="251">
        <v>-8.0020105</v>
      </c>
      <c r="O65" s="251" t="s">
        <v>7670</v>
      </c>
      <c r="P65" s="251" t="s">
        <v>7671</v>
      </c>
      <c r="Q65" s="251" t="s">
        <v>1229</v>
      </c>
      <c r="R65" s="251" t="s">
        <v>1229</v>
      </c>
      <c r="S65" s="251" t="s">
        <v>5801</v>
      </c>
      <c r="T65" s="300" t="s">
        <v>2208</v>
      </c>
      <c r="U65" s="251" t="s">
        <v>7672</v>
      </c>
      <c r="V65" s="251" t="s">
        <v>7146</v>
      </c>
      <c r="W65" s="249" t="s">
        <v>7147</v>
      </c>
      <c r="X65" s="249" t="s">
        <v>7590</v>
      </c>
      <c r="Y65" s="5" t="s">
        <v>7149</v>
      </c>
      <c r="Z65" s="5" t="s">
        <v>110</v>
      </c>
      <c r="AA65" s="5" t="s">
        <v>2312</v>
      </c>
      <c r="AB65" s="5" t="s">
        <v>469</v>
      </c>
      <c r="AC65" s="5" t="s">
        <v>498</v>
      </c>
      <c r="AD65" s="5" t="s">
        <v>142</v>
      </c>
      <c r="AE65" s="5" t="s">
        <v>2391</v>
      </c>
      <c r="AF65" s="5" t="s">
        <v>213</v>
      </c>
    </row>
    <row r="66" ht="15.0" customHeight="1">
      <c r="A66" s="249" t="s">
        <v>2172</v>
      </c>
      <c r="B66" s="249" t="s">
        <v>7126</v>
      </c>
      <c r="C66" s="249" t="s">
        <v>7673</v>
      </c>
      <c r="D66" s="249" t="s">
        <v>7219</v>
      </c>
      <c r="E66" s="249" t="str">
        <f t="shared" si="1"/>
        <v>POI-SHO</v>
      </c>
      <c r="F66" s="249" t="s">
        <v>7674</v>
      </c>
      <c r="G66" s="249" t="s">
        <v>7220</v>
      </c>
      <c r="H66" s="249" t="s">
        <v>7584</v>
      </c>
      <c r="I66" s="249" t="s">
        <v>2398</v>
      </c>
      <c r="J66" s="249" t="s">
        <v>7611</v>
      </c>
      <c r="K66" s="300" t="s">
        <v>7139</v>
      </c>
      <c r="L66" s="251" t="s">
        <v>7612</v>
      </c>
      <c r="M66" s="251">
        <v>31.6317051</v>
      </c>
      <c r="N66" s="251">
        <v>-7.9941436</v>
      </c>
      <c r="O66" s="251" t="s">
        <v>7181</v>
      </c>
      <c r="P66" s="251" t="s">
        <v>7613</v>
      </c>
      <c r="Q66" s="251" t="s">
        <v>1229</v>
      </c>
      <c r="R66" s="251" t="s">
        <v>1229</v>
      </c>
      <c r="S66" s="251" t="s">
        <v>5801</v>
      </c>
      <c r="T66" s="300" t="s">
        <v>2208</v>
      </c>
      <c r="U66" s="251" t="s">
        <v>7675</v>
      </c>
      <c r="V66" s="251" t="s">
        <v>7146</v>
      </c>
      <c r="W66" s="249" t="s">
        <v>7147</v>
      </c>
      <c r="X66" s="249" t="s">
        <v>7676</v>
      </c>
      <c r="Y66" s="5" t="s">
        <v>7149</v>
      </c>
      <c r="Z66" s="5" t="s">
        <v>110</v>
      </c>
      <c r="AA66" s="5" t="s">
        <v>2312</v>
      </c>
      <c r="AB66" s="5" t="s">
        <v>469</v>
      </c>
      <c r="AC66" s="5" t="s">
        <v>498</v>
      </c>
      <c r="AD66" s="5" t="s">
        <v>142</v>
      </c>
      <c r="AE66" s="5" t="s">
        <v>2391</v>
      </c>
      <c r="AF66" s="5" t="s">
        <v>213</v>
      </c>
    </row>
    <row r="67" ht="15.0" customHeight="1">
      <c r="A67" s="249" t="s">
        <v>2172</v>
      </c>
      <c r="B67" s="249" t="s">
        <v>7126</v>
      </c>
      <c r="C67" s="249" t="s">
        <v>7677</v>
      </c>
      <c r="D67" s="249" t="s">
        <v>7219</v>
      </c>
      <c r="E67" s="249" t="str">
        <f t="shared" si="1"/>
        <v>POI-SHO</v>
      </c>
      <c r="F67" s="249" t="s">
        <v>7678</v>
      </c>
      <c r="G67" s="249" t="s">
        <v>7220</v>
      </c>
      <c r="H67" s="249" t="s">
        <v>7584</v>
      </c>
      <c r="I67" s="249" t="s">
        <v>2398</v>
      </c>
      <c r="J67" s="249" t="s">
        <v>7432</v>
      </c>
      <c r="K67" s="300" t="s">
        <v>7139</v>
      </c>
      <c r="L67" s="251" t="s">
        <v>7679</v>
      </c>
      <c r="M67" s="251">
        <v>31.5709473</v>
      </c>
      <c r="N67" s="251">
        <v>-8.0289476</v>
      </c>
      <c r="O67" s="251" t="s">
        <v>7680</v>
      </c>
      <c r="P67" s="251" t="s">
        <v>7435</v>
      </c>
      <c r="Q67" s="251" t="s">
        <v>1229</v>
      </c>
      <c r="R67" s="251" t="s">
        <v>1229</v>
      </c>
      <c r="S67" s="251" t="s">
        <v>5801</v>
      </c>
      <c r="T67" s="300" t="s">
        <v>2208</v>
      </c>
      <c r="U67" s="251" t="s">
        <v>7681</v>
      </c>
      <c r="V67" s="251" t="s">
        <v>7146</v>
      </c>
      <c r="W67" s="249" t="s">
        <v>7147</v>
      </c>
      <c r="X67" s="249" t="s">
        <v>7590</v>
      </c>
      <c r="Y67" s="5" t="s">
        <v>7149</v>
      </c>
      <c r="Z67" s="5" t="s">
        <v>110</v>
      </c>
      <c r="AA67" s="5" t="s">
        <v>2312</v>
      </c>
      <c r="AB67" s="5" t="s">
        <v>469</v>
      </c>
      <c r="AC67" s="5" t="s">
        <v>498</v>
      </c>
      <c r="AD67" s="5" t="s">
        <v>142</v>
      </c>
      <c r="AE67" s="5" t="s">
        <v>2391</v>
      </c>
      <c r="AF67" s="5" t="s">
        <v>213</v>
      </c>
    </row>
    <row r="68" ht="15.0" customHeight="1">
      <c r="A68" s="249" t="s">
        <v>2172</v>
      </c>
      <c r="B68" s="249" t="s">
        <v>7126</v>
      </c>
      <c r="C68" s="249" t="s">
        <v>7682</v>
      </c>
      <c r="D68" s="249" t="s">
        <v>7219</v>
      </c>
      <c r="E68" s="249" t="str">
        <f t="shared" si="1"/>
        <v>POI-SHO</v>
      </c>
      <c r="F68" s="249" t="s">
        <v>7683</v>
      </c>
      <c r="G68" s="249" t="s">
        <v>7220</v>
      </c>
      <c r="H68" s="249" t="s">
        <v>7584</v>
      </c>
      <c r="I68" s="249" t="s">
        <v>2398</v>
      </c>
      <c r="J68" s="249" t="s">
        <v>7415</v>
      </c>
      <c r="K68" s="300" t="s">
        <v>7139</v>
      </c>
      <c r="L68" s="251" t="s">
        <v>7684</v>
      </c>
      <c r="M68" s="251">
        <v>31.6418694</v>
      </c>
      <c r="N68" s="251">
        <v>-8.0028769</v>
      </c>
      <c r="O68" s="251" t="s">
        <v>7417</v>
      </c>
      <c r="P68" s="251" t="s">
        <v>7143</v>
      </c>
      <c r="Q68" s="251" t="s">
        <v>1229</v>
      </c>
      <c r="R68" s="251" t="s">
        <v>1229</v>
      </c>
      <c r="S68" s="251" t="s">
        <v>5801</v>
      </c>
      <c r="T68" s="300" t="s">
        <v>2208</v>
      </c>
      <c r="U68" s="251" t="s">
        <v>7685</v>
      </c>
      <c r="V68" s="251" t="s">
        <v>7146</v>
      </c>
      <c r="W68" s="249" t="s">
        <v>7147</v>
      </c>
      <c r="X68" s="249" t="s">
        <v>7590</v>
      </c>
      <c r="Y68" s="5" t="s">
        <v>7149</v>
      </c>
      <c r="Z68" s="5" t="s">
        <v>110</v>
      </c>
      <c r="AA68" s="5" t="s">
        <v>2312</v>
      </c>
      <c r="AB68" s="5" t="s">
        <v>469</v>
      </c>
      <c r="AC68" s="5" t="s">
        <v>498</v>
      </c>
      <c r="AD68" s="5" t="s">
        <v>142</v>
      </c>
      <c r="AE68" s="5" t="s">
        <v>2391</v>
      </c>
      <c r="AF68" s="5" t="s">
        <v>213</v>
      </c>
    </row>
    <row r="69" ht="15.0" customHeight="1">
      <c r="A69" s="249" t="s">
        <v>2172</v>
      </c>
      <c r="B69" s="249" t="s">
        <v>7126</v>
      </c>
      <c r="C69" s="249" t="s">
        <v>7686</v>
      </c>
      <c r="D69" s="249" t="s">
        <v>7219</v>
      </c>
      <c r="E69" s="249" t="str">
        <f t="shared" si="1"/>
        <v>POI-SHO</v>
      </c>
      <c r="F69" s="249" t="s">
        <v>7687</v>
      </c>
      <c r="G69" s="249" t="s">
        <v>7220</v>
      </c>
      <c r="H69" s="249" t="s">
        <v>7584</v>
      </c>
      <c r="I69" s="249" t="s">
        <v>2398</v>
      </c>
      <c r="J69" s="249" t="s">
        <v>7688</v>
      </c>
      <c r="K69" s="300" t="s">
        <v>7139</v>
      </c>
      <c r="L69" s="251" t="s">
        <v>7689</v>
      </c>
      <c r="M69" s="251">
        <v>31.6425934</v>
      </c>
      <c r="N69" s="251">
        <v>-8.0031422</v>
      </c>
      <c r="O69" s="251" t="s">
        <v>7690</v>
      </c>
      <c r="P69" s="251" t="s">
        <v>7143</v>
      </c>
      <c r="Q69" s="251" t="s">
        <v>1229</v>
      </c>
      <c r="R69" s="251" t="s">
        <v>1229</v>
      </c>
      <c r="S69" s="251" t="s">
        <v>5801</v>
      </c>
      <c r="T69" s="300" t="s">
        <v>2208</v>
      </c>
      <c r="U69" s="251" t="s">
        <v>7691</v>
      </c>
      <c r="V69" s="251" t="s">
        <v>7146</v>
      </c>
      <c r="W69" s="249" t="s">
        <v>7147</v>
      </c>
      <c r="X69" s="249" t="s">
        <v>7590</v>
      </c>
      <c r="Y69" s="5" t="s">
        <v>7149</v>
      </c>
      <c r="Z69" s="5" t="s">
        <v>110</v>
      </c>
      <c r="AA69" s="5" t="s">
        <v>2312</v>
      </c>
      <c r="AB69" s="5" t="s">
        <v>469</v>
      </c>
      <c r="AC69" s="5" t="s">
        <v>498</v>
      </c>
      <c r="AD69" s="5" t="s">
        <v>142</v>
      </c>
      <c r="AE69" s="5" t="s">
        <v>2391</v>
      </c>
      <c r="AF69" s="5" t="s">
        <v>213</v>
      </c>
    </row>
    <row r="70" ht="15.0" customHeight="1">
      <c r="A70" s="249" t="s">
        <v>2172</v>
      </c>
      <c r="B70" s="249" t="s">
        <v>7126</v>
      </c>
      <c r="C70" s="249" t="s">
        <v>7692</v>
      </c>
      <c r="D70" s="249" t="s">
        <v>7219</v>
      </c>
      <c r="E70" s="249" t="str">
        <f t="shared" si="1"/>
        <v>POI-SHO</v>
      </c>
      <c r="F70" s="249" t="s">
        <v>7693</v>
      </c>
      <c r="G70" s="249" t="s">
        <v>7220</v>
      </c>
      <c r="H70" s="249" t="s">
        <v>7584</v>
      </c>
      <c r="I70" s="249" t="s">
        <v>2398</v>
      </c>
      <c r="J70" s="249" t="s">
        <v>7694</v>
      </c>
      <c r="K70" s="300" t="s">
        <v>7139</v>
      </c>
      <c r="L70" s="251" t="s">
        <v>7695</v>
      </c>
      <c r="M70" s="251">
        <v>31.6270276</v>
      </c>
      <c r="N70" s="251">
        <v>-7.9961944</v>
      </c>
      <c r="O70" s="251" t="s">
        <v>7696</v>
      </c>
      <c r="P70" s="251" t="s">
        <v>1229</v>
      </c>
      <c r="Q70" s="251" t="s">
        <v>1229</v>
      </c>
      <c r="R70" s="251" t="s">
        <v>1229</v>
      </c>
      <c r="S70" s="251" t="s">
        <v>5801</v>
      </c>
      <c r="T70" s="300" t="s">
        <v>2208</v>
      </c>
      <c r="U70" s="251" t="s">
        <v>7697</v>
      </c>
      <c r="V70" s="251" t="s">
        <v>7146</v>
      </c>
      <c r="W70" s="249" t="s">
        <v>7147</v>
      </c>
      <c r="X70" s="249" t="s">
        <v>7698</v>
      </c>
      <c r="Y70" s="5" t="s">
        <v>7149</v>
      </c>
      <c r="Z70" s="5" t="s">
        <v>110</v>
      </c>
      <c r="AA70" s="5" t="s">
        <v>2312</v>
      </c>
      <c r="AB70" s="5" t="s">
        <v>469</v>
      </c>
      <c r="AC70" s="5" t="s">
        <v>498</v>
      </c>
      <c r="AD70" s="5" t="s">
        <v>142</v>
      </c>
      <c r="AE70" s="5" t="s">
        <v>2391</v>
      </c>
      <c r="AF70" s="5" t="s">
        <v>213</v>
      </c>
    </row>
    <row r="71" ht="15.0" customHeight="1">
      <c r="A71" s="249" t="s">
        <v>2172</v>
      </c>
      <c r="B71" s="249" t="s">
        <v>7126</v>
      </c>
      <c r="C71" s="249" t="s">
        <v>7699</v>
      </c>
      <c r="D71" s="249" t="s">
        <v>7219</v>
      </c>
      <c r="E71" s="249" t="str">
        <f t="shared" si="1"/>
        <v>POI-SHO</v>
      </c>
      <c r="F71" s="249" t="s">
        <v>7700</v>
      </c>
      <c r="G71" s="249" t="s">
        <v>7220</v>
      </c>
      <c r="H71" s="249" t="s">
        <v>7584</v>
      </c>
      <c r="I71" s="249" t="s">
        <v>2398</v>
      </c>
      <c r="J71" s="249" t="s">
        <v>2191</v>
      </c>
      <c r="K71" s="300" t="s">
        <v>7139</v>
      </c>
      <c r="L71" s="251" t="s">
        <v>7701</v>
      </c>
      <c r="M71" s="251">
        <v>31.6348922</v>
      </c>
      <c r="N71" s="251">
        <v>-8.0114066</v>
      </c>
      <c r="O71" s="251" t="s">
        <v>7702</v>
      </c>
      <c r="P71" s="251" t="s">
        <v>1229</v>
      </c>
      <c r="Q71" s="251" t="s">
        <v>1229</v>
      </c>
      <c r="R71" s="251" t="s">
        <v>1229</v>
      </c>
      <c r="S71" s="251" t="s">
        <v>5801</v>
      </c>
      <c r="T71" s="300" t="s">
        <v>2208</v>
      </c>
      <c r="U71" s="251" t="s">
        <v>7703</v>
      </c>
      <c r="V71" s="251" t="s">
        <v>7146</v>
      </c>
      <c r="W71" s="249" t="s">
        <v>7147</v>
      </c>
      <c r="X71" s="249" t="s">
        <v>7704</v>
      </c>
      <c r="Y71" s="5" t="s">
        <v>7149</v>
      </c>
      <c r="Z71" s="5" t="s">
        <v>110</v>
      </c>
      <c r="AA71" s="5" t="s">
        <v>2312</v>
      </c>
      <c r="AB71" s="5" t="s">
        <v>469</v>
      </c>
      <c r="AC71" s="5" t="s">
        <v>498</v>
      </c>
      <c r="AD71" s="5" t="s">
        <v>142</v>
      </c>
      <c r="AE71" s="5" t="s">
        <v>2391</v>
      </c>
      <c r="AF71" s="5" t="s">
        <v>213</v>
      </c>
    </row>
    <row r="72" ht="15.0" customHeight="1">
      <c r="A72" s="249" t="s">
        <v>2172</v>
      </c>
      <c r="B72" s="249" t="s">
        <v>7126</v>
      </c>
      <c r="C72" s="249" t="s">
        <v>7705</v>
      </c>
      <c r="D72" s="249" t="s">
        <v>7219</v>
      </c>
      <c r="E72" s="249" t="str">
        <f t="shared" si="1"/>
        <v>POI-SHO</v>
      </c>
      <c r="F72" s="249" t="s">
        <v>4848</v>
      </c>
      <c r="G72" s="249" t="s">
        <v>7220</v>
      </c>
      <c r="H72" s="249" t="s">
        <v>7584</v>
      </c>
      <c r="I72" s="249" t="s">
        <v>2398</v>
      </c>
      <c r="J72" s="249" t="s">
        <v>7706</v>
      </c>
      <c r="K72" s="300" t="s">
        <v>7139</v>
      </c>
      <c r="L72" s="251" t="s">
        <v>7707</v>
      </c>
      <c r="M72" s="251">
        <v>31.6186366</v>
      </c>
      <c r="N72" s="251">
        <v>-8.0092535</v>
      </c>
      <c r="O72" s="251" t="s">
        <v>7670</v>
      </c>
      <c r="P72" s="251" t="s">
        <v>7708</v>
      </c>
      <c r="Q72" s="251" t="s">
        <v>1229</v>
      </c>
      <c r="R72" s="251" t="s">
        <v>1229</v>
      </c>
      <c r="S72" s="251" t="s">
        <v>5801</v>
      </c>
      <c r="T72" s="300" t="s">
        <v>2208</v>
      </c>
      <c r="U72" s="251" t="s">
        <v>7709</v>
      </c>
      <c r="V72" s="251" t="s">
        <v>7146</v>
      </c>
      <c r="W72" s="249" t="s">
        <v>7147</v>
      </c>
      <c r="X72" s="249" t="s">
        <v>7704</v>
      </c>
      <c r="Y72" s="5" t="s">
        <v>7149</v>
      </c>
      <c r="Z72" s="5" t="s">
        <v>110</v>
      </c>
      <c r="AA72" s="5" t="s">
        <v>2312</v>
      </c>
      <c r="AB72" s="5" t="s">
        <v>469</v>
      </c>
      <c r="AC72" s="5" t="s">
        <v>498</v>
      </c>
      <c r="AD72" s="5" t="s">
        <v>142</v>
      </c>
      <c r="AE72" s="5" t="s">
        <v>2391</v>
      </c>
      <c r="AF72" s="5" t="s">
        <v>213</v>
      </c>
    </row>
    <row r="73" ht="15.0" customHeight="1">
      <c r="A73" s="249" t="s">
        <v>2172</v>
      </c>
      <c r="B73" s="249" t="s">
        <v>7126</v>
      </c>
      <c r="C73" s="249" t="s">
        <v>7710</v>
      </c>
      <c r="D73" s="249" t="s">
        <v>7219</v>
      </c>
      <c r="E73" s="249" t="str">
        <f t="shared" si="1"/>
        <v>POI-SHO</v>
      </c>
      <c r="F73" s="249" t="s">
        <v>7711</v>
      </c>
      <c r="G73" s="249" t="s">
        <v>7220</v>
      </c>
      <c r="H73" s="249" t="s">
        <v>7584</v>
      </c>
      <c r="I73" s="249" t="s">
        <v>2398</v>
      </c>
      <c r="J73" s="249" t="s">
        <v>7706</v>
      </c>
      <c r="K73" s="300" t="s">
        <v>7139</v>
      </c>
      <c r="L73" s="251" t="s">
        <v>7712</v>
      </c>
      <c r="M73" s="251">
        <v>31.5928732</v>
      </c>
      <c r="N73" s="251">
        <v>-7.9859353</v>
      </c>
      <c r="O73" s="251" t="s">
        <v>7713</v>
      </c>
      <c r="P73" s="251" t="s">
        <v>7714</v>
      </c>
      <c r="Q73" s="251" t="s">
        <v>1229</v>
      </c>
      <c r="R73" s="251" t="s">
        <v>1229</v>
      </c>
      <c r="S73" s="251" t="s">
        <v>5801</v>
      </c>
      <c r="T73" s="300" t="s">
        <v>2208</v>
      </c>
      <c r="U73" s="251" t="s">
        <v>7715</v>
      </c>
      <c r="V73" s="251" t="s">
        <v>7146</v>
      </c>
      <c r="W73" s="249" t="s">
        <v>7147</v>
      </c>
      <c r="X73" s="249" t="s">
        <v>7704</v>
      </c>
      <c r="Y73" s="5" t="s">
        <v>7149</v>
      </c>
      <c r="Z73" s="5" t="s">
        <v>110</v>
      </c>
      <c r="AA73" s="5" t="s">
        <v>2312</v>
      </c>
      <c r="AB73" s="5" t="s">
        <v>469</v>
      </c>
      <c r="AC73" s="5" t="s">
        <v>498</v>
      </c>
      <c r="AD73" s="5" t="s">
        <v>142</v>
      </c>
      <c r="AE73" s="5" t="s">
        <v>2391</v>
      </c>
      <c r="AF73" s="5" t="s">
        <v>213</v>
      </c>
    </row>
    <row r="74" ht="15.0" customHeight="1">
      <c r="A74" s="249" t="s">
        <v>2172</v>
      </c>
      <c r="B74" s="249" t="s">
        <v>7126</v>
      </c>
      <c r="C74" s="249" t="s">
        <v>7716</v>
      </c>
      <c r="D74" s="249" t="s">
        <v>7219</v>
      </c>
      <c r="E74" s="249" t="str">
        <f t="shared" si="1"/>
        <v>POI-SHO</v>
      </c>
      <c r="F74" s="249" t="s">
        <v>7717</v>
      </c>
      <c r="G74" s="249" t="s">
        <v>7220</v>
      </c>
      <c r="H74" s="249" t="s">
        <v>7584</v>
      </c>
      <c r="I74" s="249" t="s">
        <v>2398</v>
      </c>
      <c r="J74" s="249" t="s">
        <v>2306</v>
      </c>
      <c r="K74" s="300" t="s">
        <v>7139</v>
      </c>
      <c r="L74" s="251" t="s">
        <v>7718</v>
      </c>
      <c r="M74" s="251">
        <v>31.6279711</v>
      </c>
      <c r="N74" s="251">
        <v>-7.9880702</v>
      </c>
      <c r="O74" s="251" t="s">
        <v>7719</v>
      </c>
      <c r="P74" s="251" t="s">
        <v>1229</v>
      </c>
      <c r="Q74" s="251" t="s">
        <v>1229</v>
      </c>
      <c r="R74" s="251" t="s">
        <v>1229</v>
      </c>
      <c r="S74" s="251" t="s">
        <v>5801</v>
      </c>
      <c r="T74" s="300" t="s">
        <v>2208</v>
      </c>
      <c r="U74" s="251" t="s">
        <v>7720</v>
      </c>
      <c r="V74" s="251" t="s">
        <v>7146</v>
      </c>
      <c r="W74" s="249" t="s">
        <v>7147</v>
      </c>
      <c r="X74" s="249" t="s">
        <v>7721</v>
      </c>
      <c r="Y74" s="5" t="s">
        <v>7149</v>
      </c>
      <c r="Z74" s="5" t="s">
        <v>110</v>
      </c>
      <c r="AA74" s="5" t="s">
        <v>2312</v>
      </c>
      <c r="AB74" s="5" t="s">
        <v>469</v>
      </c>
      <c r="AC74" s="5" t="s">
        <v>498</v>
      </c>
      <c r="AD74" s="5" t="s">
        <v>142</v>
      </c>
      <c r="AE74" s="5" t="s">
        <v>2391</v>
      </c>
      <c r="AF74" s="5" t="s">
        <v>213</v>
      </c>
    </row>
    <row r="75" ht="15.0" customHeight="1">
      <c r="A75" s="249" t="s">
        <v>2172</v>
      </c>
      <c r="B75" s="249" t="s">
        <v>7126</v>
      </c>
      <c r="C75" s="249" t="s">
        <v>7722</v>
      </c>
      <c r="D75" s="249" t="s">
        <v>7219</v>
      </c>
      <c r="E75" s="249" t="str">
        <f t="shared" si="1"/>
        <v>POI-SHO</v>
      </c>
      <c r="F75" s="249" t="s">
        <v>7723</v>
      </c>
      <c r="G75" s="249" t="s">
        <v>7220</v>
      </c>
      <c r="H75" s="249" t="s">
        <v>7584</v>
      </c>
      <c r="I75" s="249" t="s">
        <v>2398</v>
      </c>
      <c r="J75" s="249" t="s">
        <v>2306</v>
      </c>
      <c r="K75" s="300" t="s">
        <v>7139</v>
      </c>
      <c r="L75" s="251" t="s">
        <v>7724</v>
      </c>
      <c r="M75" s="251">
        <v>31.6303067</v>
      </c>
      <c r="N75" s="251">
        <v>-7.9866354</v>
      </c>
      <c r="O75" s="251" t="s">
        <v>7725</v>
      </c>
      <c r="P75" s="251" t="s">
        <v>1229</v>
      </c>
      <c r="Q75" s="251" t="s">
        <v>1229</v>
      </c>
      <c r="R75" s="251" t="s">
        <v>1229</v>
      </c>
      <c r="S75" s="251" t="s">
        <v>5801</v>
      </c>
      <c r="T75" s="300" t="s">
        <v>2208</v>
      </c>
      <c r="U75" s="251" t="s">
        <v>7726</v>
      </c>
      <c r="V75" s="251" t="s">
        <v>7146</v>
      </c>
      <c r="W75" s="249" t="s">
        <v>7147</v>
      </c>
      <c r="X75" s="249" t="s">
        <v>7721</v>
      </c>
      <c r="Y75" s="5" t="s">
        <v>7149</v>
      </c>
      <c r="Z75" s="5" t="s">
        <v>110</v>
      </c>
      <c r="AA75" s="5" t="s">
        <v>2312</v>
      </c>
      <c r="AB75" s="5" t="s">
        <v>469</v>
      </c>
      <c r="AC75" s="5" t="s">
        <v>498</v>
      </c>
      <c r="AD75" s="5" t="s">
        <v>142</v>
      </c>
      <c r="AE75" s="5" t="s">
        <v>2391</v>
      </c>
      <c r="AF75" s="5" t="s">
        <v>213</v>
      </c>
    </row>
    <row r="76" ht="15.0" customHeight="1">
      <c r="A76" s="249" t="s">
        <v>2172</v>
      </c>
      <c r="B76" s="249" t="s">
        <v>7126</v>
      </c>
      <c r="C76" s="249" t="s">
        <v>7727</v>
      </c>
      <c r="D76" s="249" t="s">
        <v>7219</v>
      </c>
      <c r="E76" s="249" t="str">
        <f t="shared" si="1"/>
        <v>POI-SHO</v>
      </c>
      <c r="F76" s="249" t="s">
        <v>7728</v>
      </c>
      <c r="G76" s="249" t="s">
        <v>7220</v>
      </c>
      <c r="H76" s="249" t="s">
        <v>7584</v>
      </c>
      <c r="I76" s="249" t="s">
        <v>2398</v>
      </c>
      <c r="J76" s="249" t="s">
        <v>2306</v>
      </c>
      <c r="K76" s="300" t="s">
        <v>7139</v>
      </c>
      <c r="L76" s="251" t="s">
        <v>7729</v>
      </c>
      <c r="M76" s="251">
        <v>31.6299774</v>
      </c>
      <c r="N76" s="251">
        <v>-7.9890286</v>
      </c>
      <c r="O76" s="251" t="s">
        <v>7730</v>
      </c>
      <c r="P76" s="251" t="s">
        <v>1229</v>
      </c>
      <c r="Q76" s="251" t="s">
        <v>1229</v>
      </c>
      <c r="R76" s="251" t="s">
        <v>1229</v>
      </c>
      <c r="S76" s="251" t="s">
        <v>5801</v>
      </c>
      <c r="T76" s="300" t="s">
        <v>2208</v>
      </c>
      <c r="U76" s="251" t="s">
        <v>7731</v>
      </c>
      <c r="V76" s="251" t="s">
        <v>7146</v>
      </c>
      <c r="W76" s="249" t="s">
        <v>7147</v>
      </c>
      <c r="X76" s="249" t="s">
        <v>7721</v>
      </c>
      <c r="Y76" s="5" t="s">
        <v>7149</v>
      </c>
      <c r="Z76" s="5" t="s">
        <v>110</v>
      </c>
      <c r="AA76" s="5" t="s">
        <v>2312</v>
      </c>
      <c r="AB76" s="5" t="s">
        <v>469</v>
      </c>
      <c r="AC76" s="5" t="s">
        <v>498</v>
      </c>
      <c r="AD76" s="5" t="s">
        <v>142</v>
      </c>
      <c r="AE76" s="5" t="s">
        <v>2391</v>
      </c>
      <c r="AF76" s="5" t="s">
        <v>213</v>
      </c>
    </row>
    <row r="77" ht="15.0" customHeight="1">
      <c r="A77" s="249" t="s">
        <v>2172</v>
      </c>
      <c r="B77" s="249" t="s">
        <v>7126</v>
      </c>
      <c r="C77" s="249" t="s">
        <v>7732</v>
      </c>
      <c r="D77" s="249" t="s">
        <v>7219</v>
      </c>
      <c r="E77" s="249" t="str">
        <f t="shared" si="1"/>
        <v>POI-SHO</v>
      </c>
      <c r="F77" s="249" t="s">
        <v>7733</v>
      </c>
      <c r="G77" s="249" t="s">
        <v>7220</v>
      </c>
      <c r="H77" s="249" t="s">
        <v>7584</v>
      </c>
      <c r="I77" s="249" t="s">
        <v>2398</v>
      </c>
      <c r="J77" s="249" t="s">
        <v>2306</v>
      </c>
      <c r="K77" s="300" t="s">
        <v>7139</v>
      </c>
      <c r="L77" s="251" t="s">
        <v>7734</v>
      </c>
      <c r="M77" s="251">
        <v>31.6308404</v>
      </c>
      <c r="N77" s="251">
        <v>-7.9872983</v>
      </c>
      <c r="O77" s="251" t="s">
        <v>7735</v>
      </c>
      <c r="P77" s="251" t="s">
        <v>1229</v>
      </c>
      <c r="Q77" s="251" t="s">
        <v>1229</v>
      </c>
      <c r="R77" s="251" t="s">
        <v>1229</v>
      </c>
      <c r="S77" s="251" t="s">
        <v>5801</v>
      </c>
      <c r="T77" s="300" t="s">
        <v>2208</v>
      </c>
      <c r="U77" s="251" t="s">
        <v>7736</v>
      </c>
      <c r="V77" s="251" t="s">
        <v>7146</v>
      </c>
      <c r="W77" s="249" t="s">
        <v>7147</v>
      </c>
      <c r="X77" s="249" t="s">
        <v>7721</v>
      </c>
      <c r="Y77" s="5" t="s">
        <v>7149</v>
      </c>
      <c r="Z77" s="5" t="s">
        <v>110</v>
      </c>
      <c r="AA77" s="5" t="s">
        <v>2312</v>
      </c>
      <c r="AB77" s="5" t="s">
        <v>469</v>
      </c>
      <c r="AC77" s="5" t="s">
        <v>498</v>
      </c>
      <c r="AD77" s="5" t="s">
        <v>142</v>
      </c>
      <c r="AE77" s="5" t="s">
        <v>2391</v>
      </c>
      <c r="AF77" s="5" t="s">
        <v>213</v>
      </c>
    </row>
    <row r="78" ht="15.0" customHeight="1">
      <c r="A78" s="249" t="s">
        <v>2172</v>
      </c>
      <c r="B78" s="249" t="s">
        <v>7126</v>
      </c>
      <c r="C78" s="249" t="s">
        <v>7737</v>
      </c>
      <c r="D78" s="249" t="s">
        <v>7219</v>
      </c>
      <c r="E78" s="249" t="str">
        <f t="shared" si="1"/>
        <v>POI-SHO</v>
      </c>
      <c r="F78" s="249" t="s">
        <v>7738</v>
      </c>
      <c r="G78" s="249" t="s">
        <v>7220</v>
      </c>
      <c r="H78" s="249" t="s">
        <v>7584</v>
      </c>
      <c r="I78" s="249" t="s">
        <v>2398</v>
      </c>
      <c r="J78" s="249" t="s">
        <v>2306</v>
      </c>
      <c r="K78" s="300" t="s">
        <v>7139</v>
      </c>
      <c r="L78" s="251" t="s">
        <v>7739</v>
      </c>
      <c r="M78" s="251">
        <v>31.6308281</v>
      </c>
      <c r="N78" s="251">
        <v>-7.9878726</v>
      </c>
      <c r="O78" s="251" t="s">
        <v>7273</v>
      </c>
      <c r="P78" s="251" t="s">
        <v>1229</v>
      </c>
      <c r="Q78" s="251" t="s">
        <v>1229</v>
      </c>
      <c r="R78" s="251" t="s">
        <v>1229</v>
      </c>
      <c r="S78" s="251" t="s">
        <v>5801</v>
      </c>
      <c r="T78" s="300" t="s">
        <v>2208</v>
      </c>
      <c r="U78" s="251" t="s">
        <v>7740</v>
      </c>
      <c r="V78" s="251" t="s">
        <v>7146</v>
      </c>
      <c r="W78" s="249" t="s">
        <v>7147</v>
      </c>
      <c r="X78" s="249" t="s">
        <v>7721</v>
      </c>
      <c r="Y78" s="5" t="s">
        <v>7149</v>
      </c>
      <c r="Z78" s="5" t="s">
        <v>110</v>
      </c>
      <c r="AA78" s="5" t="s">
        <v>2312</v>
      </c>
      <c r="AB78" s="5" t="s">
        <v>469</v>
      </c>
      <c r="AC78" s="5" t="s">
        <v>498</v>
      </c>
      <c r="AD78" s="5" t="s">
        <v>142</v>
      </c>
      <c r="AE78" s="5" t="s">
        <v>2391</v>
      </c>
      <c r="AF78" s="5" t="s">
        <v>213</v>
      </c>
    </row>
    <row r="79" ht="15.0" customHeight="1">
      <c r="A79" s="249" t="s">
        <v>2172</v>
      </c>
      <c r="B79" s="249" t="s">
        <v>7126</v>
      </c>
      <c r="C79" s="249" t="s">
        <v>7741</v>
      </c>
      <c r="D79" s="249" t="s">
        <v>7219</v>
      </c>
      <c r="E79" s="249" t="str">
        <f t="shared" si="1"/>
        <v>POI-SHO</v>
      </c>
      <c r="F79" s="249" t="s">
        <v>7742</v>
      </c>
      <c r="G79" s="249" t="s">
        <v>7220</v>
      </c>
      <c r="H79" s="249" t="s">
        <v>7584</v>
      </c>
      <c r="I79" s="249" t="s">
        <v>2398</v>
      </c>
      <c r="J79" s="249" t="s">
        <v>2306</v>
      </c>
      <c r="K79" s="300" t="s">
        <v>7139</v>
      </c>
      <c r="L79" s="251" t="s">
        <v>7743</v>
      </c>
      <c r="M79" s="251">
        <v>31.6309882</v>
      </c>
      <c r="N79" s="251">
        <v>-7.9872979</v>
      </c>
      <c r="O79" s="251" t="s">
        <v>7719</v>
      </c>
      <c r="P79" s="251" t="s">
        <v>1229</v>
      </c>
      <c r="Q79" s="251" t="s">
        <v>1229</v>
      </c>
      <c r="R79" s="251" t="s">
        <v>1229</v>
      </c>
      <c r="S79" s="251" t="s">
        <v>5801</v>
      </c>
      <c r="T79" s="300" t="s">
        <v>2208</v>
      </c>
      <c r="U79" s="251" t="s">
        <v>7744</v>
      </c>
      <c r="V79" s="251" t="s">
        <v>7146</v>
      </c>
      <c r="W79" s="249" t="s">
        <v>7147</v>
      </c>
      <c r="X79" s="249" t="s">
        <v>7721</v>
      </c>
      <c r="Y79" s="5" t="s">
        <v>7149</v>
      </c>
      <c r="Z79" s="5" t="s">
        <v>110</v>
      </c>
      <c r="AA79" s="5" t="s">
        <v>2312</v>
      </c>
      <c r="AB79" s="5" t="s">
        <v>469</v>
      </c>
      <c r="AC79" s="5" t="s">
        <v>498</v>
      </c>
      <c r="AD79" s="5" t="s">
        <v>142</v>
      </c>
      <c r="AE79" s="5" t="s">
        <v>2391</v>
      </c>
      <c r="AF79" s="5" t="s">
        <v>213</v>
      </c>
    </row>
    <row r="80" ht="15.0" customHeight="1">
      <c r="A80" s="249" t="s">
        <v>2172</v>
      </c>
      <c r="B80" s="249" t="s">
        <v>7126</v>
      </c>
      <c r="C80" s="249" t="s">
        <v>7745</v>
      </c>
      <c r="D80" s="249" t="s">
        <v>7219</v>
      </c>
      <c r="E80" s="249" t="str">
        <f t="shared" si="1"/>
        <v>POI-SHO</v>
      </c>
      <c r="F80" s="249" t="s">
        <v>7746</v>
      </c>
      <c r="G80" s="249" t="s">
        <v>7220</v>
      </c>
      <c r="H80" s="249" t="s">
        <v>7584</v>
      </c>
      <c r="I80" s="249" t="s">
        <v>2398</v>
      </c>
      <c r="J80" s="249" t="s">
        <v>2306</v>
      </c>
      <c r="K80" s="300" t="s">
        <v>7139</v>
      </c>
      <c r="L80" s="251" t="s">
        <v>7747</v>
      </c>
      <c r="M80" s="251">
        <v>31.6285609</v>
      </c>
      <c r="N80" s="251">
        <v>-7.9878552</v>
      </c>
      <c r="O80" s="251" t="s">
        <v>7748</v>
      </c>
      <c r="P80" s="251" t="s">
        <v>1229</v>
      </c>
      <c r="Q80" s="251" t="s">
        <v>1229</v>
      </c>
      <c r="R80" s="251" t="s">
        <v>1229</v>
      </c>
      <c r="S80" s="251" t="s">
        <v>5801</v>
      </c>
      <c r="T80" s="300" t="s">
        <v>2208</v>
      </c>
      <c r="U80" s="251" t="s">
        <v>7749</v>
      </c>
      <c r="V80" s="251" t="s">
        <v>7146</v>
      </c>
      <c r="W80" s="249" t="s">
        <v>7147</v>
      </c>
      <c r="X80" s="249" t="s">
        <v>7721</v>
      </c>
      <c r="Y80" s="5" t="s">
        <v>7149</v>
      </c>
      <c r="Z80" s="5" t="s">
        <v>110</v>
      </c>
      <c r="AA80" s="5" t="s">
        <v>2312</v>
      </c>
      <c r="AB80" s="5" t="s">
        <v>469</v>
      </c>
      <c r="AC80" s="5" t="s">
        <v>498</v>
      </c>
      <c r="AD80" s="5" t="s">
        <v>142</v>
      </c>
      <c r="AE80" s="5" t="s">
        <v>2391</v>
      </c>
      <c r="AF80" s="5" t="s">
        <v>213</v>
      </c>
    </row>
    <row r="81" ht="15.0" customHeight="1">
      <c r="A81" s="249" t="s">
        <v>2172</v>
      </c>
      <c r="B81" s="249" t="s">
        <v>7126</v>
      </c>
      <c r="C81" s="249" t="s">
        <v>7750</v>
      </c>
      <c r="D81" s="249" t="s">
        <v>7219</v>
      </c>
      <c r="E81" s="249" t="str">
        <f t="shared" si="1"/>
        <v>POI-SHO</v>
      </c>
      <c r="F81" s="249" t="s">
        <v>7751</v>
      </c>
      <c r="G81" s="249" t="s">
        <v>7220</v>
      </c>
      <c r="H81" s="249" t="s">
        <v>7584</v>
      </c>
      <c r="I81" s="249" t="s">
        <v>2398</v>
      </c>
      <c r="J81" s="249" t="s">
        <v>2306</v>
      </c>
      <c r="K81" s="300" t="s">
        <v>7139</v>
      </c>
      <c r="L81" s="251" t="s">
        <v>7752</v>
      </c>
      <c r="M81" s="251">
        <v>31.6213534</v>
      </c>
      <c r="N81" s="251">
        <v>-8.0190026</v>
      </c>
      <c r="O81" s="251" t="s">
        <v>7753</v>
      </c>
      <c r="P81" s="251" t="s">
        <v>7754</v>
      </c>
      <c r="Q81" s="251" t="s">
        <v>1229</v>
      </c>
      <c r="R81" s="251" t="s">
        <v>1229</v>
      </c>
      <c r="S81" s="251" t="s">
        <v>5801</v>
      </c>
      <c r="T81" s="300" t="s">
        <v>2208</v>
      </c>
      <c r="U81" s="251" t="s">
        <v>7755</v>
      </c>
      <c r="V81" s="251" t="s">
        <v>7146</v>
      </c>
      <c r="W81" s="249" t="s">
        <v>7147</v>
      </c>
      <c r="X81" s="249" t="s">
        <v>7704</v>
      </c>
      <c r="Y81" s="5" t="s">
        <v>7149</v>
      </c>
      <c r="Z81" s="5" t="s">
        <v>110</v>
      </c>
      <c r="AA81" s="5" t="s">
        <v>2312</v>
      </c>
      <c r="AB81" s="5" t="s">
        <v>469</v>
      </c>
      <c r="AC81" s="5" t="s">
        <v>498</v>
      </c>
      <c r="AD81" s="5" t="s">
        <v>142</v>
      </c>
      <c r="AE81" s="5" t="s">
        <v>2391</v>
      </c>
      <c r="AF81" s="5" t="s">
        <v>213</v>
      </c>
    </row>
    <row r="82" ht="15.0" customHeight="1">
      <c r="A82" s="249" t="s">
        <v>2172</v>
      </c>
      <c r="B82" s="249" t="s">
        <v>7126</v>
      </c>
      <c r="C82" s="249" t="s">
        <v>7756</v>
      </c>
      <c r="D82" s="249" t="s">
        <v>7219</v>
      </c>
      <c r="E82" s="249" t="str">
        <f t="shared" si="1"/>
        <v>POI-SHO</v>
      </c>
      <c r="F82" s="249" t="s">
        <v>6672</v>
      </c>
      <c r="G82" s="249" t="s">
        <v>7220</v>
      </c>
      <c r="H82" s="249" t="s">
        <v>7584</v>
      </c>
      <c r="I82" s="249" t="s">
        <v>2398</v>
      </c>
      <c r="J82" s="249" t="s">
        <v>2191</v>
      </c>
      <c r="K82" s="300" t="s">
        <v>7139</v>
      </c>
      <c r="L82" s="251" t="s">
        <v>7757</v>
      </c>
      <c r="M82" s="251">
        <v>31.6373237</v>
      </c>
      <c r="N82" s="251">
        <v>-8.0147525</v>
      </c>
      <c r="O82" s="251" t="s">
        <v>7758</v>
      </c>
      <c r="P82" s="251" t="s">
        <v>7759</v>
      </c>
      <c r="Q82" s="251" t="s">
        <v>1229</v>
      </c>
      <c r="R82" s="251" t="s">
        <v>1229</v>
      </c>
      <c r="S82" s="251" t="s">
        <v>5801</v>
      </c>
      <c r="T82" s="300" t="s">
        <v>2208</v>
      </c>
      <c r="U82" s="251" t="s">
        <v>7760</v>
      </c>
      <c r="V82" s="251" t="s">
        <v>7146</v>
      </c>
      <c r="W82" s="249" t="s">
        <v>7147</v>
      </c>
      <c r="X82" s="249" t="s">
        <v>7761</v>
      </c>
      <c r="Y82" s="5" t="s">
        <v>7149</v>
      </c>
      <c r="Z82" s="5" t="s">
        <v>110</v>
      </c>
      <c r="AA82" s="5" t="s">
        <v>2312</v>
      </c>
      <c r="AB82" s="5" t="s">
        <v>469</v>
      </c>
      <c r="AC82" s="5" t="s">
        <v>498</v>
      </c>
      <c r="AD82" s="5" t="s">
        <v>142</v>
      </c>
      <c r="AE82" s="5" t="s">
        <v>2391</v>
      </c>
      <c r="AF82" s="5" t="s">
        <v>213</v>
      </c>
    </row>
    <row r="83" ht="15.0" customHeight="1">
      <c r="A83" s="249" t="s">
        <v>2172</v>
      </c>
      <c r="B83" s="249" t="s">
        <v>7126</v>
      </c>
      <c r="C83" s="249" t="s">
        <v>7762</v>
      </c>
      <c r="D83" s="249" t="s">
        <v>7219</v>
      </c>
      <c r="E83" s="249" t="str">
        <f t="shared" si="1"/>
        <v>POI-SHO</v>
      </c>
      <c r="F83" s="249" t="s">
        <v>6678</v>
      </c>
      <c r="G83" s="249" t="s">
        <v>7220</v>
      </c>
      <c r="H83" s="249" t="s">
        <v>7584</v>
      </c>
      <c r="I83" s="249" t="s">
        <v>2398</v>
      </c>
      <c r="J83" s="249" t="s">
        <v>2191</v>
      </c>
      <c r="K83" s="300" t="s">
        <v>7139</v>
      </c>
      <c r="L83" s="251" t="s">
        <v>7763</v>
      </c>
      <c r="M83" s="251">
        <v>31.6351743</v>
      </c>
      <c r="N83" s="251">
        <v>-8.0132714</v>
      </c>
      <c r="O83" s="251" t="s">
        <v>7758</v>
      </c>
      <c r="P83" s="251" t="s">
        <v>7764</v>
      </c>
      <c r="Q83" s="251" t="s">
        <v>1229</v>
      </c>
      <c r="R83" s="251" t="s">
        <v>1229</v>
      </c>
      <c r="S83" s="251" t="s">
        <v>5801</v>
      </c>
      <c r="T83" s="300" t="s">
        <v>2208</v>
      </c>
      <c r="U83" s="251" t="s">
        <v>7765</v>
      </c>
      <c r="V83" s="251" t="s">
        <v>7146</v>
      </c>
      <c r="W83" s="249" t="s">
        <v>7147</v>
      </c>
      <c r="X83" s="249" t="s">
        <v>7761</v>
      </c>
      <c r="Y83" s="5" t="s">
        <v>7149</v>
      </c>
      <c r="Z83" s="5" t="s">
        <v>110</v>
      </c>
      <c r="AA83" s="5" t="s">
        <v>2312</v>
      </c>
      <c r="AB83" s="5" t="s">
        <v>469</v>
      </c>
      <c r="AC83" s="5" t="s">
        <v>498</v>
      </c>
      <c r="AD83" s="5" t="s">
        <v>142</v>
      </c>
      <c r="AE83" s="5" t="s">
        <v>2391</v>
      </c>
      <c r="AF83" s="5" t="s">
        <v>213</v>
      </c>
    </row>
    <row r="84" ht="15.0" customHeight="1">
      <c r="A84" s="249" t="s">
        <v>2172</v>
      </c>
      <c r="B84" s="249" t="s">
        <v>7126</v>
      </c>
      <c r="C84" s="249" t="s">
        <v>7766</v>
      </c>
      <c r="D84" s="249" t="s">
        <v>7219</v>
      </c>
      <c r="E84" s="249" t="str">
        <f t="shared" si="1"/>
        <v>POI-SHO</v>
      </c>
      <c r="F84" s="249" t="s">
        <v>7767</v>
      </c>
      <c r="G84" s="249" t="s">
        <v>7220</v>
      </c>
      <c r="H84" s="249" t="s">
        <v>7584</v>
      </c>
      <c r="I84" s="249" t="s">
        <v>2398</v>
      </c>
      <c r="J84" s="249" t="s">
        <v>2191</v>
      </c>
      <c r="K84" s="300" t="s">
        <v>7139</v>
      </c>
      <c r="L84" s="251" t="s">
        <v>7768</v>
      </c>
      <c r="M84" s="251">
        <v>31.6342077</v>
      </c>
      <c r="N84" s="251">
        <v>-8.0136449</v>
      </c>
      <c r="O84" s="251" t="s">
        <v>7769</v>
      </c>
      <c r="P84" s="251" t="s">
        <v>7770</v>
      </c>
      <c r="Q84" s="251" t="s">
        <v>1229</v>
      </c>
      <c r="R84" s="251" t="s">
        <v>1229</v>
      </c>
      <c r="S84" s="251" t="s">
        <v>5801</v>
      </c>
      <c r="T84" s="300" t="s">
        <v>2208</v>
      </c>
      <c r="U84" s="251" t="s">
        <v>7771</v>
      </c>
      <c r="V84" s="251" t="s">
        <v>7146</v>
      </c>
      <c r="W84" s="249" t="s">
        <v>7147</v>
      </c>
      <c r="X84" s="249" t="s">
        <v>7761</v>
      </c>
      <c r="Y84" s="5" t="s">
        <v>7149</v>
      </c>
      <c r="Z84" s="5" t="s">
        <v>110</v>
      </c>
      <c r="AA84" s="5" t="s">
        <v>2312</v>
      </c>
      <c r="AB84" s="5" t="s">
        <v>469</v>
      </c>
      <c r="AC84" s="5" t="s">
        <v>498</v>
      </c>
      <c r="AD84" s="5" t="s">
        <v>142</v>
      </c>
      <c r="AE84" s="5" t="s">
        <v>2391</v>
      </c>
      <c r="AF84" s="5" t="s">
        <v>213</v>
      </c>
    </row>
    <row r="85" ht="15.0" customHeight="1">
      <c r="A85" s="249" t="s">
        <v>2172</v>
      </c>
      <c r="B85" s="249" t="s">
        <v>7126</v>
      </c>
      <c r="C85" s="249" t="s">
        <v>7772</v>
      </c>
      <c r="D85" s="249" t="s">
        <v>7219</v>
      </c>
      <c r="E85" s="249" t="str">
        <f t="shared" si="1"/>
        <v>POI-SHO</v>
      </c>
      <c r="F85" s="249" t="s">
        <v>7773</v>
      </c>
      <c r="G85" s="249" t="s">
        <v>7220</v>
      </c>
      <c r="H85" s="249" t="s">
        <v>7584</v>
      </c>
      <c r="I85" s="249" t="s">
        <v>2398</v>
      </c>
      <c r="J85" s="249" t="s">
        <v>4617</v>
      </c>
      <c r="K85" s="300" t="s">
        <v>7139</v>
      </c>
      <c r="L85" s="251" t="s">
        <v>7774</v>
      </c>
      <c r="M85" s="251">
        <v>31.6760371</v>
      </c>
      <c r="N85" s="251">
        <v>-8.0483066</v>
      </c>
      <c r="O85" s="251" t="s">
        <v>7775</v>
      </c>
      <c r="P85" s="251" t="s">
        <v>7776</v>
      </c>
      <c r="Q85" s="251" t="s">
        <v>1229</v>
      </c>
      <c r="R85" s="251" t="s">
        <v>1229</v>
      </c>
      <c r="S85" s="251" t="s">
        <v>5801</v>
      </c>
      <c r="T85" s="300" t="s">
        <v>2208</v>
      </c>
      <c r="U85" s="251" t="s">
        <v>7777</v>
      </c>
      <c r="V85" s="251" t="s">
        <v>7146</v>
      </c>
      <c r="W85" s="249" t="s">
        <v>7147</v>
      </c>
      <c r="X85" s="249" t="s">
        <v>7590</v>
      </c>
      <c r="Y85" s="5" t="s">
        <v>7149</v>
      </c>
      <c r="Z85" s="5" t="s">
        <v>110</v>
      </c>
      <c r="AA85" s="5" t="s">
        <v>2312</v>
      </c>
      <c r="AB85" s="5" t="s">
        <v>469</v>
      </c>
      <c r="AC85" s="5" t="s">
        <v>498</v>
      </c>
      <c r="AD85" s="5" t="s">
        <v>142</v>
      </c>
      <c r="AE85" s="5" t="s">
        <v>2391</v>
      </c>
      <c r="AF85" s="5" t="s">
        <v>213</v>
      </c>
    </row>
    <row r="86" ht="15.0" customHeight="1">
      <c r="A86" s="249" t="s">
        <v>2172</v>
      </c>
      <c r="B86" s="249" t="s">
        <v>7126</v>
      </c>
      <c r="C86" s="249" t="s">
        <v>7778</v>
      </c>
      <c r="D86" s="249" t="s">
        <v>7219</v>
      </c>
      <c r="E86" s="249" t="str">
        <f t="shared" si="1"/>
        <v>POI-SHO</v>
      </c>
      <c r="F86" s="249" t="s">
        <v>7779</v>
      </c>
      <c r="G86" s="249" t="s">
        <v>7220</v>
      </c>
      <c r="H86" s="249" t="s">
        <v>7584</v>
      </c>
      <c r="I86" s="249" t="s">
        <v>2398</v>
      </c>
      <c r="J86" s="249" t="s">
        <v>7780</v>
      </c>
      <c r="K86" s="300" t="s">
        <v>7139</v>
      </c>
      <c r="L86" s="251" t="s">
        <v>7781</v>
      </c>
      <c r="M86" s="251">
        <v>31.6221051</v>
      </c>
      <c r="N86" s="251">
        <v>-7.9844608</v>
      </c>
      <c r="O86" s="251" t="s">
        <v>7534</v>
      </c>
      <c r="P86" s="251" t="s">
        <v>7782</v>
      </c>
      <c r="Q86" s="251" t="s">
        <v>1229</v>
      </c>
      <c r="R86" s="251" t="s">
        <v>1229</v>
      </c>
      <c r="S86" s="251" t="s">
        <v>5801</v>
      </c>
      <c r="T86" s="300" t="s">
        <v>2208</v>
      </c>
      <c r="U86" s="251" t="s">
        <v>7783</v>
      </c>
      <c r="V86" s="251" t="s">
        <v>7146</v>
      </c>
      <c r="W86" s="249" t="s">
        <v>7147</v>
      </c>
      <c r="X86" s="249" t="s">
        <v>7590</v>
      </c>
      <c r="Y86" s="5" t="s">
        <v>7149</v>
      </c>
      <c r="Z86" s="5" t="s">
        <v>110</v>
      </c>
      <c r="AA86" s="5" t="s">
        <v>2312</v>
      </c>
      <c r="AB86" s="5" t="s">
        <v>469</v>
      </c>
      <c r="AC86" s="5" t="s">
        <v>498</v>
      </c>
      <c r="AD86" s="5" t="s">
        <v>142</v>
      </c>
      <c r="AE86" s="5" t="s">
        <v>2391</v>
      </c>
      <c r="AF86" s="5" t="s">
        <v>213</v>
      </c>
    </row>
    <row r="87" ht="15.0" customHeight="1">
      <c r="A87" s="249" t="s">
        <v>2172</v>
      </c>
      <c r="B87" s="249" t="s">
        <v>7126</v>
      </c>
      <c r="C87" s="249" t="s">
        <v>7784</v>
      </c>
      <c r="D87" s="249" t="s">
        <v>7219</v>
      </c>
      <c r="E87" s="249" t="str">
        <f t="shared" si="1"/>
        <v>POI-SHO</v>
      </c>
      <c r="F87" s="249" t="s">
        <v>7785</v>
      </c>
      <c r="G87" s="249" t="s">
        <v>7220</v>
      </c>
      <c r="H87" s="249" t="s">
        <v>7584</v>
      </c>
      <c r="I87" s="249" t="s">
        <v>2398</v>
      </c>
      <c r="J87" s="249" t="s">
        <v>7786</v>
      </c>
      <c r="K87" s="300" t="s">
        <v>7139</v>
      </c>
      <c r="L87" s="251" t="s">
        <v>7787</v>
      </c>
      <c r="M87" s="251">
        <v>31.6331198</v>
      </c>
      <c r="N87" s="251">
        <v>-7.992317</v>
      </c>
      <c r="O87" s="251" t="s">
        <v>7788</v>
      </c>
      <c r="P87" s="251" t="s">
        <v>7789</v>
      </c>
      <c r="Q87" s="251" t="s">
        <v>1229</v>
      </c>
      <c r="R87" s="251" t="s">
        <v>1229</v>
      </c>
      <c r="S87" s="251" t="s">
        <v>5801</v>
      </c>
      <c r="T87" s="300" t="s">
        <v>2208</v>
      </c>
      <c r="U87" s="251" t="s">
        <v>7790</v>
      </c>
      <c r="V87" s="251" t="s">
        <v>7146</v>
      </c>
      <c r="W87" s="249" t="s">
        <v>7147</v>
      </c>
      <c r="X87" s="249" t="s">
        <v>7590</v>
      </c>
      <c r="Y87" s="5" t="s">
        <v>7149</v>
      </c>
      <c r="Z87" s="5" t="s">
        <v>110</v>
      </c>
      <c r="AA87" s="5" t="s">
        <v>2312</v>
      </c>
      <c r="AB87" s="5" t="s">
        <v>469</v>
      </c>
      <c r="AC87" s="5" t="s">
        <v>498</v>
      </c>
      <c r="AD87" s="5" t="s">
        <v>142</v>
      </c>
      <c r="AE87" s="5" t="s">
        <v>2391</v>
      </c>
      <c r="AF87" s="5" t="s">
        <v>213</v>
      </c>
    </row>
    <row r="88" ht="15.0" customHeight="1">
      <c r="A88" s="249" t="s">
        <v>2172</v>
      </c>
      <c r="B88" s="249" t="s">
        <v>7126</v>
      </c>
      <c r="C88" s="249" t="s">
        <v>7791</v>
      </c>
      <c r="D88" s="249" t="s">
        <v>7219</v>
      </c>
      <c r="E88" s="249" t="str">
        <f t="shared" si="1"/>
        <v>POI-SHO</v>
      </c>
      <c r="F88" s="249" t="s">
        <v>7792</v>
      </c>
      <c r="G88" s="249" t="s">
        <v>7220</v>
      </c>
      <c r="H88" s="249" t="s">
        <v>7584</v>
      </c>
      <c r="I88" s="249" t="s">
        <v>2398</v>
      </c>
      <c r="J88" s="249" t="s">
        <v>7793</v>
      </c>
      <c r="K88" s="300" t="s">
        <v>7139</v>
      </c>
      <c r="L88" s="251" t="s">
        <v>7794</v>
      </c>
      <c r="M88" s="251">
        <v>31.671434</v>
      </c>
      <c r="N88" s="251">
        <v>-8.0435514</v>
      </c>
      <c r="O88" s="251" t="s">
        <v>7795</v>
      </c>
      <c r="P88" s="251" t="s">
        <v>7796</v>
      </c>
      <c r="Q88" s="251" t="s">
        <v>1229</v>
      </c>
      <c r="R88" s="251" t="s">
        <v>1229</v>
      </c>
      <c r="S88" s="251" t="s">
        <v>5801</v>
      </c>
      <c r="T88" s="300" t="s">
        <v>2208</v>
      </c>
      <c r="U88" s="251" t="s">
        <v>7797</v>
      </c>
      <c r="V88" s="251" t="s">
        <v>7146</v>
      </c>
      <c r="W88" s="249" t="s">
        <v>7147</v>
      </c>
      <c r="X88" s="249" t="s">
        <v>7590</v>
      </c>
      <c r="Y88" s="5" t="s">
        <v>7149</v>
      </c>
      <c r="Z88" s="5" t="s">
        <v>110</v>
      </c>
      <c r="AA88" s="5" t="s">
        <v>2312</v>
      </c>
      <c r="AB88" s="5" t="s">
        <v>469</v>
      </c>
      <c r="AC88" s="5" t="s">
        <v>498</v>
      </c>
      <c r="AD88" s="5" t="s">
        <v>142</v>
      </c>
      <c r="AE88" s="5" t="s">
        <v>2391</v>
      </c>
      <c r="AF88" s="5" t="s">
        <v>213</v>
      </c>
    </row>
    <row r="89" ht="15.0" customHeight="1">
      <c r="A89" s="249" t="s">
        <v>2172</v>
      </c>
      <c r="B89" s="249" t="s">
        <v>7126</v>
      </c>
      <c r="C89" s="249" t="s">
        <v>7798</v>
      </c>
      <c r="D89" s="249" t="s">
        <v>7219</v>
      </c>
      <c r="E89" s="249" t="str">
        <f t="shared" si="1"/>
        <v>POI-SHO</v>
      </c>
      <c r="F89" s="249" t="s">
        <v>7799</v>
      </c>
      <c r="G89" s="249" t="s">
        <v>7220</v>
      </c>
      <c r="H89" s="249" t="s">
        <v>7584</v>
      </c>
      <c r="I89" s="249" t="s">
        <v>2398</v>
      </c>
      <c r="J89" s="249" t="s">
        <v>7800</v>
      </c>
      <c r="K89" s="300" t="s">
        <v>7139</v>
      </c>
      <c r="L89" s="251" t="s">
        <v>7801</v>
      </c>
      <c r="M89" s="251">
        <v>31.6290516</v>
      </c>
      <c r="N89" s="251">
        <v>-7.9870032</v>
      </c>
      <c r="O89" s="251" t="s">
        <v>7802</v>
      </c>
      <c r="P89" s="251" t="s">
        <v>7803</v>
      </c>
      <c r="Q89" s="251" t="s">
        <v>1229</v>
      </c>
      <c r="R89" s="251" t="s">
        <v>1229</v>
      </c>
      <c r="S89" s="251" t="s">
        <v>5801</v>
      </c>
      <c r="T89" s="300" t="s">
        <v>2208</v>
      </c>
      <c r="U89" s="251" t="s">
        <v>7804</v>
      </c>
      <c r="V89" s="251" t="s">
        <v>7146</v>
      </c>
      <c r="W89" s="249" t="s">
        <v>7147</v>
      </c>
      <c r="X89" s="249" t="s">
        <v>7721</v>
      </c>
      <c r="Y89" s="5" t="s">
        <v>7149</v>
      </c>
      <c r="Z89" s="5" t="s">
        <v>110</v>
      </c>
      <c r="AA89" s="5" t="s">
        <v>2312</v>
      </c>
      <c r="AB89" s="5" t="s">
        <v>469</v>
      </c>
      <c r="AC89" s="5" t="s">
        <v>498</v>
      </c>
      <c r="AD89" s="5" t="s">
        <v>142</v>
      </c>
      <c r="AE89" s="5" t="s">
        <v>2391</v>
      </c>
      <c r="AF89" s="5" t="s">
        <v>213</v>
      </c>
    </row>
    <row r="90" ht="15.0" customHeight="1">
      <c r="A90" s="249" t="s">
        <v>2172</v>
      </c>
      <c r="B90" s="249" t="s">
        <v>7126</v>
      </c>
      <c r="C90" s="249" t="s">
        <v>7805</v>
      </c>
      <c r="D90" s="249" t="s">
        <v>7219</v>
      </c>
      <c r="E90" s="249" t="str">
        <f t="shared" si="1"/>
        <v>POI-SHO</v>
      </c>
      <c r="F90" s="249" t="s">
        <v>7806</v>
      </c>
      <c r="G90" s="249" t="s">
        <v>7220</v>
      </c>
      <c r="H90" s="249" t="s">
        <v>7584</v>
      </c>
      <c r="I90" s="249" t="s">
        <v>2398</v>
      </c>
      <c r="J90" s="249" t="s">
        <v>7655</v>
      </c>
      <c r="K90" s="300" t="s">
        <v>7139</v>
      </c>
      <c r="L90" s="251" t="s">
        <v>7807</v>
      </c>
      <c r="M90" s="251">
        <v>31.6446217</v>
      </c>
      <c r="N90" s="251">
        <v>-8.0507079</v>
      </c>
      <c r="O90" s="251" t="s">
        <v>7534</v>
      </c>
      <c r="P90" s="251" t="s">
        <v>7808</v>
      </c>
      <c r="Q90" s="251" t="s">
        <v>1229</v>
      </c>
      <c r="R90" s="251" t="s">
        <v>1229</v>
      </c>
      <c r="S90" s="251" t="s">
        <v>5801</v>
      </c>
      <c r="T90" s="300" t="s">
        <v>2208</v>
      </c>
      <c r="U90" s="251" t="s">
        <v>7809</v>
      </c>
      <c r="V90" s="251" t="s">
        <v>7146</v>
      </c>
      <c r="W90" s="249" t="s">
        <v>7147</v>
      </c>
      <c r="X90" s="249" t="s">
        <v>7590</v>
      </c>
      <c r="Y90" s="5" t="s">
        <v>7149</v>
      </c>
      <c r="Z90" s="5" t="s">
        <v>110</v>
      </c>
      <c r="AA90" s="5" t="s">
        <v>2312</v>
      </c>
      <c r="AB90" s="5" t="s">
        <v>469</v>
      </c>
      <c r="AC90" s="5" t="s">
        <v>498</v>
      </c>
      <c r="AD90" s="5" t="s">
        <v>142</v>
      </c>
      <c r="AE90" s="5" t="s">
        <v>2391</v>
      </c>
      <c r="AF90" s="5" t="s">
        <v>213</v>
      </c>
    </row>
    <row r="91" ht="15.0" customHeight="1">
      <c r="A91" s="249" t="s">
        <v>2172</v>
      </c>
      <c r="B91" s="249" t="s">
        <v>7126</v>
      </c>
      <c r="C91" s="249" t="s">
        <v>7810</v>
      </c>
      <c r="D91" s="249" t="s">
        <v>7219</v>
      </c>
      <c r="E91" s="249" t="str">
        <f t="shared" si="1"/>
        <v>POI-SHO</v>
      </c>
      <c r="F91" s="249" t="s">
        <v>7811</v>
      </c>
      <c r="G91" s="249" t="s">
        <v>7220</v>
      </c>
      <c r="H91" s="249" t="s">
        <v>7584</v>
      </c>
      <c r="I91" s="249" t="s">
        <v>2398</v>
      </c>
      <c r="J91" s="249" t="s">
        <v>7599</v>
      </c>
      <c r="K91" s="300" t="s">
        <v>7139</v>
      </c>
      <c r="L91" s="251" t="s">
        <v>7812</v>
      </c>
      <c r="M91" s="251">
        <v>31.6751322</v>
      </c>
      <c r="N91" s="251">
        <v>-8.0234332</v>
      </c>
      <c r="O91" s="251" t="s">
        <v>7813</v>
      </c>
      <c r="P91" s="251" t="s">
        <v>7814</v>
      </c>
      <c r="Q91" s="251" t="s">
        <v>1229</v>
      </c>
      <c r="R91" s="251" t="s">
        <v>1229</v>
      </c>
      <c r="S91" s="251" t="s">
        <v>5801</v>
      </c>
      <c r="T91" s="300" t="s">
        <v>2208</v>
      </c>
      <c r="U91" s="251" t="s">
        <v>7815</v>
      </c>
      <c r="V91" s="251" t="s">
        <v>7146</v>
      </c>
      <c r="W91" s="249" t="s">
        <v>7147</v>
      </c>
      <c r="X91" s="249" t="s">
        <v>7590</v>
      </c>
      <c r="Y91" s="5" t="s">
        <v>7149</v>
      </c>
      <c r="Z91" s="5" t="s">
        <v>110</v>
      </c>
      <c r="AA91" s="5" t="s">
        <v>2312</v>
      </c>
      <c r="AB91" s="5" t="s">
        <v>469</v>
      </c>
      <c r="AC91" s="5" t="s">
        <v>498</v>
      </c>
      <c r="AD91" s="5" t="s">
        <v>142</v>
      </c>
      <c r="AE91" s="5" t="s">
        <v>2391</v>
      </c>
      <c r="AF91" s="5" t="s">
        <v>213</v>
      </c>
    </row>
    <row r="92" ht="15.0" customHeight="1">
      <c r="A92" s="249" t="s">
        <v>2172</v>
      </c>
      <c r="B92" s="249" t="s">
        <v>7126</v>
      </c>
      <c r="C92" s="249" t="s">
        <v>7816</v>
      </c>
      <c r="D92" s="249" t="s">
        <v>7219</v>
      </c>
      <c r="E92" s="249" t="str">
        <f t="shared" si="1"/>
        <v>POI-SHO</v>
      </c>
      <c r="F92" s="249" t="s">
        <v>7817</v>
      </c>
      <c r="G92" s="249" t="s">
        <v>7220</v>
      </c>
      <c r="H92" s="249" t="s">
        <v>7584</v>
      </c>
      <c r="I92" s="249" t="s">
        <v>2398</v>
      </c>
      <c r="J92" s="249" t="s">
        <v>7655</v>
      </c>
      <c r="K92" s="300" t="s">
        <v>7139</v>
      </c>
      <c r="L92" s="251" t="s">
        <v>7818</v>
      </c>
      <c r="M92" s="251">
        <v>31.6221506</v>
      </c>
      <c r="N92" s="251">
        <v>-8.0002507</v>
      </c>
      <c r="O92" s="251" t="s">
        <v>7819</v>
      </c>
      <c r="P92" s="251" t="s">
        <v>3620</v>
      </c>
      <c r="Q92" s="251" t="s">
        <v>1229</v>
      </c>
      <c r="R92" s="251" t="s">
        <v>1229</v>
      </c>
      <c r="S92" s="251" t="s">
        <v>5801</v>
      </c>
      <c r="T92" s="300" t="s">
        <v>2208</v>
      </c>
      <c r="U92" s="251" t="s">
        <v>7820</v>
      </c>
      <c r="V92" s="251" t="s">
        <v>7146</v>
      </c>
      <c r="W92" s="249" t="s">
        <v>7147</v>
      </c>
      <c r="X92" s="249" t="s">
        <v>7590</v>
      </c>
      <c r="Y92" s="5" t="s">
        <v>7149</v>
      </c>
      <c r="Z92" s="5" t="s">
        <v>110</v>
      </c>
      <c r="AA92" s="5" t="s">
        <v>2312</v>
      </c>
      <c r="AB92" s="5" t="s">
        <v>469</v>
      </c>
      <c r="AC92" s="5" t="s">
        <v>498</v>
      </c>
      <c r="AD92" s="5" t="s">
        <v>142</v>
      </c>
      <c r="AE92" s="5" t="s">
        <v>2391</v>
      </c>
      <c r="AF92" s="5" t="s">
        <v>213</v>
      </c>
    </row>
    <row r="93" ht="15.0" customHeight="1">
      <c r="A93" s="249" t="s">
        <v>2172</v>
      </c>
      <c r="B93" s="249" t="s">
        <v>7126</v>
      </c>
      <c r="C93" s="249" t="s">
        <v>7821</v>
      </c>
      <c r="D93" s="249" t="s">
        <v>7128</v>
      </c>
      <c r="E93" s="249" t="str">
        <f t="shared" si="1"/>
        <v>POI-VIS</v>
      </c>
      <c r="F93" s="249" t="s">
        <v>7822</v>
      </c>
      <c r="G93" s="249" t="s">
        <v>7154</v>
      </c>
      <c r="H93" s="249" t="s">
        <v>7584</v>
      </c>
      <c r="I93" s="249" t="s">
        <v>2398</v>
      </c>
      <c r="J93" s="249" t="s">
        <v>7823</v>
      </c>
      <c r="K93" s="300" t="s">
        <v>7139</v>
      </c>
      <c r="L93" s="251" t="s">
        <v>7824</v>
      </c>
      <c r="M93" s="251">
        <v>31.5729291</v>
      </c>
      <c r="N93" s="251">
        <v>-8.0205679</v>
      </c>
      <c r="O93" s="251" t="s">
        <v>7825</v>
      </c>
      <c r="P93" s="251" t="s">
        <v>2467</v>
      </c>
      <c r="Q93" s="251" t="s">
        <v>1229</v>
      </c>
      <c r="R93" s="251" t="s">
        <v>1229</v>
      </c>
      <c r="S93" s="251" t="s">
        <v>5801</v>
      </c>
      <c r="T93" s="300" t="s">
        <v>2208</v>
      </c>
      <c r="U93" s="251" t="s">
        <v>7826</v>
      </c>
      <c r="V93" s="251" t="s">
        <v>7146</v>
      </c>
      <c r="W93" s="249" t="s">
        <v>7147</v>
      </c>
      <c r="X93" s="249" t="s">
        <v>7827</v>
      </c>
      <c r="Y93" s="5" t="s">
        <v>7149</v>
      </c>
      <c r="Z93" s="5" t="s">
        <v>110</v>
      </c>
      <c r="AA93" s="5" t="s">
        <v>2312</v>
      </c>
      <c r="AB93" s="5" t="s">
        <v>469</v>
      </c>
      <c r="AC93" s="5" t="s">
        <v>498</v>
      </c>
      <c r="AD93" s="5" t="s">
        <v>142</v>
      </c>
      <c r="AE93" s="5" t="s">
        <v>2391</v>
      </c>
      <c r="AF93" s="5" t="s">
        <v>213</v>
      </c>
    </row>
    <row r="94" ht="15.0" customHeight="1">
      <c r="A94" s="249" t="s">
        <v>2172</v>
      </c>
      <c r="B94" s="249" t="s">
        <v>7126</v>
      </c>
      <c r="C94" s="249" t="s">
        <v>7828</v>
      </c>
      <c r="D94" s="249" t="s">
        <v>7219</v>
      </c>
      <c r="E94" s="249" t="str">
        <f t="shared" si="1"/>
        <v>POI-SHO</v>
      </c>
      <c r="F94" s="249" t="s">
        <v>7829</v>
      </c>
      <c r="G94" s="249" t="s">
        <v>7220</v>
      </c>
      <c r="H94" s="249" t="s">
        <v>7584</v>
      </c>
      <c r="I94" s="249" t="s">
        <v>2398</v>
      </c>
      <c r="J94" s="249" t="s">
        <v>7830</v>
      </c>
      <c r="K94" s="300" t="s">
        <v>7139</v>
      </c>
      <c r="L94" s="251" t="s">
        <v>7831</v>
      </c>
      <c r="M94" s="251">
        <v>31.6636986</v>
      </c>
      <c r="N94" s="251">
        <v>-7.8716327</v>
      </c>
      <c r="O94" s="251" t="s">
        <v>7825</v>
      </c>
      <c r="P94" s="251" t="s">
        <v>2999</v>
      </c>
      <c r="Q94" s="251" t="s">
        <v>1229</v>
      </c>
      <c r="R94" s="251" t="s">
        <v>1229</v>
      </c>
      <c r="S94" s="251" t="s">
        <v>5801</v>
      </c>
      <c r="T94" s="300" t="s">
        <v>2208</v>
      </c>
      <c r="U94" s="251" t="s">
        <v>7832</v>
      </c>
      <c r="V94" s="251" t="s">
        <v>7146</v>
      </c>
      <c r="W94" s="249" t="s">
        <v>7147</v>
      </c>
      <c r="X94" s="249" t="s">
        <v>7827</v>
      </c>
      <c r="Y94" s="5" t="s">
        <v>7149</v>
      </c>
      <c r="Z94" s="5" t="s">
        <v>110</v>
      </c>
      <c r="AA94" s="5" t="s">
        <v>2312</v>
      </c>
      <c r="AB94" s="5" t="s">
        <v>469</v>
      </c>
      <c r="AC94" s="5" t="s">
        <v>498</v>
      </c>
      <c r="AD94" s="5" t="s">
        <v>142</v>
      </c>
      <c r="AE94" s="5" t="s">
        <v>2391</v>
      </c>
      <c r="AF94" s="5" t="s">
        <v>213</v>
      </c>
    </row>
    <row r="95" ht="15.0" customHeight="1">
      <c r="A95" s="249" t="s">
        <v>2172</v>
      </c>
      <c r="B95" s="249" t="s">
        <v>7126</v>
      </c>
      <c r="C95" s="249" t="s">
        <v>7833</v>
      </c>
      <c r="D95" s="249" t="s">
        <v>7219</v>
      </c>
      <c r="E95" s="249" t="str">
        <f t="shared" si="1"/>
        <v>POI-SHO</v>
      </c>
      <c r="F95" s="249" t="s">
        <v>7834</v>
      </c>
      <c r="G95" s="249" t="s">
        <v>7220</v>
      </c>
      <c r="H95" s="249" t="s">
        <v>7584</v>
      </c>
      <c r="I95" s="249" t="s">
        <v>2398</v>
      </c>
      <c r="J95" s="249" t="s">
        <v>7835</v>
      </c>
      <c r="K95" s="300" t="s">
        <v>7139</v>
      </c>
      <c r="L95" s="251" t="s">
        <v>7836</v>
      </c>
      <c r="M95" s="251">
        <v>31.6039138</v>
      </c>
      <c r="N95" s="251">
        <v>-7.9510249</v>
      </c>
      <c r="O95" s="251" t="s">
        <v>7825</v>
      </c>
      <c r="P95" s="251" t="s">
        <v>2332</v>
      </c>
      <c r="Q95" s="251" t="s">
        <v>1229</v>
      </c>
      <c r="R95" s="251" t="s">
        <v>1229</v>
      </c>
      <c r="S95" s="251" t="s">
        <v>5801</v>
      </c>
      <c r="T95" s="300" t="s">
        <v>2208</v>
      </c>
      <c r="U95" s="251" t="s">
        <v>7837</v>
      </c>
      <c r="V95" s="251" t="s">
        <v>7146</v>
      </c>
      <c r="W95" s="249" t="s">
        <v>7147</v>
      </c>
      <c r="X95" s="249" t="s">
        <v>7827</v>
      </c>
      <c r="Y95" s="5" t="s">
        <v>7149</v>
      </c>
      <c r="Z95" s="5" t="s">
        <v>110</v>
      </c>
      <c r="AA95" s="5" t="s">
        <v>2312</v>
      </c>
      <c r="AB95" s="5" t="s">
        <v>469</v>
      </c>
      <c r="AC95" s="5" t="s">
        <v>498</v>
      </c>
      <c r="AD95" s="5" t="s">
        <v>142</v>
      </c>
      <c r="AE95" s="5" t="s">
        <v>2391</v>
      </c>
      <c r="AF95" s="5" t="s">
        <v>213</v>
      </c>
    </row>
    <row r="96" ht="15.0" customHeight="1">
      <c r="A96" s="249" t="s">
        <v>2172</v>
      </c>
      <c r="B96" s="249" t="s">
        <v>7126</v>
      </c>
      <c r="C96" s="249" t="s">
        <v>7838</v>
      </c>
      <c r="D96" s="249" t="s">
        <v>7219</v>
      </c>
      <c r="E96" s="249" t="str">
        <f t="shared" si="1"/>
        <v>POI-SHO</v>
      </c>
      <c r="F96" s="249" t="s">
        <v>7839</v>
      </c>
      <c r="G96" s="249" t="s">
        <v>7220</v>
      </c>
      <c r="H96" s="249" t="s">
        <v>7584</v>
      </c>
      <c r="I96" s="249" t="s">
        <v>2398</v>
      </c>
      <c r="J96" s="249" t="s">
        <v>7840</v>
      </c>
      <c r="K96" s="300" t="s">
        <v>7139</v>
      </c>
      <c r="L96" s="251" t="s">
        <v>7841</v>
      </c>
      <c r="M96" s="251">
        <v>31.6251861</v>
      </c>
      <c r="N96" s="251">
        <v>-7.9983783</v>
      </c>
      <c r="O96" s="251" t="s">
        <v>7825</v>
      </c>
      <c r="P96" s="251" t="s">
        <v>2904</v>
      </c>
      <c r="Q96" s="251" t="s">
        <v>1229</v>
      </c>
      <c r="R96" s="251" t="s">
        <v>1229</v>
      </c>
      <c r="S96" s="251" t="s">
        <v>5801</v>
      </c>
      <c r="T96" s="300" t="s">
        <v>2208</v>
      </c>
      <c r="U96" s="251" t="s">
        <v>7842</v>
      </c>
      <c r="V96" s="251" t="s">
        <v>7146</v>
      </c>
      <c r="W96" s="249" t="s">
        <v>7147</v>
      </c>
      <c r="X96" s="249" t="s">
        <v>7827</v>
      </c>
      <c r="Y96" s="5" t="s">
        <v>7149</v>
      </c>
      <c r="Z96" s="5" t="s">
        <v>110</v>
      </c>
      <c r="AA96" s="5" t="s">
        <v>2312</v>
      </c>
      <c r="AB96" s="5" t="s">
        <v>469</v>
      </c>
      <c r="AC96" s="5" t="s">
        <v>498</v>
      </c>
      <c r="AD96" s="5" t="s">
        <v>142</v>
      </c>
      <c r="AE96" s="5" t="s">
        <v>2391</v>
      </c>
      <c r="AF96" s="5" t="s">
        <v>213</v>
      </c>
    </row>
    <row r="97" ht="15.0" customHeight="1">
      <c r="A97" s="249" t="s">
        <v>2172</v>
      </c>
      <c r="B97" s="249" t="s">
        <v>7126</v>
      </c>
      <c r="C97" s="249" t="s">
        <v>7843</v>
      </c>
      <c r="D97" s="249" t="s">
        <v>7219</v>
      </c>
      <c r="E97" s="249" t="str">
        <f t="shared" si="1"/>
        <v>POI-SHO</v>
      </c>
      <c r="F97" s="249" t="s">
        <v>7844</v>
      </c>
      <c r="G97" s="249" t="s">
        <v>7220</v>
      </c>
      <c r="H97" s="249" t="s">
        <v>7584</v>
      </c>
      <c r="I97" s="249" t="s">
        <v>2398</v>
      </c>
      <c r="J97" s="249" t="s">
        <v>2702</v>
      </c>
      <c r="K97" s="300" t="s">
        <v>7139</v>
      </c>
      <c r="L97" s="251" t="s">
        <v>7845</v>
      </c>
      <c r="M97" s="251">
        <v>31.6215239</v>
      </c>
      <c r="N97" s="251">
        <v>-7.997488</v>
      </c>
      <c r="O97" s="251" t="s">
        <v>7825</v>
      </c>
      <c r="P97" s="251" t="s">
        <v>2705</v>
      </c>
      <c r="Q97" s="251" t="s">
        <v>1229</v>
      </c>
      <c r="R97" s="251" t="s">
        <v>1229</v>
      </c>
      <c r="S97" s="251" t="s">
        <v>5801</v>
      </c>
      <c r="T97" s="300" t="s">
        <v>2208</v>
      </c>
      <c r="U97" s="251" t="s">
        <v>7846</v>
      </c>
      <c r="V97" s="251" t="s">
        <v>7146</v>
      </c>
      <c r="W97" s="249" t="s">
        <v>7147</v>
      </c>
      <c r="X97" s="249" t="s">
        <v>7827</v>
      </c>
      <c r="Y97" s="5" t="s">
        <v>7149</v>
      </c>
      <c r="Z97" s="5" t="s">
        <v>110</v>
      </c>
      <c r="AA97" s="5" t="s">
        <v>2312</v>
      </c>
      <c r="AB97" s="5" t="s">
        <v>469</v>
      </c>
      <c r="AC97" s="5" t="s">
        <v>498</v>
      </c>
      <c r="AD97" s="5" t="s">
        <v>142</v>
      </c>
      <c r="AE97" s="5" t="s">
        <v>2391</v>
      </c>
      <c r="AF97" s="5" t="s">
        <v>213</v>
      </c>
    </row>
    <row r="98" ht="15.0" customHeight="1">
      <c r="A98" s="249" t="s">
        <v>2172</v>
      </c>
      <c r="B98" s="249" t="s">
        <v>7126</v>
      </c>
      <c r="C98" s="249" t="s">
        <v>7847</v>
      </c>
      <c r="D98" s="249" t="s">
        <v>7219</v>
      </c>
      <c r="E98" s="249" t="str">
        <f t="shared" si="1"/>
        <v>POI-SHO</v>
      </c>
      <c r="F98" s="249" t="s">
        <v>7848</v>
      </c>
      <c r="G98" s="249" t="s">
        <v>7220</v>
      </c>
      <c r="H98" s="249" t="s">
        <v>7584</v>
      </c>
      <c r="I98" s="249" t="s">
        <v>2398</v>
      </c>
      <c r="J98" s="249" t="s">
        <v>6860</v>
      </c>
      <c r="K98" s="300" t="s">
        <v>7139</v>
      </c>
      <c r="L98" s="251" t="s">
        <v>7849</v>
      </c>
      <c r="M98" s="251">
        <v>31.61163</v>
      </c>
      <c r="N98" s="251">
        <v>-7.896299</v>
      </c>
      <c r="O98" s="251" t="s">
        <v>7825</v>
      </c>
      <c r="P98" s="251" t="s">
        <v>3612</v>
      </c>
      <c r="Q98" s="251" t="s">
        <v>1229</v>
      </c>
      <c r="R98" s="251" t="s">
        <v>1229</v>
      </c>
      <c r="S98" s="251" t="s">
        <v>5801</v>
      </c>
      <c r="T98" s="300" t="s">
        <v>2208</v>
      </c>
      <c r="U98" s="251" t="s">
        <v>7850</v>
      </c>
      <c r="V98" s="251" t="s">
        <v>7146</v>
      </c>
      <c r="W98" s="249" t="s">
        <v>7147</v>
      </c>
      <c r="X98" s="249" t="s">
        <v>7827</v>
      </c>
      <c r="Y98" s="5" t="s">
        <v>7149</v>
      </c>
      <c r="Z98" s="5" t="s">
        <v>110</v>
      </c>
      <c r="AA98" s="5" t="s">
        <v>2312</v>
      </c>
      <c r="AB98" s="5" t="s">
        <v>469</v>
      </c>
      <c r="AC98" s="5" t="s">
        <v>498</v>
      </c>
      <c r="AD98" s="5" t="s">
        <v>142</v>
      </c>
      <c r="AE98" s="5" t="s">
        <v>2391</v>
      </c>
      <c r="AF98" s="5" t="s">
        <v>213</v>
      </c>
    </row>
    <row r="99" ht="14.25" customHeight="1">
      <c r="A99" s="13" t="s">
        <v>2172</v>
      </c>
      <c r="B99" s="13" t="s">
        <v>7126</v>
      </c>
      <c r="C99" s="13" t="s">
        <v>7851</v>
      </c>
      <c r="D99" s="13" t="s">
        <v>7330</v>
      </c>
      <c r="E99" s="13" t="str">
        <f t="shared" si="1"/>
        <v>POI-FOO</v>
      </c>
      <c r="F99" s="13" t="s">
        <v>7852</v>
      </c>
      <c r="G99" s="5" t="s">
        <v>7331</v>
      </c>
      <c r="H99" s="13" t="s">
        <v>7853</v>
      </c>
      <c r="I99" s="13" t="s">
        <v>2398</v>
      </c>
      <c r="J99" s="252" t="s">
        <v>5375</v>
      </c>
      <c r="K99" s="252" t="s">
        <v>7139</v>
      </c>
      <c r="L99" s="13" t="s">
        <v>7854</v>
      </c>
      <c r="M99" s="5">
        <v>31.6310693</v>
      </c>
      <c r="N99" s="5">
        <v>-7.9924865</v>
      </c>
      <c r="O99" s="5" t="s">
        <v>7254</v>
      </c>
      <c r="P99" s="5" t="s">
        <v>7855</v>
      </c>
      <c r="Q99" s="5" t="s">
        <v>1229</v>
      </c>
      <c r="R99" s="5" t="s">
        <v>1229</v>
      </c>
      <c r="S99" s="5" t="s">
        <v>5801</v>
      </c>
      <c r="T99" s="252" t="s">
        <v>2208</v>
      </c>
      <c r="U99" s="13" t="s">
        <v>7856</v>
      </c>
      <c r="V99" s="5" t="s">
        <v>7146</v>
      </c>
      <c r="W99" s="5" t="s">
        <v>4756</v>
      </c>
      <c r="X99" s="5" t="s">
        <v>1229</v>
      </c>
      <c r="Y99" s="5" t="s">
        <v>7149</v>
      </c>
      <c r="Z99" s="5" t="s">
        <v>97</v>
      </c>
      <c r="AA99" s="5" t="s">
        <v>2312</v>
      </c>
      <c r="AB99" s="5" t="s">
        <v>469</v>
      </c>
      <c r="AC99" s="5" t="s">
        <v>498</v>
      </c>
      <c r="AD99" s="5" t="s">
        <v>142</v>
      </c>
      <c r="AE99" s="5" t="s">
        <v>2391</v>
      </c>
      <c r="AF99" s="5" t="s">
        <v>213</v>
      </c>
    </row>
    <row r="100" ht="14.25" customHeight="1">
      <c r="A100" s="13" t="s">
        <v>2172</v>
      </c>
      <c r="B100" s="13" t="s">
        <v>7126</v>
      </c>
      <c r="C100" s="13" t="s">
        <v>7857</v>
      </c>
      <c r="D100" s="13" t="s">
        <v>7330</v>
      </c>
      <c r="E100" s="13" t="str">
        <f t="shared" si="1"/>
        <v>POI-FOO</v>
      </c>
      <c r="F100" s="13" t="s">
        <v>7858</v>
      </c>
      <c r="G100" s="5" t="s">
        <v>7331</v>
      </c>
      <c r="H100" s="13" t="s">
        <v>7853</v>
      </c>
      <c r="I100" s="13" t="s">
        <v>2398</v>
      </c>
      <c r="J100" s="252" t="s">
        <v>5375</v>
      </c>
      <c r="K100" s="252" t="s">
        <v>7139</v>
      </c>
      <c r="L100" s="13" t="s">
        <v>7859</v>
      </c>
      <c r="M100" s="5">
        <v>31.6292171</v>
      </c>
      <c r="N100" s="5">
        <v>-7.9900536</v>
      </c>
      <c r="O100" s="5" t="s">
        <v>7713</v>
      </c>
      <c r="P100" s="5" t="s">
        <v>7860</v>
      </c>
      <c r="Q100" s="5" t="s">
        <v>1229</v>
      </c>
      <c r="R100" s="5" t="s">
        <v>1229</v>
      </c>
      <c r="S100" s="5" t="s">
        <v>5801</v>
      </c>
      <c r="T100" s="252" t="s">
        <v>2208</v>
      </c>
      <c r="U100" s="13" t="s">
        <v>7861</v>
      </c>
      <c r="V100" s="5" t="s">
        <v>7146</v>
      </c>
      <c r="W100" s="5" t="s">
        <v>4756</v>
      </c>
      <c r="X100" s="5" t="s">
        <v>1229</v>
      </c>
      <c r="Y100" s="5" t="s">
        <v>7149</v>
      </c>
      <c r="Z100" s="5" t="s">
        <v>97</v>
      </c>
      <c r="AA100" s="5" t="s">
        <v>2312</v>
      </c>
      <c r="AB100" s="5" t="s">
        <v>469</v>
      </c>
      <c r="AC100" s="5" t="s">
        <v>498</v>
      </c>
      <c r="AD100" s="5" t="s">
        <v>142</v>
      </c>
      <c r="AE100" s="5" t="s">
        <v>2391</v>
      </c>
      <c r="AF100" s="5" t="s">
        <v>213</v>
      </c>
    </row>
    <row r="101" ht="14.25" customHeight="1">
      <c r="A101" s="249" t="s">
        <v>2172</v>
      </c>
      <c r="B101" s="249" t="s">
        <v>7126</v>
      </c>
      <c r="C101" s="249" t="s">
        <v>7862</v>
      </c>
      <c r="D101" s="249" t="s">
        <v>7128</v>
      </c>
      <c r="E101" s="249" t="str">
        <f t="shared" si="1"/>
        <v>POI-VIS</v>
      </c>
      <c r="F101" s="249" t="s">
        <v>6656</v>
      </c>
      <c r="G101" s="249" t="s">
        <v>7176</v>
      </c>
      <c r="H101" s="249"/>
      <c r="I101" s="249"/>
      <c r="J101" s="249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  <c r="W101" s="249"/>
      <c r="X101" s="249"/>
      <c r="Y101" s="5"/>
      <c r="Z101" s="5"/>
      <c r="AA101" s="5"/>
      <c r="AB101" s="5"/>
      <c r="AC101" s="5"/>
      <c r="AD101" s="5"/>
      <c r="AE101" s="5"/>
      <c r="AF101" s="5"/>
    </row>
    <row r="102" ht="14.25" customHeight="1">
      <c r="A102" s="249" t="s">
        <v>2172</v>
      </c>
      <c r="B102" s="249" t="s">
        <v>7126</v>
      </c>
      <c r="C102" s="249" t="s">
        <v>7863</v>
      </c>
      <c r="D102" s="249" t="s">
        <v>7219</v>
      </c>
      <c r="E102" s="249" t="str">
        <f t="shared" si="1"/>
        <v>POI-SHO</v>
      </c>
      <c r="F102" s="249" t="s">
        <v>7864</v>
      </c>
      <c r="G102" s="249" t="s">
        <v>7220</v>
      </c>
      <c r="H102" s="249"/>
      <c r="I102" s="249"/>
      <c r="J102" s="249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  <c r="W102" s="249"/>
      <c r="X102" s="249"/>
      <c r="Y102" s="5"/>
      <c r="Z102" s="5"/>
      <c r="AA102" s="5"/>
      <c r="AB102" s="5"/>
      <c r="AC102" s="5"/>
      <c r="AD102" s="5"/>
      <c r="AE102" s="5"/>
      <c r="AF102" s="5"/>
    </row>
    <row r="103" ht="14.25" customHeight="1">
      <c r="A103" s="249" t="s">
        <v>2172</v>
      </c>
      <c r="B103" s="249" t="s">
        <v>7126</v>
      </c>
      <c r="C103" s="249" t="s">
        <v>7865</v>
      </c>
      <c r="D103" s="249" t="s">
        <v>7219</v>
      </c>
      <c r="E103" s="249" t="str">
        <f t="shared" si="1"/>
        <v>POI-SHO</v>
      </c>
      <c r="F103" s="249" t="s">
        <v>7866</v>
      </c>
      <c r="G103" s="249" t="s">
        <v>7237</v>
      </c>
      <c r="H103" s="249"/>
      <c r="I103" s="249"/>
      <c r="J103" s="249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  <c r="W103" s="249"/>
      <c r="X103" s="249"/>
      <c r="Y103" s="5"/>
      <c r="Z103" s="5"/>
      <c r="AA103" s="5"/>
      <c r="AB103" s="5"/>
      <c r="AC103" s="5"/>
      <c r="AD103" s="5"/>
      <c r="AE103" s="5"/>
      <c r="AF103" s="5"/>
    </row>
    <row r="104" ht="14.25" customHeight="1">
      <c r="A104" s="249" t="s">
        <v>2172</v>
      </c>
      <c r="B104" s="249" t="s">
        <v>7126</v>
      </c>
      <c r="C104" s="249" t="s">
        <v>7867</v>
      </c>
      <c r="D104" s="249" t="s">
        <v>7219</v>
      </c>
      <c r="E104" s="249" t="str">
        <f t="shared" si="1"/>
        <v>POI-SHO</v>
      </c>
      <c r="F104" s="249" t="s">
        <v>7868</v>
      </c>
      <c r="G104" s="249" t="s">
        <v>7237</v>
      </c>
      <c r="H104" s="249"/>
      <c r="I104" s="249"/>
      <c r="J104" s="249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  <c r="W104" s="249"/>
      <c r="X104" s="249"/>
      <c r="Y104" s="5"/>
      <c r="Z104" s="5"/>
      <c r="AA104" s="5"/>
      <c r="AB104" s="5"/>
      <c r="AC104" s="5"/>
      <c r="AD104" s="5"/>
      <c r="AE104" s="5"/>
      <c r="AF104" s="5"/>
    </row>
    <row r="105" ht="14.25" customHeight="1">
      <c r="A105" s="249" t="s">
        <v>2172</v>
      </c>
      <c r="B105" s="249" t="s">
        <v>7126</v>
      </c>
      <c r="C105" s="249" t="s">
        <v>7869</v>
      </c>
      <c r="D105" s="249" t="s">
        <v>7219</v>
      </c>
      <c r="E105" s="249" t="str">
        <f t="shared" si="1"/>
        <v>POI-SHO</v>
      </c>
      <c r="F105" s="249" t="s">
        <v>7870</v>
      </c>
      <c r="G105" s="249" t="s">
        <v>7302</v>
      </c>
      <c r="H105" s="249"/>
      <c r="I105" s="249"/>
      <c r="J105" s="249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  <c r="W105" s="249"/>
      <c r="X105" s="249"/>
      <c r="Y105" s="5"/>
      <c r="Z105" s="5"/>
      <c r="AA105" s="5"/>
      <c r="AB105" s="5"/>
      <c r="AC105" s="5"/>
      <c r="AD105" s="5"/>
      <c r="AE105" s="5"/>
      <c r="AF105" s="5"/>
    </row>
    <row r="106" ht="14.25" customHeight="1">
      <c r="A106" s="249" t="s">
        <v>2172</v>
      </c>
      <c r="B106" s="249" t="s">
        <v>7126</v>
      </c>
      <c r="C106" s="249" t="s">
        <v>7871</v>
      </c>
      <c r="D106" s="249" t="s">
        <v>7330</v>
      </c>
      <c r="E106" s="249" t="str">
        <f t="shared" si="1"/>
        <v>POI-FOO</v>
      </c>
      <c r="F106" s="249" t="s">
        <v>4213</v>
      </c>
      <c r="G106" s="249" t="s">
        <v>7331</v>
      </c>
      <c r="H106" s="249"/>
      <c r="I106" s="249"/>
      <c r="J106" s="249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  <c r="W106" s="249"/>
      <c r="X106" s="249"/>
      <c r="Y106" s="5"/>
      <c r="Z106" s="5"/>
      <c r="AA106" s="5"/>
      <c r="AB106" s="5"/>
      <c r="AC106" s="5"/>
      <c r="AD106" s="5"/>
      <c r="AE106" s="5"/>
      <c r="AF106" s="5"/>
    </row>
    <row r="107" ht="14.25" customHeight="1">
      <c r="A107" s="249" t="s">
        <v>2172</v>
      </c>
      <c r="B107" s="249" t="s">
        <v>7126</v>
      </c>
      <c r="C107" s="249" t="s">
        <v>7872</v>
      </c>
      <c r="D107" s="249" t="s">
        <v>7330</v>
      </c>
      <c r="E107" s="249" t="str">
        <f t="shared" si="1"/>
        <v>POI-FOO</v>
      </c>
      <c r="F107" s="249" t="s">
        <v>7873</v>
      </c>
      <c r="G107" s="249" t="s">
        <v>7331</v>
      </c>
      <c r="H107" s="249"/>
      <c r="I107" s="249"/>
      <c r="J107" s="249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  <c r="W107" s="249"/>
      <c r="X107" s="249"/>
      <c r="Y107" s="5"/>
      <c r="Z107" s="5"/>
      <c r="AA107" s="5"/>
      <c r="AB107" s="5"/>
      <c r="AC107" s="5"/>
      <c r="AD107" s="5"/>
      <c r="AE107" s="5"/>
      <c r="AF107" s="5"/>
    </row>
    <row r="108" ht="14.25" customHeight="1">
      <c r="A108" s="249" t="s">
        <v>2172</v>
      </c>
      <c r="B108" s="249" t="s">
        <v>7126</v>
      </c>
      <c r="C108" s="249" t="s">
        <v>7874</v>
      </c>
      <c r="D108" s="249" t="s">
        <v>7330</v>
      </c>
      <c r="E108" s="249" t="str">
        <f t="shared" si="1"/>
        <v>POI-FOO</v>
      </c>
      <c r="F108" s="249" t="s">
        <v>7875</v>
      </c>
      <c r="G108" s="249" t="s">
        <v>7331</v>
      </c>
      <c r="H108" s="249"/>
      <c r="I108" s="249"/>
      <c r="J108" s="249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  <c r="W108" s="249"/>
      <c r="X108" s="249"/>
      <c r="Y108" s="5"/>
      <c r="Z108" s="5"/>
      <c r="AA108" s="5"/>
      <c r="AB108" s="5"/>
      <c r="AC108" s="5"/>
      <c r="AD108" s="5"/>
      <c r="AE108" s="5"/>
      <c r="AF108" s="5"/>
    </row>
    <row r="109" ht="14.25" customHeight="1">
      <c r="A109" s="249" t="s">
        <v>2172</v>
      </c>
      <c r="B109" s="249" t="s">
        <v>7126</v>
      </c>
      <c r="C109" s="249" t="s">
        <v>7876</v>
      </c>
      <c r="D109" s="249" t="s">
        <v>7330</v>
      </c>
      <c r="E109" s="249" t="str">
        <f t="shared" si="1"/>
        <v>POI-FOO</v>
      </c>
      <c r="F109" s="249" t="s">
        <v>7877</v>
      </c>
      <c r="G109" s="249" t="s">
        <v>7340</v>
      </c>
      <c r="H109" s="249"/>
      <c r="I109" s="249"/>
      <c r="J109" s="249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  <c r="W109" s="249"/>
      <c r="X109" s="249"/>
      <c r="Y109" s="5"/>
      <c r="Z109" s="5"/>
      <c r="AA109" s="5"/>
      <c r="AB109" s="5"/>
      <c r="AC109" s="5"/>
      <c r="AD109" s="5"/>
      <c r="AE109" s="5"/>
      <c r="AF109" s="5"/>
    </row>
    <row r="110" ht="14.25" customHeight="1">
      <c r="A110" s="249" t="s">
        <v>2172</v>
      </c>
      <c r="B110" s="249" t="s">
        <v>7126</v>
      </c>
      <c r="C110" s="249" t="s">
        <v>7878</v>
      </c>
      <c r="D110" s="249" t="s">
        <v>7401</v>
      </c>
      <c r="E110" s="249" t="str">
        <f t="shared" si="1"/>
        <v>POI-IMM</v>
      </c>
      <c r="F110" s="249" t="s">
        <v>2844</v>
      </c>
      <c r="G110" s="249" t="s">
        <v>5897</v>
      </c>
      <c r="H110" s="249"/>
      <c r="I110" s="249"/>
      <c r="J110" s="249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  <c r="W110" s="249"/>
      <c r="X110" s="249"/>
      <c r="Y110" s="5"/>
      <c r="Z110" s="5"/>
      <c r="AA110" s="5"/>
      <c r="AB110" s="5"/>
      <c r="AC110" s="5"/>
      <c r="AD110" s="5"/>
      <c r="AE110" s="5"/>
      <c r="AF110" s="5"/>
    </row>
    <row r="111" ht="14.25" customHeight="1">
      <c r="A111" s="249" t="s">
        <v>2172</v>
      </c>
      <c r="B111" s="249" t="s">
        <v>7126</v>
      </c>
      <c r="C111" s="249" t="s">
        <v>7879</v>
      </c>
      <c r="D111" s="249" t="s">
        <v>7281</v>
      </c>
      <c r="E111" s="249" t="str">
        <f t="shared" si="1"/>
        <v>POI-VUE</v>
      </c>
      <c r="F111" s="249" t="s">
        <v>3180</v>
      </c>
      <c r="G111" s="249" t="s">
        <v>7462</v>
      </c>
      <c r="H111" s="249"/>
      <c r="I111" s="249"/>
      <c r="J111" s="249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  <c r="W111" s="249"/>
      <c r="X111" s="249"/>
      <c r="Y111" s="5"/>
      <c r="Z111" s="5"/>
      <c r="AA111" s="5"/>
      <c r="AB111" s="5"/>
      <c r="AC111" s="5"/>
      <c r="AD111" s="5"/>
      <c r="AE111" s="5"/>
      <c r="AF111" s="5"/>
    </row>
    <row r="112" ht="14.25" customHeight="1">
      <c r="A112" s="249" t="s">
        <v>2172</v>
      </c>
      <c r="B112" s="249" t="s">
        <v>7126</v>
      </c>
      <c r="C112" s="249" t="s">
        <v>7880</v>
      </c>
      <c r="D112" s="249" t="s">
        <v>7330</v>
      </c>
      <c r="E112" s="249" t="str">
        <f t="shared" si="1"/>
        <v>POI-FOO</v>
      </c>
      <c r="F112" s="249" t="s">
        <v>2333</v>
      </c>
      <c r="G112" s="249" t="s">
        <v>7462</v>
      </c>
      <c r="H112" s="249"/>
      <c r="I112" s="249"/>
      <c r="J112" s="249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  <c r="W112" s="249"/>
      <c r="X112" s="249"/>
      <c r="Y112" s="5"/>
      <c r="Z112" s="5"/>
      <c r="AA112" s="5"/>
      <c r="AB112" s="5"/>
      <c r="AC112" s="5"/>
      <c r="AD112" s="5"/>
      <c r="AE112" s="5"/>
      <c r="AF112" s="5"/>
    </row>
    <row r="113" ht="14.25" customHeight="1">
      <c r="A113" s="249" t="s">
        <v>2172</v>
      </c>
      <c r="B113" s="249" t="s">
        <v>7126</v>
      </c>
      <c r="C113" s="249" t="s">
        <v>7881</v>
      </c>
      <c r="D113" s="249" t="s">
        <v>7281</v>
      </c>
      <c r="E113" s="249" t="str">
        <f t="shared" si="1"/>
        <v>POI-VUE</v>
      </c>
      <c r="F113" s="249" t="s">
        <v>2358</v>
      </c>
      <c r="G113" s="249" t="s">
        <v>7462</v>
      </c>
      <c r="H113" s="249"/>
      <c r="I113" s="249"/>
      <c r="J113" s="249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  <c r="W113" s="249"/>
      <c r="X113" s="249"/>
      <c r="Y113" s="5"/>
      <c r="Z113" s="5"/>
      <c r="AA113" s="5"/>
      <c r="AB113" s="5"/>
      <c r="AC113" s="5"/>
      <c r="AD113" s="5"/>
      <c r="AE113" s="5"/>
      <c r="AF113" s="5"/>
    </row>
    <row r="114" ht="14.25" customHeight="1">
      <c r="A114" s="249" t="s">
        <v>2172</v>
      </c>
      <c r="B114" s="249" t="s">
        <v>7126</v>
      </c>
      <c r="C114" s="249" t="s">
        <v>7882</v>
      </c>
      <c r="D114" s="249" t="s">
        <v>7281</v>
      </c>
      <c r="E114" s="249" t="str">
        <f t="shared" si="1"/>
        <v>POI-VUE</v>
      </c>
      <c r="F114" s="249" t="s">
        <v>7883</v>
      </c>
      <c r="G114" s="249" t="s">
        <v>7496</v>
      </c>
      <c r="H114" s="249"/>
      <c r="I114" s="249"/>
      <c r="J114" s="249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  <c r="W114" s="249"/>
      <c r="X114" s="249"/>
      <c r="Y114" s="5"/>
      <c r="Z114" s="5"/>
      <c r="AA114" s="5"/>
      <c r="AB114" s="5"/>
      <c r="AC114" s="5"/>
      <c r="AD114" s="5"/>
      <c r="AE114" s="5"/>
      <c r="AF114" s="5"/>
    </row>
    <row r="115" ht="14.25" customHeight="1">
      <c r="A115" s="249" t="s">
        <v>2172</v>
      </c>
      <c r="B115" s="249" t="s">
        <v>7126</v>
      </c>
      <c r="C115" s="249" t="s">
        <v>7884</v>
      </c>
      <c r="D115" s="249" t="s">
        <v>7281</v>
      </c>
      <c r="E115" s="249" t="str">
        <f t="shared" si="1"/>
        <v>POI-VUE</v>
      </c>
      <c r="F115" s="249" t="s">
        <v>7885</v>
      </c>
      <c r="G115" s="249" t="s">
        <v>7496</v>
      </c>
      <c r="H115" s="249"/>
      <c r="I115" s="249"/>
      <c r="J115" s="249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  <c r="W115" s="249"/>
      <c r="X115" s="249"/>
      <c r="Y115" s="5"/>
      <c r="Z115" s="5"/>
      <c r="AA115" s="5"/>
      <c r="AB115" s="5"/>
      <c r="AC115" s="5"/>
      <c r="AD115" s="5"/>
      <c r="AE115" s="5"/>
      <c r="AF115" s="5"/>
    </row>
    <row r="116" ht="14.25" customHeight="1">
      <c r="D116" s="13" t="s">
        <v>7219</v>
      </c>
      <c r="E116" s="13" t="str">
        <f t="shared" si="1"/>
        <v>POI-SHO</v>
      </c>
      <c r="F116" s="249" t="s">
        <v>7886</v>
      </c>
      <c r="G116" s="13" t="s">
        <v>7514</v>
      </c>
      <c r="W116" s="13"/>
    </row>
    <row r="117" ht="14.25" customHeight="1">
      <c r="D117" s="13" t="s">
        <v>7219</v>
      </c>
      <c r="E117" s="13" t="str">
        <f t="shared" si="1"/>
        <v>POI-SHO</v>
      </c>
      <c r="F117" s="249" t="s">
        <v>7887</v>
      </c>
      <c r="G117" s="13" t="s">
        <v>7256</v>
      </c>
      <c r="W117" s="13"/>
    </row>
    <row r="118" ht="14.25" customHeight="1">
      <c r="D118" s="13" t="s">
        <v>7219</v>
      </c>
      <c r="E118" s="13" t="str">
        <f t="shared" si="1"/>
        <v>POI-SHO</v>
      </c>
      <c r="F118" s="249" t="s">
        <v>7888</v>
      </c>
      <c r="G118" s="13" t="s">
        <v>7505</v>
      </c>
      <c r="W118" s="13"/>
    </row>
    <row r="119" ht="14.25" customHeight="1">
      <c r="D119" s="13" t="s">
        <v>7219</v>
      </c>
      <c r="E119" s="13" t="str">
        <f t="shared" si="1"/>
        <v>POI-SHO</v>
      </c>
      <c r="F119" s="249" t="s">
        <v>7889</v>
      </c>
      <c r="G119" s="13" t="s">
        <v>7228</v>
      </c>
      <c r="W119" s="13"/>
    </row>
    <row r="120" ht="14.25" customHeight="1">
      <c r="D120" s="13" t="s">
        <v>7219</v>
      </c>
      <c r="E120" s="13" t="str">
        <f t="shared" si="1"/>
        <v>POI-SHO</v>
      </c>
      <c r="F120" s="249" t="s">
        <v>7890</v>
      </c>
      <c r="G120" s="13" t="s">
        <v>7266</v>
      </c>
      <c r="W120" s="13"/>
    </row>
    <row r="121" ht="14.25" customHeight="1">
      <c r="D121" s="13" t="s">
        <v>7219</v>
      </c>
      <c r="E121" s="13" t="str">
        <f t="shared" si="1"/>
        <v>POI-SHO</v>
      </c>
      <c r="F121" s="249" t="s">
        <v>7891</v>
      </c>
      <c r="G121" s="13" t="s">
        <v>7505</v>
      </c>
      <c r="W121" s="13"/>
    </row>
    <row r="122" ht="14.25" customHeight="1">
      <c r="D122" s="13" t="s">
        <v>7219</v>
      </c>
      <c r="E122" s="13" t="str">
        <f t="shared" si="1"/>
        <v>POI-SHO</v>
      </c>
      <c r="F122" s="249" t="s">
        <v>7892</v>
      </c>
      <c r="G122" s="13" t="s">
        <v>7505</v>
      </c>
      <c r="W122" s="13"/>
    </row>
    <row r="123" ht="14.25" customHeight="1">
      <c r="D123" s="13" t="s">
        <v>7219</v>
      </c>
      <c r="E123" s="13" t="str">
        <f t="shared" si="1"/>
        <v>POI-SHO</v>
      </c>
      <c r="F123" s="249" t="s">
        <v>7893</v>
      </c>
      <c r="G123" s="13" t="s">
        <v>7220</v>
      </c>
      <c r="W123" s="13"/>
    </row>
    <row r="124" ht="14.25" customHeight="1">
      <c r="D124" s="13" t="s">
        <v>7330</v>
      </c>
      <c r="E124" s="13" t="str">
        <f t="shared" si="1"/>
        <v>POI-FOO</v>
      </c>
      <c r="F124" s="249" t="s">
        <v>7894</v>
      </c>
      <c r="G124" s="13" t="s">
        <v>7340</v>
      </c>
      <c r="W124" s="13"/>
    </row>
    <row r="125" ht="14.25" customHeight="1">
      <c r="D125" s="13" t="s">
        <v>7219</v>
      </c>
      <c r="E125" s="13" t="str">
        <f t="shared" si="1"/>
        <v>POI-SHO</v>
      </c>
      <c r="F125" s="249" t="s">
        <v>7895</v>
      </c>
      <c r="G125" s="13" t="s">
        <v>7266</v>
      </c>
      <c r="W125" s="13"/>
    </row>
    <row r="126" ht="14.25" customHeight="1">
      <c r="D126" s="13" t="s">
        <v>7219</v>
      </c>
      <c r="E126" s="13" t="str">
        <f t="shared" si="1"/>
        <v>POI-SHO</v>
      </c>
      <c r="F126" s="249" t="s">
        <v>7896</v>
      </c>
      <c r="G126" s="13" t="s">
        <v>7266</v>
      </c>
    </row>
    <row r="127" ht="14.25" customHeight="1">
      <c r="D127" s="13" t="s">
        <v>7219</v>
      </c>
      <c r="E127" s="13" t="str">
        <f t="shared" si="1"/>
        <v>POI-SHO</v>
      </c>
      <c r="F127" s="249" t="s">
        <v>7897</v>
      </c>
      <c r="G127" s="13" t="s">
        <v>7266</v>
      </c>
    </row>
    <row r="128" ht="14.25" customHeight="1">
      <c r="D128" s="13" t="s">
        <v>7219</v>
      </c>
      <c r="E128" s="13" t="str">
        <f t="shared" si="1"/>
        <v>POI-SHO</v>
      </c>
      <c r="F128" s="249" t="s">
        <v>7898</v>
      </c>
      <c r="G128" s="13" t="s">
        <v>7228</v>
      </c>
    </row>
    <row r="129" ht="14.25" customHeight="1">
      <c r="D129" s="13" t="s">
        <v>7219</v>
      </c>
      <c r="E129" s="13" t="str">
        <f t="shared" si="1"/>
        <v>POI-SHO</v>
      </c>
      <c r="F129" s="249" t="s">
        <v>7899</v>
      </c>
      <c r="G129" s="13" t="s">
        <v>7228</v>
      </c>
    </row>
    <row r="130" ht="14.25" customHeight="1">
      <c r="D130" s="13" t="s">
        <v>7219</v>
      </c>
      <c r="E130" s="13" t="str">
        <f t="shared" si="1"/>
        <v>POI-SHO</v>
      </c>
      <c r="F130" s="249" t="s">
        <v>7900</v>
      </c>
      <c r="G130" s="13" t="s">
        <v>7220</v>
      </c>
    </row>
    <row r="131" ht="14.25" customHeight="1">
      <c r="D131" s="13" t="s">
        <v>7219</v>
      </c>
      <c r="E131" s="13" t="str">
        <f t="shared" si="1"/>
        <v>POI-SHO</v>
      </c>
      <c r="F131" s="249" t="s">
        <v>7901</v>
      </c>
      <c r="G131" s="13" t="s">
        <v>7237</v>
      </c>
    </row>
    <row r="132" ht="14.25" customHeight="1">
      <c r="D132" s="13"/>
      <c r="F132" s="249" t="s">
        <v>7902</v>
      </c>
      <c r="G132" s="13" t="s">
        <v>7514</v>
      </c>
    </row>
    <row r="133" ht="14.25" customHeight="1">
      <c r="D133" s="13"/>
      <c r="F133" s="249" t="s">
        <v>7903</v>
      </c>
      <c r="G133" s="13" t="s">
        <v>7256</v>
      </c>
    </row>
    <row r="134" ht="15.0" customHeight="1">
      <c r="A134" s="249" t="s">
        <v>2172</v>
      </c>
      <c r="B134" s="249" t="s">
        <v>7126</v>
      </c>
      <c r="C134" s="249" t="s">
        <v>7904</v>
      </c>
      <c r="D134" s="249" t="s">
        <v>7128</v>
      </c>
      <c r="E134" s="249" t="str">
        <f t="shared" ref="E134:E155" si="2">IFERROR(INDEX($AI$3:$AI$37,MATCH($D134,$AH$3:$AH$37,0)),"")</f>
        <v>POI-VIS</v>
      </c>
      <c r="F134" s="249" t="s">
        <v>5775</v>
      </c>
      <c r="G134" s="249" t="s">
        <v>7136</v>
      </c>
      <c r="H134" s="249" t="s">
        <v>7137</v>
      </c>
      <c r="I134" s="249" t="s">
        <v>7067</v>
      </c>
      <c r="J134" s="249" t="s">
        <v>2306</v>
      </c>
      <c r="K134" s="300" t="s">
        <v>7139</v>
      </c>
      <c r="L134" s="251" t="s">
        <v>2208</v>
      </c>
      <c r="M134" s="251"/>
      <c r="N134" s="251"/>
      <c r="O134" s="251" t="s">
        <v>2208</v>
      </c>
      <c r="P134" s="251" t="s">
        <v>1229</v>
      </c>
      <c r="Q134" s="251" t="s">
        <v>1229</v>
      </c>
      <c r="R134" s="251" t="s">
        <v>1229</v>
      </c>
      <c r="S134" s="251" t="s">
        <v>5801</v>
      </c>
      <c r="T134" s="300" t="s">
        <v>2208</v>
      </c>
      <c r="U134" s="251" t="s">
        <v>7905</v>
      </c>
      <c r="V134" s="251" t="s">
        <v>7146</v>
      </c>
      <c r="W134" s="249" t="s">
        <v>7147</v>
      </c>
      <c r="X134" s="249" t="s">
        <v>7906</v>
      </c>
      <c r="Y134" s="5" t="s">
        <v>7149</v>
      </c>
      <c r="Z134" s="5" t="s">
        <v>97</v>
      </c>
      <c r="AA134" s="5" t="s">
        <v>2312</v>
      </c>
      <c r="AB134" s="5" t="s">
        <v>469</v>
      </c>
      <c r="AC134" s="5" t="s">
        <v>498</v>
      </c>
      <c r="AD134" s="5" t="s">
        <v>142</v>
      </c>
      <c r="AE134" s="5" t="s">
        <v>2391</v>
      </c>
      <c r="AF134" s="5" t="s">
        <v>213</v>
      </c>
      <c r="AG134" s="23" t="s">
        <v>1174</v>
      </c>
      <c r="AH134" s="23" t="s">
        <v>7128</v>
      </c>
      <c r="AI134" s="23" t="s">
        <v>2048</v>
      </c>
      <c r="AJ134" s="23" t="s">
        <v>7150</v>
      </c>
      <c r="AK134" s="23" t="s">
        <v>7151</v>
      </c>
      <c r="AL134" s="23" t="s">
        <v>7152</v>
      </c>
    </row>
    <row r="135" ht="15.0" customHeight="1">
      <c r="A135" s="249" t="s">
        <v>2172</v>
      </c>
      <c r="B135" s="249" t="s">
        <v>7126</v>
      </c>
      <c r="C135" s="249" t="s">
        <v>7907</v>
      </c>
      <c r="D135" s="249" t="s">
        <v>7128</v>
      </c>
      <c r="E135" s="249" t="str">
        <f t="shared" si="2"/>
        <v>POI-VIS</v>
      </c>
      <c r="F135" s="249" t="s">
        <v>7908</v>
      </c>
      <c r="G135" s="249" t="s">
        <v>7136</v>
      </c>
      <c r="H135" s="249" t="s">
        <v>7137</v>
      </c>
      <c r="I135" s="249" t="s">
        <v>7067</v>
      </c>
      <c r="J135" s="249" t="s">
        <v>7139</v>
      </c>
      <c r="K135" s="300" t="s">
        <v>7139</v>
      </c>
      <c r="L135" s="251" t="s">
        <v>2208</v>
      </c>
      <c r="M135" s="251"/>
      <c r="N135" s="251"/>
      <c r="O135" s="251" t="s">
        <v>2208</v>
      </c>
      <c r="P135" s="251" t="s">
        <v>1229</v>
      </c>
      <c r="Q135" s="251" t="s">
        <v>1229</v>
      </c>
      <c r="R135" s="251" t="s">
        <v>1229</v>
      </c>
      <c r="S135" s="251" t="s">
        <v>5801</v>
      </c>
      <c r="T135" s="300" t="s">
        <v>2208</v>
      </c>
      <c r="U135" s="251" t="s">
        <v>7909</v>
      </c>
      <c r="V135" s="251" t="s">
        <v>7146</v>
      </c>
      <c r="W135" s="249" t="s">
        <v>7147</v>
      </c>
      <c r="X135" s="249" t="s">
        <v>7906</v>
      </c>
      <c r="Y135" s="5" t="s">
        <v>7149</v>
      </c>
      <c r="Z135" s="5" t="s">
        <v>97</v>
      </c>
      <c r="AA135" s="5" t="s">
        <v>2312</v>
      </c>
      <c r="AB135" s="5" t="s">
        <v>469</v>
      </c>
      <c r="AC135" s="5" t="s">
        <v>498</v>
      </c>
      <c r="AD135" s="5" t="s">
        <v>142</v>
      </c>
      <c r="AE135" s="5" t="s">
        <v>2391</v>
      </c>
      <c r="AF135" s="5" t="s">
        <v>213</v>
      </c>
      <c r="AG135" s="23" t="s">
        <v>1174</v>
      </c>
      <c r="AH135" s="23" t="s">
        <v>7128</v>
      </c>
      <c r="AI135" s="23" t="s">
        <v>2048</v>
      </c>
      <c r="AJ135" s="23" t="s">
        <v>7150</v>
      </c>
      <c r="AK135" s="23" t="s">
        <v>7151</v>
      </c>
      <c r="AL135" s="23" t="s">
        <v>7152</v>
      </c>
    </row>
    <row r="136" ht="15.0" customHeight="1">
      <c r="A136" s="249" t="s">
        <v>2172</v>
      </c>
      <c r="B136" s="249" t="s">
        <v>7126</v>
      </c>
      <c r="C136" s="249" t="s">
        <v>7910</v>
      </c>
      <c r="D136" s="249" t="s">
        <v>7128</v>
      </c>
      <c r="E136" s="249" t="str">
        <f t="shared" si="2"/>
        <v>POI-VIS</v>
      </c>
      <c r="F136" s="249" t="s">
        <v>7911</v>
      </c>
      <c r="G136" s="249" t="s">
        <v>7150</v>
      </c>
      <c r="H136" s="249" t="s">
        <v>7261</v>
      </c>
      <c r="I136" s="249" t="s">
        <v>7067</v>
      </c>
      <c r="J136" s="249" t="s">
        <v>2191</v>
      </c>
      <c r="K136" s="300" t="s">
        <v>7139</v>
      </c>
      <c r="L136" s="251" t="s">
        <v>7912</v>
      </c>
      <c r="M136" s="251"/>
      <c r="N136" s="251"/>
      <c r="O136" s="251" t="s">
        <v>7913</v>
      </c>
      <c r="P136" s="251" t="s">
        <v>1229</v>
      </c>
      <c r="Q136" s="251" t="s">
        <v>1229</v>
      </c>
      <c r="R136" s="251" t="s">
        <v>1229</v>
      </c>
      <c r="S136" s="251" t="s">
        <v>5801</v>
      </c>
      <c r="T136" s="300" t="s">
        <v>2208</v>
      </c>
      <c r="U136" s="251" t="s">
        <v>7914</v>
      </c>
      <c r="V136" s="251" t="s">
        <v>7146</v>
      </c>
      <c r="W136" s="249" t="s">
        <v>7147</v>
      </c>
      <c r="X136" s="249" t="s">
        <v>7915</v>
      </c>
      <c r="Y136" s="5" t="s">
        <v>7149</v>
      </c>
      <c r="Z136" s="5" t="s">
        <v>97</v>
      </c>
      <c r="AA136" s="5" t="s">
        <v>2312</v>
      </c>
      <c r="AB136" s="5" t="s">
        <v>469</v>
      </c>
      <c r="AC136" s="5" t="s">
        <v>498</v>
      </c>
      <c r="AD136" s="5" t="s">
        <v>142</v>
      </c>
      <c r="AE136" s="5" t="s">
        <v>2391</v>
      </c>
      <c r="AF136" s="5" t="s">
        <v>213</v>
      </c>
      <c r="AG136" s="23" t="s">
        <v>1174</v>
      </c>
      <c r="AH136" s="23" t="s">
        <v>7128</v>
      </c>
      <c r="AI136" s="23" t="s">
        <v>2048</v>
      </c>
      <c r="AJ136" s="23" t="s">
        <v>7150</v>
      </c>
      <c r="AK136" s="23" t="s">
        <v>7151</v>
      </c>
      <c r="AL136" s="23" t="s">
        <v>7152</v>
      </c>
    </row>
    <row r="137" ht="15.0" customHeight="1">
      <c r="A137" s="249" t="s">
        <v>2172</v>
      </c>
      <c r="B137" s="249" t="s">
        <v>7126</v>
      </c>
      <c r="C137" s="249" t="s">
        <v>7916</v>
      </c>
      <c r="D137" s="249" t="s">
        <v>7128</v>
      </c>
      <c r="E137" s="249" t="str">
        <f t="shared" si="2"/>
        <v>POI-VIS</v>
      </c>
      <c r="F137" s="249" t="s">
        <v>7917</v>
      </c>
      <c r="G137" s="249" t="s">
        <v>7136</v>
      </c>
      <c r="H137" s="249" t="s">
        <v>7137</v>
      </c>
      <c r="I137" s="249" t="s">
        <v>7067</v>
      </c>
      <c r="J137" s="249" t="s">
        <v>7918</v>
      </c>
      <c r="K137" s="300" t="s">
        <v>7139</v>
      </c>
      <c r="L137" s="251" t="s">
        <v>7919</v>
      </c>
      <c r="M137" s="251"/>
      <c r="N137" s="251"/>
      <c r="O137" s="251" t="s">
        <v>7920</v>
      </c>
      <c r="P137" s="251" t="s">
        <v>7921</v>
      </c>
      <c r="Q137" s="251" t="s">
        <v>1229</v>
      </c>
      <c r="R137" s="251" t="s">
        <v>1229</v>
      </c>
      <c r="S137" s="251" t="s">
        <v>5801</v>
      </c>
      <c r="T137" s="300" t="s">
        <v>2208</v>
      </c>
      <c r="U137" s="251" t="s">
        <v>7922</v>
      </c>
      <c r="V137" s="251" t="s">
        <v>7146</v>
      </c>
      <c r="W137" s="249" t="s">
        <v>7147</v>
      </c>
      <c r="X137" s="249" t="s">
        <v>7906</v>
      </c>
      <c r="Y137" s="5" t="s">
        <v>7149</v>
      </c>
      <c r="Z137" s="5" t="s">
        <v>97</v>
      </c>
      <c r="AA137" s="5" t="s">
        <v>2312</v>
      </c>
      <c r="AB137" s="5" t="s">
        <v>469</v>
      </c>
      <c r="AC137" s="5" t="s">
        <v>498</v>
      </c>
      <c r="AD137" s="5" t="s">
        <v>142</v>
      </c>
      <c r="AE137" s="5" t="s">
        <v>2391</v>
      </c>
      <c r="AF137" s="5" t="s">
        <v>213</v>
      </c>
      <c r="AG137" s="23" t="s">
        <v>1174</v>
      </c>
      <c r="AH137" s="23" t="s">
        <v>7128</v>
      </c>
      <c r="AI137" s="23" t="s">
        <v>2048</v>
      </c>
      <c r="AJ137" s="23" t="s">
        <v>7150</v>
      </c>
      <c r="AK137" s="23" t="s">
        <v>7151</v>
      </c>
      <c r="AL137" s="23" t="s">
        <v>7152</v>
      </c>
    </row>
    <row r="138" ht="15.0" customHeight="1">
      <c r="A138" s="249" t="s">
        <v>2172</v>
      </c>
      <c r="B138" s="249" t="s">
        <v>7126</v>
      </c>
      <c r="C138" s="249" t="s">
        <v>7923</v>
      </c>
      <c r="D138" s="249" t="s">
        <v>7219</v>
      </c>
      <c r="E138" s="249" t="str">
        <f t="shared" si="2"/>
        <v>POI-SHO</v>
      </c>
      <c r="F138" s="249" t="s">
        <v>7924</v>
      </c>
      <c r="G138" s="249" t="s">
        <v>7266</v>
      </c>
      <c r="H138" s="249" t="s">
        <v>7925</v>
      </c>
      <c r="I138" s="249"/>
      <c r="J138" s="249" t="s">
        <v>7926</v>
      </c>
      <c r="K138" s="300"/>
      <c r="L138" s="251" t="s">
        <v>7927</v>
      </c>
      <c r="M138" s="251"/>
      <c r="N138" s="251"/>
      <c r="O138" s="251"/>
      <c r="P138" s="251" t="s">
        <v>7928</v>
      </c>
      <c r="Q138" s="251" t="s">
        <v>1229</v>
      </c>
      <c r="R138" s="251" t="s">
        <v>7929</v>
      </c>
      <c r="S138" s="251"/>
      <c r="T138" s="300"/>
      <c r="U138" s="251" t="s">
        <v>7930</v>
      </c>
      <c r="V138" s="251"/>
      <c r="W138" s="249"/>
      <c r="X138" s="249" t="s">
        <v>7931</v>
      </c>
      <c r="Y138" s="5"/>
      <c r="Z138" s="5"/>
      <c r="AA138" s="5"/>
      <c r="AB138" s="5"/>
      <c r="AC138" s="5"/>
      <c r="AD138" s="5"/>
      <c r="AE138" s="5"/>
      <c r="AF138" s="5"/>
      <c r="AG138" s="23"/>
      <c r="AH138" s="23"/>
      <c r="AI138" s="23"/>
      <c r="AJ138" s="23"/>
      <c r="AK138" s="23"/>
      <c r="AL138" s="23"/>
    </row>
    <row r="139" ht="15.0" customHeight="1">
      <c r="A139" s="249" t="s">
        <v>2172</v>
      </c>
      <c r="B139" s="249" t="s">
        <v>7126</v>
      </c>
      <c r="C139" s="249" t="s">
        <v>7932</v>
      </c>
      <c r="D139" s="249" t="s">
        <v>7219</v>
      </c>
      <c r="E139" s="249" t="str">
        <f t="shared" si="2"/>
        <v>POI-SHO</v>
      </c>
      <c r="F139" s="249" t="s">
        <v>7933</v>
      </c>
      <c r="G139" s="249" t="s">
        <v>7266</v>
      </c>
      <c r="H139" s="249" t="s">
        <v>7925</v>
      </c>
      <c r="I139" s="249"/>
      <c r="J139" s="249" t="s">
        <v>7926</v>
      </c>
      <c r="K139" s="300"/>
      <c r="L139" s="251" t="s">
        <v>4968</v>
      </c>
      <c r="M139" s="251"/>
      <c r="N139" s="251"/>
      <c r="O139" s="251"/>
      <c r="P139" s="251" t="s">
        <v>7934</v>
      </c>
      <c r="Q139" s="251" t="s">
        <v>1229</v>
      </c>
      <c r="R139" s="251" t="s">
        <v>7935</v>
      </c>
      <c r="S139" s="251"/>
      <c r="T139" s="300"/>
      <c r="U139" s="251" t="s">
        <v>7936</v>
      </c>
      <c r="V139" s="251"/>
      <c r="W139" s="249"/>
      <c r="X139" s="249" t="s">
        <v>7931</v>
      </c>
      <c r="Y139" s="5"/>
      <c r="Z139" s="5"/>
      <c r="AA139" s="5"/>
      <c r="AB139" s="5"/>
      <c r="AC139" s="5"/>
      <c r="AD139" s="5"/>
      <c r="AE139" s="5"/>
      <c r="AF139" s="5"/>
      <c r="AG139" s="23"/>
      <c r="AH139" s="23"/>
      <c r="AI139" s="23"/>
      <c r="AJ139" s="23"/>
      <c r="AK139" s="23"/>
      <c r="AL139" s="23"/>
    </row>
    <row r="140" ht="15.0" customHeight="1">
      <c r="A140" s="249" t="s">
        <v>2172</v>
      </c>
      <c r="B140" s="249" t="s">
        <v>7126</v>
      </c>
      <c r="C140" s="249" t="s">
        <v>7937</v>
      </c>
      <c r="D140" s="249" t="s">
        <v>7219</v>
      </c>
      <c r="E140" s="249" t="str">
        <f t="shared" si="2"/>
        <v>POI-SHO</v>
      </c>
      <c r="F140" s="249" t="s">
        <v>7938</v>
      </c>
      <c r="G140" s="249" t="s">
        <v>7266</v>
      </c>
      <c r="H140" s="249" t="s">
        <v>7925</v>
      </c>
      <c r="I140" s="249"/>
      <c r="J140" s="249" t="s">
        <v>7926</v>
      </c>
      <c r="K140" s="300"/>
      <c r="L140" s="251" t="s">
        <v>4968</v>
      </c>
      <c r="M140" s="251"/>
      <c r="N140" s="251"/>
      <c r="O140" s="251"/>
      <c r="P140" s="251" t="s">
        <v>7939</v>
      </c>
      <c r="Q140" s="251" t="s">
        <v>1229</v>
      </c>
      <c r="R140" s="251" t="s">
        <v>7940</v>
      </c>
      <c r="S140" s="251"/>
      <c r="T140" s="300"/>
      <c r="U140" s="251" t="s">
        <v>7941</v>
      </c>
      <c r="V140" s="251"/>
      <c r="W140" s="249"/>
      <c r="X140" s="249" t="s">
        <v>7931</v>
      </c>
      <c r="Y140" s="5"/>
      <c r="Z140" s="5"/>
      <c r="AA140" s="5"/>
      <c r="AB140" s="5"/>
      <c r="AC140" s="5"/>
      <c r="AD140" s="5"/>
      <c r="AE140" s="5"/>
      <c r="AF140" s="5"/>
      <c r="AG140" s="23"/>
      <c r="AH140" s="23"/>
      <c r="AI140" s="23"/>
      <c r="AJ140" s="23"/>
      <c r="AK140" s="23"/>
      <c r="AL140" s="23"/>
    </row>
    <row r="141" ht="15.0" customHeight="1">
      <c r="A141" s="249" t="s">
        <v>2172</v>
      </c>
      <c r="B141" s="249" t="s">
        <v>7126</v>
      </c>
      <c r="C141" s="249" t="s">
        <v>7942</v>
      </c>
      <c r="D141" s="249" t="s">
        <v>7219</v>
      </c>
      <c r="E141" s="249" t="str">
        <f t="shared" si="2"/>
        <v>POI-SHO</v>
      </c>
      <c r="F141" s="249" t="s">
        <v>7943</v>
      </c>
      <c r="G141" s="249" t="s">
        <v>7266</v>
      </c>
      <c r="H141" s="249" t="s">
        <v>7925</v>
      </c>
      <c r="I141" s="249"/>
      <c r="J141" s="249" t="s">
        <v>7926</v>
      </c>
      <c r="K141" s="300"/>
      <c r="L141" s="251" t="s">
        <v>4968</v>
      </c>
      <c r="M141" s="251"/>
      <c r="N141" s="251"/>
      <c r="O141" s="251"/>
      <c r="P141" s="251" t="s">
        <v>7944</v>
      </c>
      <c r="Q141" s="251" t="s">
        <v>1229</v>
      </c>
      <c r="R141" s="251" t="s">
        <v>7945</v>
      </c>
      <c r="S141" s="251"/>
      <c r="T141" s="300"/>
      <c r="U141" s="251" t="s">
        <v>7946</v>
      </c>
      <c r="V141" s="251"/>
      <c r="W141" s="249"/>
      <c r="X141" s="249" t="s">
        <v>7931</v>
      </c>
      <c r="Y141" s="5"/>
      <c r="Z141" s="5"/>
      <c r="AA141" s="5"/>
      <c r="AB141" s="5"/>
      <c r="AC141" s="5"/>
      <c r="AD141" s="5"/>
      <c r="AE141" s="5"/>
      <c r="AF141" s="5"/>
      <c r="AG141" s="23"/>
      <c r="AH141" s="23"/>
      <c r="AI141" s="23"/>
      <c r="AJ141" s="23"/>
      <c r="AK141" s="23"/>
      <c r="AL141" s="23"/>
    </row>
    <row r="142" ht="15.0" customHeight="1">
      <c r="A142" s="249" t="s">
        <v>2172</v>
      </c>
      <c r="B142" s="249" t="s">
        <v>7126</v>
      </c>
      <c r="C142" s="249" t="s">
        <v>7947</v>
      </c>
      <c r="D142" s="249" t="s">
        <v>7219</v>
      </c>
      <c r="E142" s="249" t="str">
        <f t="shared" si="2"/>
        <v>POI-SHO</v>
      </c>
      <c r="F142" s="249" t="s">
        <v>7948</v>
      </c>
      <c r="G142" s="249" t="s">
        <v>7266</v>
      </c>
      <c r="H142" s="249" t="s">
        <v>7925</v>
      </c>
      <c r="I142" s="249"/>
      <c r="J142" s="249" t="s">
        <v>7926</v>
      </c>
      <c r="K142" s="300"/>
      <c r="L142" s="251" t="s">
        <v>4968</v>
      </c>
      <c r="M142" s="251"/>
      <c r="N142" s="251"/>
      <c r="O142" s="251"/>
      <c r="P142" s="251" t="s">
        <v>7949</v>
      </c>
      <c r="Q142" s="251" t="s">
        <v>1229</v>
      </c>
      <c r="R142" s="251" t="s">
        <v>7950</v>
      </c>
      <c r="S142" s="251"/>
      <c r="T142" s="300"/>
      <c r="U142" s="251" t="s">
        <v>7951</v>
      </c>
      <c r="V142" s="251"/>
      <c r="W142" s="249"/>
      <c r="X142" s="249" t="s">
        <v>7931</v>
      </c>
      <c r="Y142" s="5"/>
      <c r="Z142" s="5"/>
      <c r="AA142" s="5"/>
      <c r="AB142" s="5"/>
      <c r="AC142" s="5"/>
      <c r="AD142" s="5"/>
      <c r="AE142" s="5"/>
      <c r="AF142" s="5"/>
      <c r="AG142" s="23"/>
      <c r="AH142" s="23"/>
      <c r="AI142" s="23"/>
      <c r="AJ142" s="23"/>
      <c r="AK142" s="23"/>
      <c r="AL142" s="23"/>
    </row>
    <row r="143" ht="15.0" customHeight="1">
      <c r="A143" s="249" t="s">
        <v>2172</v>
      </c>
      <c r="B143" s="249" t="s">
        <v>7126</v>
      </c>
      <c r="C143" s="249" t="s">
        <v>7952</v>
      </c>
      <c r="D143" s="249" t="s">
        <v>7219</v>
      </c>
      <c r="E143" s="249" t="str">
        <f t="shared" si="2"/>
        <v>POI-SHO</v>
      </c>
      <c r="F143" s="249" t="s">
        <v>7953</v>
      </c>
      <c r="G143" s="249" t="s">
        <v>7266</v>
      </c>
      <c r="H143" s="249" t="s">
        <v>7925</v>
      </c>
      <c r="I143" s="249"/>
      <c r="J143" s="249" t="s">
        <v>7926</v>
      </c>
      <c r="K143" s="300"/>
      <c r="L143" s="251" t="s">
        <v>4968</v>
      </c>
      <c r="M143" s="251"/>
      <c r="N143" s="251"/>
      <c r="O143" s="251"/>
      <c r="P143" s="251" t="s">
        <v>7954</v>
      </c>
      <c r="Q143" s="251" t="s">
        <v>1229</v>
      </c>
      <c r="R143" s="251" t="s">
        <v>7955</v>
      </c>
      <c r="S143" s="251"/>
      <c r="T143" s="300"/>
      <c r="U143" s="251" t="s">
        <v>7956</v>
      </c>
      <c r="V143" s="251"/>
      <c r="W143" s="249"/>
      <c r="X143" s="249" t="s">
        <v>7931</v>
      </c>
      <c r="Y143" s="5"/>
      <c r="Z143" s="5"/>
      <c r="AA143" s="5"/>
      <c r="AB143" s="5"/>
      <c r="AC143" s="5"/>
      <c r="AD143" s="5"/>
      <c r="AE143" s="5"/>
      <c r="AF143" s="5"/>
      <c r="AG143" s="23"/>
      <c r="AH143" s="23"/>
      <c r="AI143" s="23"/>
      <c r="AJ143" s="23"/>
      <c r="AK143" s="23"/>
      <c r="AL143" s="23"/>
    </row>
    <row r="144" ht="15.0" customHeight="1">
      <c r="A144" s="249" t="s">
        <v>2172</v>
      </c>
      <c r="B144" s="249" t="s">
        <v>7126</v>
      </c>
      <c r="C144" s="249" t="s">
        <v>7957</v>
      </c>
      <c r="D144" s="249" t="s">
        <v>7219</v>
      </c>
      <c r="E144" s="249" t="str">
        <f t="shared" si="2"/>
        <v>POI-SHO</v>
      </c>
      <c r="F144" s="249" t="s">
        <v>7958</v>
      </c>
      <c r="G144" s="249" t="s">
        <v>7266</v>
      </c>
      <c r="H144" s="249" t="s">
        <v>7925</v>
      </c>
      <c r="I144" s="249"/>
      <c r="J144" s="249" t="s">
        <v>7926</v>
      </c>
      <c r="K144" s="300"/>
      <c r="L144" s="251" t="s">
        <v>4968</v>
      </c>
      <c r="M144" s="251"/>
      <c r="N144" s="251"/>
      <c r="O144" s="251"/>
      <c r="P144" s="251" t="s">
        <v>7959</v>
      </c>
      <c r="Q144" s="251" t="s">
        <v>1229</v>
      </c>
      <c r="R144" s="251" t="s">
        <v>7960</v>
      </c>
      <c r="S144" s="251"/>
      <c r="T144" s="300"/>
      <c r="U144" s="251" t="s">
        <v>7961</v>
      </c>
      <c r="V144" s="251"/>
      <c r="W144" s="249"/>
      <c r="X144" s="249" t="s">
        <v>7931</v>
      </c>
      <c r="Y144" s="5"/>
      <c r="Z144" s="5"/>
      <c r="AA144" s="5"/>
      <c r="AB144" s="5"/>
      <c r="AC144" s="5"/>
      <c r="AD144" s="5"/>
      <c r="AE144" s="5"/>
      <c r="AF144" s="5"/>
      <c r="AG144" s="23"/>
      <c r="AH144" s="23"/>
      <c r="AI144" s="23"/>
      <c r="AJ144" s="23"/>
      <c r="AK144" s="23"/>
      <c r="AL144" s="23"/>
    </row>
    <row r="145" ht="15.0" customHeight="1">
      <c r="A145" s="249" t="s">
        <v>2172</v>
      </c>
      <c r="B145" s="249" t="s">
        <v>7126</v>
      </c>
      <c r="C145" s="249" t="s">
        <v>7962</v>
      </c>
      <c r="D145" s="249" t="s">
        <v>7219</v>
      </c>
      <c r="E145" s="249" t="str">
        <f t="shared" si="2"/>
        <v>POI-SHO</v>
      </c>
      <c r="F145" s="249" t="s">
        <v>7963</v>
      </c>
      <c r="G145" s="249" t="s">
        <v>7266</v>
      </c>
      <c r="H145" s="249" t="s">
        <v>7925</v>
      </c>
      <c r="I145" s="249"/>
      <c r="J145" s="249" t="s">
        <v>7926</v>
      </c>
      <c r="K145" s="300"/>
      <c r="L145" s="251" t="s">
        <v>4968</v>
      </c>
      <c r="M145" s="251"/>
      <c r="N145" s="251"/>
      <c r="O145" s="251"/>
      <c r="P145" s="251" t="s">
        <v>7964</v>
      </c>
      <c r="Q145" s="251" t="s">
        <v>1229</v>
      </c>
      <c r="R145" s="251" t="s">
        <v>7965</v>
      </c>
      <c r="S145" s="251"/>
      <c r="T145" s="300"/>
      <c r="U145" s="251" t="s">
        <v>7966</v>
      </c>
      <c r="V145" s="251"/>
      <c r="W145" s="249"/>
      <c r="X145" s="249" t="s">
        <v>7931</v>
      </c>
      <c r="Y145" s="5"/>
      <c r="Z145" s="5"/>
      <c r="AA145" s="5"/>
      <c r="AB145" s="5"/>
      <c r="AC145" s="5"/>
      <c r="AD145" s="5"/>
      <c r="AE145" s="5"/>
      <c r="AF145" s="5"/>
      <c r="AG145" s="23"/>
      <c r="AH145" s="23"/>
      <c r="AI145" s="23"/>
      <c r="AJ145" s="23"/>
      <c r="AK145" s="23"/>
      <c r="AL145" s="23"/>
    </row>
    <row r="146" ht="15.0" customHeight="1">
      <c r="A146" s="249" t="s">
        <v>2172</v>
      </c>
      <c r="B146" s="249" t="s">
        <v>7126</v>
      </c>
      <c r="C146" s="249" t="s">
        <v>7967</v>
      </c>
      <c r="D146" s="249" t="s">
        <v>7219</v>
      </c>
      <c r="E146" s="249" t="str">
        <f t="shared" si="2"/>
        <v>POI-SHO</v>
      </c>
      <c r="F146" s="249" t="s">
        <v>7968</v>
      </c>
      <c r="G146" s="249" t="s">
        <v>7266</v>
      </c>
      <c r="H146" s="249" t="s">
        <v>7925</v>
      </c>
      <c r="I146" s="249"/>
      <c r="J146" s="249" t="s">
        <v>7926</v>
      </c>
      <c r="K146" s="300"/>
      <c r="L146" s="251" t="s">
        <v>4968</v>
      </c>
      <c r="M146" s="251"/>
      <c r="N146" s="251"/>
      <c r="O146" s="251"/>
      <c r="P146" s="251" t="s">
        <v>7969</v>
      </c>
      <c r="Q146" s="251" t="s">
        <v>1229</v>
      </c>
      <c r="R146" s="251" t="s">
        <v>7970</v>
      </c>
      <c r="S146" s="251"/>
      <c r="T146" s="300"/>
      <c r="U146" s="251" t="s">
        <v>7971</v>
      </c>
      <c r="V146" s="251"/>
      <c r="W146" s="249"/>
      <c r="X146" s="249" t="s">
        <v>7931</v>
      </c>
      <c r="Y146" s="5"/>
      <c r="Z146" s="5"/>
      <c r="AA146" s="5"/>
      <c r="AB146" s="5"/>
      <c r="AC146" s="5"/>
      <c r="AD146" s="5"/>
      <c r="AE146" s="5"/>
      <c r="AF146" s="5"/>
      <c r="AG146" s="23"/>
      <c r="AH146" s="23"/>
      <c r="AI146" s="23"/>
      <c r="AJ146" s="23"/>
      <c r="AK146" s="23"/>
      <c r="AL146" s="23"/>
    </row>
    <row r="147" ht="15.0" customHeight="1">
      <c r="A147" s="249" t="s">
        <v>2172</v>
      </c>
      <c r="B147" s="249" t="s">
        <v>7126</v>
      </c>
      <c r="C147" s="249" t="s">
        <v>7972</v>
      </c>
      <c r="D147" s="249" t="s">
        <v>7219</v>
      </c>
      <c r="E147" s="249" t="str">
        <f t="shared" si="2"/>
        <v>POI-SHO</v>
      </c>
      <c r="F147" s="249" t="s">
        <v>7973</v>
      </c>
      <c r="G147" s="249" t="s">
        <v>7266</v>
      </c>
      <c r="H147" s="249" t="s">
        <v>7925</v>
      </c>
      <c r="I147" s="249"/>
      <c r="J147" s="249" t="s">
        <v>2191</v>
      </c>
      <c r="K147" s="300"/>
      <c r="L147" s="251" t="s">
        <v>7974</v>
      </c>
      <c r="M147" s="251"/>
      <c r="N147" s="251"/>
      <c r="O147" s="251"/>
      <c r="P147" s="251" t="s">
        <v>7975</v>
      </c>
      <c r="Q147" s="251" t="s">
        <v>1229</v>
      </c>
      <c r="R147" s="251" t="s">
        <v>7976</v>
      </c>
      <c r="S147" s="251"/>
      <c r="T147" s="300"/>
      <c r="U147" s="251" t="s">
        <v>7977</v>
      </c>
      <c r="V147" s="251"/>
      <c r="W147" s="249"/>
      <c r="X147" s="249" t="s">
        <v>7931</v>
      </c>
      <c r="Y147" s="5"/>
      <c r="Z147" s="5"/>
      <c r="AA147" s="5"/>
      <c r="AB147" s="5"/>
      <c r="AC147" s="5"/>
      <c r="AD147" s="5"/>
      <c r="AE147" s="5"/>
      <c r="AF147" s="5"/>
      <c r="AG147" s="23"/>
      <c r="AH147" s="23"/>
      <c r="AI147" s="23"/>
      <c r="AJ147" s="23"/>
      <c r="AK147" s="23"/>
      <c r="AL147" s="23"/>
    </row>
    <row r="148" ht="15.0" customHeight="1">
      <c r="A148" s="249" t="s">
        <v>2172</v>
      </c>
      <c r="B148" s="249" t="s">
        <v>7126</v>
      </c>
      <c r="C148" s="249" t="s">
        <v>7978</v>
      </c>
      <c r="D148" s="249" t="s">
        <v>7219</v>
      </c>
      <c r="E148" s="249" t="str">
        <f t="shared" si="2"/>
        <v>POI-SHO</v>
      </c>
      <c r="F148" s="249" t="s">
        <v>7979</v>
      </c>
      <c r="G148" s="249" t="s">
        <v>7220</v>
      </c>
      <c r="H148" s="249" t="s">
        <v>7925</v>
      </c>
      <c r="I148" s="249"/>
      <c r="J148" s="249" t="s">
        <v>4617</v>
      </c>
      <c r="K148" s="300"/>
      <c r="L148" s="251" t="s">
        <v>4617</v>
      </c>
      <c r="M148" s="251"/>
      <c r="N148" s="251"/>
      <c r="O148" s="251"/>
      <c r="P148" s="251" t="s">
        <v>7980</v>
      </c>
      <c r="Q148" s="251" t="s">
        <v>1229</v>
      </c>
      <c r="R148" s="251" t="s">
        <v>1229</v>
      </c>
      <c r="S148" s="251"/>
      <c r="T148" s="300"/>
      <c r="U148" s="251" t="s">
        <v>7981</v>
      </c>
      <c r="V148" s="251"/>
      <c r="W148" s="249"/>
      <c r="X148" s="249" t="s">
        <v>7931</v>
      </c>
      <c r="Y148" s="5"/>
      <c r="Z148" s="5"/>
      <c r="AA148" s="5"/>
      <c r="AB148" s="5"/>
      <c r="AC148" s="5"/>
      <c r="AD148" s="5"/>
      <c r="AE148" s="5"/>
      <c r="AF148" s="5"/>
      <c r="AG148" s="23"/>
      <c r="AH148" s="23"/>
      <c r="AI148" s="23"/>
      <c r="AJ148" s="23"/>
      <c r="AK148" s="23"/>
      <c r="AL148" s="23"/>
    </row>
    <row r="149" ht="15.0" customHeight="1">
      <c r="A149" s="249" t="s">
        <v>2172</v>
      </c>
      <c r="B149" s="249" t="s">
        <v>7126</v>
      </c>
      <c r="C149" s="249" t="s">
        <v>7982</v>
      </c>
      <c r="D149" s="249" t="s">
        <v>7219</v>
      </c>
      <c r="E149" s="249" t="str">
        <f t="shared" si="2"/>
        <v>POI-SHO</v>
      </c>
      <c r="F149" s="249" t="s">
        <v>2674</v>
      </c>
      <c r="G149" s="249" t="s">
        <v>7220</v>
      </c>
      <c r="H149" s="249" t="s">
        <v>7925</v>
      </c>
      <c r="I149" s="249"/>
      <c r="J149" s="249" t="s">
        <v>2191</v>
      </c>
      <c r="K149" s="300"/>
      <c r="L149" s="251" t="s">
        <v>2191</v>
      </c>
      <c r="M149" s="251"/>
      <c r="N149" s="251"/>
      <c r="O149" s="251"/>
      <c r="P149" s="251" t="s">
        <v>7983</v>
      </c>
      <c r="Q149" s="251" t="s">
        <v>1229</v>
      </c>
      <c r="R149" s="251" t="s">
        <v>1229</v>
      </c>
      <c r="S149" s="251"/>
      <c r="T149" s="300"/>
      <c r="U149" s="251" t="s">
        <v>7984</v>
      </c>
      <c r="V149" s="251"/>
      <c r="W149" s="249"/>
      <c r="X149" s="249" t="s">
        <v>7931</v>
      </c>
      <c r="Y149" s="5"/>
      <c r="Z149" s="5"/>
      <c r="AA149" s="5"/>
      <c r="AB149" s="5"/>
      <c r="AC149" s="5"/>
      <c r="AD149" s="5"/>
      <c r="AE149" s="5"/>
      <c r="AF149" s="5"/>
      <c r="AG149" s="23"/>
      <c r="AH149" s="23"/>
      <c r="AI149" s="23"/>
      <c r="AJ149" s="23"/>
      <c r="AK149" s="23"/>
      <c r="AL149" s="23"/>
    </row>
    <row r="150" ht="15.0" customHeight="1">
      <c r="A150" s="249" t="s">
        <v>2172</v>
      </c>
      <c r="B150" s="249" t="s">
        <v>7126</v>
      </c>
      <c r="C150" s="249" t="s">
        <v>7985</v>
      </c>
      <c r="D150" s="249" t="s">
        <v>7219</v>
      </c>
      <c r="E150" s="249" t="str">
        <f t="shared" si="2"/>
        <v>POI-SHO</v>
      </c>
      <c r="F150" s="249" t="s">
        <v>7986</v>
      </c>
      <c r="G150" s="249" t="s">
        <v>7237</v>
      </c>
      <c r="H150" s="249" t="s">
        <v>7987</v>
      </c>
      <c r="I150" s="249"/>
      <c r="J150" s="249" t="s">
        <v>2191</v>
      </c>
      <c r="K150" s="300"/>
      <c r="L150" s="251" t="s">
        <v>2191</v>
      </c>
      <c r="M150" s="251"/>
      <c r="N150" s="251"/>
      <c r="O150" s="251"/>
      <c r="P150" s="251" t="s">
        <v>7988</v>
      </c>
      <c r="Q150" s="251" t="s">
        <v>1229</v>
      </c>
      <c r="R150" s="251" t="s">
        <v>1229</v>
      </c>
      <c r="S150" s="251"/>
      <c r="T150" s="300"/>
      <c r="U150" s="251" t="s">
        <v>7989</v>
      </c>
      <c r="V150" s="251"/>
      <c r="W150" s="249"/>
      <c r="X150" s="249" t="s">
        <v>7931</v>
      </c>
      <c r="Y150" s="5"/>
      <c r="Z150" s="5"/>
      <c r="AA150" s="5"/>
      <c r="AB150" s="5"/>
      <c r="AC150" s="5"/>
      <c r="AD150" s="5"/>
      <c r="AE150" s="5"/>
      <c r="AF150" s="5"/>
      <c r="AG150" s="23"/>
      <c r="AH150" s="23"/>
      <c r="AI150" s="23"/>
      <c r="AJ150" s="23"/>
      <c r="AK150" s="23"/>
      <c r="AL150" s="23"/>
    </row>
    <row r="151" ht="15.0" customHeight="1">
      <c r="A151" s="249" t="s">
        <v>2172</v>
      </c>
      <c r="B151" s="249" t="s">
        <v>7126</v>
      </c>
      <c r="C151" s="249" t="s">
        <v>7990</v>
      </c>
      <c r="D151" s="249" t="s">
        <v>7219</v>
      </c>
      <c r="E151" s="249" t="str">
        <f t="shared" si="2"/>
        <v>POI-SHO</v>
      </c>
      <c r="F151" s="249" t="s">
        <v>7991</v>
      </c>
      <c r="G151" s="249" t="s">
        <v>7237</v>
      </c>
      <c r="H151" s="249" t="s">
        <v>7987</v>
      </c>
      <c r="I151" s="249"/>
      <c r="J151" s="249" t="s">
        <v>2191</v>
      </c>
      <c r="K151" s="300"/>
      <c r="L151" s="251" t="s">
        <v>2191</v>
      </c>
      <c r="M151" s="251"/>
      <c r="N151" s="251"/>
      <c r="O151" s="251"/>
      <c r="P151" s="251" t="s">
        <v>7992</v>
      </c>
      <c r="Q151" s="251" t="s">
        <v>1229</v>
      </c>
      <c r="R151" s="251" t="s">
        <v>1229</v>
      </c>
      <c r="S151" s="251"/>
      <c r="T151" s="300"/>
      <c r="U151" s="251" t="s">
        <v>7993</v>
      </c>
      <c r="V151" s="251"/>
      <c r="W151" s="249"/>
      <c r="X151" s="249" t="s">
        <v>7931</v>
      </c>
      <c r="Y151" s="5"/>
      <c r="Z151" s="5"/>
      <c r="AA151" s="5"/>
      <c r="AB151" s="5"/>
      <c r="AC151" s="5"/>
      <c r="AD151" s="5"/>
      <c r="AE151" s="5"/>
      <c r="AF151" s="5"/>
      <c r="AG151" s="23"/>
      <c r="AH151" s="23"/>
      <c r="AI151" s="23"/>
      <c r="AJ151" s="23"/>
      <c r="AK151" s="23"/>
      <c r="AL151" s="23"/>
    </row>
    <row r="152" ht="15.0" customHeight="1">
      <c r="A152" s="249" t="s">
        <v>2172</v>
      </c>
      <c r="B152" s="249" t="s">
        <v>7126</v>
      </c>
      <c r="C152" s="249" t="s">
        <v>7994</v>
      </c>
      <c r="D152" s="249" t="s">
        <v>7219</v>
      </c>
      <c r="E152" s="249" t="str">
        <f t="shared" si="2"/>
        <v>POI-SHO</v>
      </c>
      <c r="F152" s="249" t="s">
        <v>7995</v>
      </c>
      <c r="G152" s="249" t="s">
        <v>7237</v>
      </c>
      <c r="H152" s="249" t="s">
        <v>7987</v>
      </c>
      <c r="I152" s="249"/>
      <c r="J152" s="249" t="s">
        <v>4617</v>
      </c>
      <c r="K152" s="300"/>
      <c r="L152" s="251" t="s">
        <v>4617</v>
      </c>
      <c r="M152" s="251"/>
      <c r="N152" s="251"/>
      <c r="O152" s="251"/>
      <c r="P152" s="251" t="s">
        <v>7996</v>
      </c>
      <c r="Q152" s="251" t="s">
        <v>1229</v>
      </c>
      <c r="R152" s="251" t="s">
        <v>1229</v>
      </c>
      <c r="S152" s="251"/>
      <c r="T152" s="300"/>
      <c r="U152" s="251" t="s">
        <v>7997</v>
      </c>
      <c r="V152" s="251"/>
      <c r="W152" s="249"/>
      <c r="X152" s="249" t="s">
        <v>7931</v>
      </c>
      <c r="Y152" s="5"/>
      <c r="Z152" s="5"/>
      <c r="AA152" s="5"/>
      <c r="AB152" s="5"/>
      <c r="AC152" s="5"/>
      <c r="AD152" s="5"/>
      <c r="AE152" s="5"/>
      <c r="AF152" s="5"/>
      <c r="AG152" s="23"/>
      <c r="AH152" s="23"/>
      <c r="AI152" s="23"/>
      <c r="AJ152" s="23"/>
      <c r="AK152" s="23"/>
      <c r="AL152" s="23"/>
    </row>
    <row r="153" ht="15.0" customHeight="1">
      <c r="A153" s="249" t="s">
        <v>2172</v>
      </c>
      <c r="B153" s="249" t="s">
        <v>7126</v>
      </c>
      <c r="C153" s="249" t="s">
        <v>7998</v>
      </c>
      <c r="D153" s="249" t="s">
        <v>7219</v>
      </c>
      <c r="E153" s="249" t="str">
        <f t="shared" si="2"/>
        <v>POI-SHO</v>
      </c>
      <c r="F153" s="249" t="s">
        <v>7999</v>
      </c>
      <c r="G153" s="249" t="s">
        <v>7237</v>
      </c>
      <c r="H153" s="249" t="s">
        <v>7987</v>
      </c>
      <c r="I153" s="249"/>
      <c r="J153" s="249" t="s">
        <v>2306</v>
      </c>
      <c r="K153" s="300"/>
      <c r="L153" s="251" t="s">
        <v>2306</v>
      </c>
      <c r="M153" s="251"/>
      <c r="N153" s="251"/>
      <c r="O153" s="251"/>
      <c r="P153" s="251" t="s">
        <v>8000</v>
      </c>
      <c r="Q153" s="251" t="s">
        <v>1229</v>
      </c>
      <c r="R153" s="251" t="s">
        <v>1229</v>
      </c>
      <c r="S153" s="251"/>
      <c r="T153" s="300"/>
      <c r="U153" s="251" t="s">
        <v>8001</v>
      </c>
      <c r="V153" s="251"/>
      <c r="W153" s="249"/>
      <c r="X153" s="249" t="s">
        <v>7931</v>
      </c>
      <c r="Y153" s="5"/>
      <c r="Z153" s="5"/>
      <c r="AA153" s="5"/>
      <c r="AB153" s="5"/>
      <c r="AC153" s="5"/>
      <c r="AD153" s="5"/>
      <c r="AE153" s="5"/>
      <c r="AF153" s="5"/>
      <c r="AG153" s="23"/>
      <c r="AH153" s="23"/>
      <c r="AI153" s="23"/>
      <c r="AJ153" s="23"/>
      <c r="AK153" s="23"/>
      <c r="AL153" s="23"/>
    </row>
    <row r="154" ht="15.0" customHeight="1">
      <c r="A154" s="249" t="s">
        <v>2172</v>
      </c>
      <c r="B154" s="249" t="s">
        <v>7126</v>
      </c>
      <c r="C154" s="249" t="s">
        <v>8002</v>
      </c>
      <c r="D154" s="249" t="s">
        <v>7219</v>
      </c>
      <c r="E154" s="249" t="str">
        <f t="shared" si="2"/>
        <v>POI-SHO</v>
      </c>
      <c r="F154" s="249" t="s">
        <v>8003</v>
      </c>
      <c r="G154" s="249" t="s">
        <v>7237</v>
      </c>
      <c r="H154" s="249" t="s">
        <v>7987</v>
      </c>
      <c r="I154" s="249"/>
      <c r="J154" s="249" t="s">
        <v>2191</v>
      </c>
      <c r="K154" s="300"/>
      <c r="L154" s="251" t="s">
        <v>2191</v>
      </c>
      <c r="M154" s="251"/>
      <c r="N154" s="251"/>
      <c r="O154" s="251"/>
      <c r="P154" s="251" t="s">
        <v>8004</v>
      </c>
      <c r="Q154" s="251" t="s">
        <v>1229</v>
      </c>
      <c r="R154" s="251" t="s">
        <v>1229</v>
      </c>
      <c r="S154" s="251"/>
      <c r="T154" s="300"/>
      <c r="U154" s="251" t="s">
        <v>8005</v>
      </c>
      <c r="V154" s="251"/>
      <c r="W154" s="249"/>
      <c r="X154" s="249" t="s">
        <v>7931</v>
      </c>
      <c r="Y154" s="5"/>
      <c r="Z154" s="5"/>
      <c r="AA154" s="5"/>
      <c r="AB154" s="5"/>
      <c r="AC154" s="5"/>
      <c r="AD154" s="5"/>
      <c r="AE154" s="5"/>
      <c r="AF154" s="5"/>
      <c r="AG154" s="23"/>
      <c r="AH154" s="23"/>
      <c r="AI154" s="23"/>
      <c r="AJ154" s="23"/>
      <c r="AK154" s="23"/>
      <c r="AL154" s="23"/>
    </row>
    <row r="155" ht="15.0" customHeight="1">
      <c r="A155" s="249" t="s">
        <v>2172</v>
      </c>
      <c r="B155" s="249" t="s">
        <v>7126</v>
      </c>
      <c r="C155" s="249" t="s">
        <v>8006</v>
      </c>
      <c r="D155" s="249" t="s">
        <v>7219</v>
      </c>
      <c r="E155" s="249" t="str">
        <f t="shared" si="2"/>
        <v>POI-SHO</v>
      </c>
      <c r="F155" s="249" t="s">
        <v>8007</v>
      </c>
      <c r="G155" s="249" t="s">
        <v>7237</v>
      </c>
      <c r="H155" s="249" t="s">
        <v>7987</v>
      </c>
      <c r="I155" s="249"/>
      <c r="J155" s="249" t="s">
        <v>2191</v>
      </c>
      <c r="K155" s="300"/>
      <c r="L155" s="251" t="s">
        <v>2191</v>
      </c>
      <c r="M155" s="251"/>
      <c r="N155" s="251"/>
      <c r="O155" s="251"/>
      <c r="P155" s="251" t="s">
        <v>8008</v>
      </c>
      <c r="Q155" s="251" t="s">
        <v>1229</v>
      </c>
      <c r="R155" s="251" t="s">
        <v>1229</v>
      </c>
      <c r="S155" s="251"/>
      <c r="T155" s="300"/>
      <c r="U155" s="251" t="s">
        <v>8009</v>
      </c>
      <c r="V155" s="251"/>
      <c r="W155" s="249"/>
      <c r="X155" s="249" t="s">
        <v>7931</v>
      </c>
      <c r="Y155" s="5"/>
      <c r="Z155" s="5"/>
      <c r="AA155" s="5"/>
      <c r="AB155" s="5"/>
      <c r="AC155" s="5"/>
      <c r="AD155" s="5"/>
      <c r="AE155" s="5"/>
      <c r="AF155" s="5"/>
      <c r="AG155" s="23"/>
      <c r="AH155" s="23"/>
      <c r="AI155" s="23"/>
      <c r="AJ155" s="23"/>
      <c r="AK155" s="23"/>
      <c r="AL155" s="23"/>
    </row>
    <row r="156" ht="15.75" customHeight="1">
      <c r="D156" s="261"/>
      <c r="G156" s="261"/>
    </row>
    <row r="157" ht="15.75" customHeight="1">
      <c r="D157" s="261"/>
      <c r="G157" s="261"/>
    </row>
    <row r="158" ht="15.75" customHeight="1">
      <c r="D158" s="261"/>
      <c r="G158" s="261"/>
    </row>
    <row r="159" ht="15.75" customHeight="1">
      <c r="D159" s="261"/>
      <c r="G159" s="261"/>
    </row>
    <row r="160" ht="15.75" customHeight="1">
      <c r="D160" s="261"/>
      <c r="G160" s="261"/>
    </row>
    <row r="161" ht="15.75" customHeight="1">
      <c r="D161" s="261"/>
      <c r="G161" s="261"/>
    </row>
    <row r="162" ht="15.75" customHeight="1">
      <c r="D162" s="261"/>
      <c r="G162" s="261"/>
    </row>
    <row r="163" ht="15.75" customHeight="1">
      <c r="D163" s="261"/>
      <c r="G163" s="261"/>
    </row>
    <row r="164" ht="15.75" customHeight="1">
      <c r="D164" s="261"/>
      <c r="G164" s="261"/>
    </row>
    <row r="165" ht="15.75" customHeight="1">
      <c r="D165" s="261"/>
      <c r="G165" s="261"/>
    </row>
    <row r="166" ht="15.75" customHeight="1">
      <c r="D166" s="261"/>
      <c r="G166" s="261"/>
    </row>
    <row r="167" ht="15.75" customHeight="1">
      <c r="D167" s="261"/>
      <c r="G167" s="261"/>
    </row>
    <row r="168" ht="15.75" customHeight="1">
      <c r="D168" s="261"/>
      <c r="G168" s="261"/>
    </row>
    <row r="169" ht="15.75" customHeight="1">
      <c r="D169" s="261"/>
      <c r="G169" s="261"/>
    </row>
    <row r="170" ht="15.75" customHeight="1">
      <c r="D170" s="261"/>
      <c r="G170" s="261"/>
    </row>
    <row r="171" ht="15.75" customHeight="1">
      <c r="D171" s="261"/>
      <c r="G171" s="261"/>
    </row>
    <row r="172" ht="15.75" customHeight="1">
      <c r="D172" s="261"/>
      <c r="G172" s="261"/>
    </row>
    <row r="173" ht="15.75" customHeight="1">
      <c r="D173" s="261"/>
      <c r="G173" s="261"/>
    </row>
    <row r="174" ht="15.75" customHeight="1">
      <c r="D174" s="261"/>
      <c r="G174" s="261"/>
    </row>
    <row r="175" ht="15.75" customHeight="1">
      <c r="D175" s="261"/>
      <c r="G175" s="261"/>
    </row>
    <row r="176" ht="15.75" customHeight="1">
      <c r="D176" s="261"/>
      <c r="G176" s="261"/>
    </row>
    <row r="177" ht="15.75" customHeight="1">
      <c r="D177" s="261"/>
      <c r="G177" s="261"/>
    </row>
    <row r="178" ht="15.75" customHeight="1">
      <c r="D178" s="261"/>
      <c r="G178" s="261"/>
    </row>
    <row r="179" ht="15.75" customHeight="1">
      <c r="D179" s="261"/>
      <c r="G179" s="261"/>
    </row>
    <row r="180" ht="15.75" customHeight="1">
      <c r="D180" s="261"/>
      <c r="G180" s="261"/>
    </row>
    <row r="181" ht="15.75" customHeight="1">
      <c r="D181" s="261"/>
      <c r="G181" s="261"/>
    </row>
    <row r="182" ht="15.75" customHeight="1">
      <c r="D182" s="261"/>
      <c r="G182" s="261"/>
    </row>
    <row r="183" ht="15.75" customHeight="1">
      <c r="D183" s="261"/>
      <c r="G183" s="261"/>
    </row>
    <row r="184" ht="15.75" customHeight="1">
      <c r="D184" s="261"/>
      <c r="G184" s="261"/>
    </row>
    <row r="185" ht="15.75" customHeight="1">
      <c r="D185" s="261"/>
      <c r="G185" s="261"/>
    </row>
    <row r="186" ht="15.75" customHeight="1">
      <c r="D186" s="261"/>
      <c r="G186" s="261"/>
    </row>
    <row r="187" ht="15.75" customHeight="1">
      <c r="D187" s="261"/>
      <c r="G187" s="261"/>
    </row>
    <row r="188" ht="15.75" customHeight="1">
      <c r="D188" s="261"/>
      <c r="G188" s="261"/>
    </row>
    <row r="189" ht="15.75" customHeight="1">
      <c r="D189" s="261"/>
      <c r="G189" s="261"/>
    </row>
    <row r="190" ht="15.75" customHeight="1">
      <c r="D190" s="261"/>
      <c r="G190" s="261"/>
    </row>
    <row r="191" ht="15.75" customHeight="1">
      <c r="D191" s="261"/>
      <c r="G191" s="261"/>
    </row>
    <row r="192" ht="15.75" customHeight="1">
      <c r="D192" s="261"/>
      <c r="G192" s="261"/>
    </row>
    <row r="193" ht="15.75" customHeight="1">
      <c r="D193" s="261"/>
      <c r="G193" s="261"/>
    </row>
    <row r="194" ht="15.75" customHeight="1">
      <c r="D194" s="261"/>
      <c r="G194" s="261"/>
    </row>
    <row r="195" ht="15.75" customHeight="1">
      <c r="D195" s="261"/>
      <c r="G195" s="261"/>
    </row>
    <row r="196" ht="15.75" customHeight="1">
      <c r="D196" s="261"/>
      <c r="G196" s="261"/>
    </row>
    <row r="197" ht="15.75" customHeight="1">
      <c r="D197" s="261"/>
      <c r="G197" s="261"/>
    </row>
    <row r="198" ht="15.75" customHeight="1">
      <c r="D198" s="261"/>
      <c r="G198" s="261"/>
    </row>
    <row r="199" ht="15.75" customHeight="1">
      <c r="D199" s="261"/>
      <c r="G199" s="261"/>
    </row>
    <row r="200" ht="15.75" customHeight="1">
      <c r="D200" s="261"/>
      <c r="G200" s="261"/>
    </row>
    <row r="201" ht="15.75" customHeight="1">
      <c r="D201" s="261"/>
      <c r="G201" s="261"/>
    </row>
    <row r="202" ht="15.75" customHeight="1">
      <c r="D202" s="261"/>
      <c r="G202" s="261"/>
    </row>
    <row r="203" ht="15.75" customHeight="1">
      <c r="D203" s="261"/>
      <c r="G203" s="261"/>
    </row>
    <row r="204" ht="15.75" customHeight="1">
      <c r="D204" s="261"/>
      <c r="G204" s="261"/>
    </row>
    <row r="205" ht="15.75" customHeight="1">
      <c r="D205" s="261"/>
      <c r="G205" s="261"/>
    </row>
    <row r="206" ht="15.75" customHeight="1">
      <c r="D206" s="261"/>
      <c r="G206" s="261"/>
    </row>
    <row r="207" ht="15.75" customHeight="1">
      <c r="D207" s="261"/>
      <c r="G207" s="261"/>
    </row>
    <row r="208" ht="15.75" customHeight="1">
      <c r="D208" s="261"/>
      <c r="G208" s="261"/>
    </row>
    <row r="209" ht="15.75" customHeight="1">
      <c r="D209" s="261"/>
      <c r="G209" s="261"/>
    </row>
    <row r="210" ht="15.75" customHeight="1">
      <c r="D210" s="261"/>
      <c r="G210" s="261"/>
    </row>
    <row r="211" ht="15.75" customHeight="1">
      <c r="D211" s="261"/>
      <c r="G211" s="261"/>
    </row>
    <row r="212" ht="15.75" customHeight="1">
      <c r="D212" s="261"/>
      <c r="G212" s="261"/>
    </row>
    <row r="213" ht="15.75" customHeight="1">
      <c r="D213" s="261"/>
      <c r="G213" s="261"/>
    </row>
    <row r="214" ht="15.75" customHeight="1">
      <c r="D214" s="261"/>
      <c r="G214" s="261"/>
    </row>
    <row r="215" ht="15.75" customHeight="1">
      <c r="D215" s="261"/>
      <c r="G215" s="261"/>
    </row>
    <row r="216" ht="15.75" customHeight="1">
      <c r="D216" s="261"/>
      <c r="G216" s="261"/>
    </row>
    <row r="217" ht="15.75" customHeight="1">
      <c r="D217" s="261"/>
      <c r="G217" s="261"/>
    </row>
    <row r="218" ht="15.75" customHeight="1">
      <c r="D218" s="261"/>
      <c r="G218" s="261"/>
    </row>
    <row r="219" ht="15.75" customHeight="1">
      <c r="D219" s="261"/>
      <c r="G219" s="261"/>
    </row>
    <row r="220" ht="15.75" customHeight="1">
      <c r="D220" s="261"/>
      <c r="G220" s="261"/>
    </row>
    <row r="221" ht="15.75" customHeight="1">
      <c r="D221" s="261"/>
      <c r="G221" s="261"/>
    </row>
    <row r="222" ht="15.75" customHeight="1">
      <c r="D222" s="261"/>
      <c r="G222" s="261"/>
    </row>
    <row r="223" ht="15.75" customHeight="1">
      <c r="D223" s="261"/>
      <c r="G223" s="261"/>
    </row>
    <row r="224" ht="15.75" customHeight="1">
      <c r="D224" s="261"/>
      <c r="G224" s="261"/>
    </row>
    <row r="225" ht="15.75" customHeight="1">
      <c r="D225" s="261"/>
      <c r="G225" s="261"/>
    </row>
    <row r="226" ht="15.75" customHeight="1">
      <c r="D226" s="261"/>
      <c r="G226" s="261"/>
    </row>
    <row r="227" ht="15.75" customHeight="1">
      <c r="D227" s="261"/>
      <c r="G227" s="261"/>
    </row>
    <row r="228" ht="15.75" customHeight="1">
      <c r="D228" s="261"/>
      <c r="G228" s="261"/>
    </row>
    <row r="229" ht="15.75" customHeight="1">
      <c r="D229" s="261"/>
      <c r="G229" s="261"/>
    </row>
    <row r="230" ht="15.75" customHeight="1">
      <c r="D230" s="261"/>
      <c r="G230" s="261"/>
    </row>
    <row r="231" ht="15.75" customHeight="1">
      <c r="D231" s="261"/>
      <c r="G231" s="261"/>
    </row>
    <row r="232" ht="15.75" customHeight="1">
      <c r="D232" s="261"/>
      <c r="G232" s="261"/>
    </row>
    <row r="233" ht="15.75" customHeight="1">
      <c r="D233" s="261"/>
      <c r="G233" s="261"/>
    </row>
    <row r="234" ht="15.75" customHeight="1">
      <c r="D234" s="261"/>
      <c r="G234" s="261"/>
    </row>
    <row r="235" ht="15.75" customHeight="1">
      <c r="D235" s="261"/>
      <c r="G235" s="261"/>
    </row>
    <row r="236" ht="15.75" customHeight="1">
      <c r="D236" s="261"/>
      <c r="G236" s="261"/>
    </row>
    <row r="237" ht="15.75" customHeight="1">
      <c r="D237" s="261"/>
      <c r="G237" s="261"/>
    </row>
    <row r="238" ht="15.75" customHeight="1">
      <c r="D238" s="261"/>
      <c r="G238" s="261"/>
    </row>
    <row r="239" ht="15.75" customHeight="1">
      <c r="D239" s="261"/>
      <c r="G239" s="261"/>
    </row>
    <row r="240" ht="15.75" customHeight="1">
      <c r="D240" s="261"/>
      <c r="G240" s="261"/>
    </row>
    <row r="241" ht="15.75" customHeight="1">
      <c r="D241" s="261"/>
      <c r="G241" s="261"/>
    </row>
    <row r="242" ht="15.75" customHeight="1">
      <c r="D242" s="261"/>
      <c r="G242" s="261"/>
    </row>
    <row r="243" ht="15.75" customHeight="1">
      <c r="D243" s="261"/>
      <c r="G243" s="261"/>
    </row>
    <row r="244" ht="15.75" customHeight="1">
      <c r="D244" s="261"/>
      <c r="G244" s="261"/>
    </row>
    <row r="245" ht="15.75" customHeight="1">
      <c r="D245" s="261"/>
      <c r="G245" s="261"/>
    </row>
    <row r="246" ht="15.75" customHeight="1">
      <c r="D246" s="261"/>
      <c r="G246" s="261"/>
    </row>
    <row r="247" ht="15.75" customHeight="1">
      <c r="D247" s="261"/>
      <c r="G247" s="261"/>
    </row>
    <row r="248" ht="15.75" customHeight="1">
      <c r="D248" s="261"/>
      <c r="G248" s="261"/>
    </row>
    <row r="249" ht="15.75" customHeight="1">
      <c r="D249" s="261"/>
      <c r="G249" s="261"/>
    </row>
    <row r="250" ht="15.75" customHeight="1">
      <c r="D250" s="261"/>
      <c r="G250" s="261"/>
    </row>
    <row r="251" ht="15.75" customHeight="1">
      <c r="D251" s="261"/>
      <c r="G251" s="261"/>
    </row>
    <row r="252" ht="15.75" customHeight="1">
      <c r="D252" s="261"/>
      <c r="G252" s="261"/>
    </row>
    <row r="253" ht="15.75" customHeight="1">
      <c r="D253" s="261"/>
      <c r="G253" s="261"/>
    </row>
    <row r="254" ht="15.75" customHeight="1">
      <c r="D254" s="261"/>
      <c r="G254" s="261"/>
    </row>
    <row r="255" ht="15.75" customHeight="1">
      <c r="D255" s="261"/>
      <c r="G255" s="261"/>
    </row>
    <row r="256" ht="15.75" customHeight="1">
      <c r="D256" s="261"/>
      <c r="G256" s="261"/>
    </row>
    <row r="257" ht="15.75" customHeight="1">
      <c r="D257" s="261"/>
      <c r="G257" s="261"/>
    </row>
    <row r="258" ht="15.75" customHeight="1">
      <c r="D258" s="261"/>
      <c r="G258" s="261"/>
    </row>
    <row r="259" ht="15.75" customHeight="1">
      <c r="D259" s="261"/>
      <c r="G259" s="261"/>
    </row>
    <row r="260" ht="15.75" customHeight="1">
      <c r="D260" s="261"/>
      <c r="G260" s="261"/>
    </row>
    <row r="261" ht="15.75" customHeight="1">
      <c r="D261" s="261"/>
      <c r="G261" s="261"/>
    </row>
    <row r="262" ht="15.75" customHeight="1">
      <c r="D262" s="261"/>
      <c r="G262" s="261"/>
    </row>
    <row r="263" ht="15.75" customHeight="1">
      <c r="D263" s="261"/>
      <c r="G263" s="261"/>
    </row>
    <row r="264" ht="15.75" customHeight="1">
      <c r="D264" s="261"/>
      <c r="G264" s="261"/>
    </row>
    <row r="265" ht="15.75" customHeight="1">
      <c r="D265" s="261"/>
      <c r="G265" s="261"/>
    </row>
    <row r="266" ht="15.75" customHeight="1">
      <c r="D266" s="261"/>
      <c r="G266" s="261"/>
    </row>
    <row r="267" ht="15.75" customHeight="1">
      <c r="D267" s="261"/>
      <c r="G267" s="261"/>
    </row>
    <row r="268" ht="15.75" customHeight="1">
      <c r="D268" s="261"/>
      <c r="G268" s="261"/>
    </row>
    <row r="269" ht="15.75" customHeight="1">
      <c r="D269" s="261"/>
      <c r="G269" s="261"/>
    </row>
    <row r="270" ht="15.75" customHeight="1">
      <c r="D270" s="261"/>
      <c r="G270" s="261"/>
    </row>
    <row r="271" ht="15.75" customHeight="1">
      <c r="D271" s="261"/>
      <c r="G271" s="261"/>
    </row>
    <row r="272" ht="15.75" customHeight="1">
      <c r="D272" s="261"/>
      <c r="G272" s="261"/>
    </row>
    <row r="273" ht="15.75" customHeight="1">
      <c r="D273" s="261"/>
      <c r="G273" s="261"/>
    </row>
    <row r="274" ht="15.75" customHeight="1">
      <c r="D274" s="261"/>
      <c r="G274" s="261"/>
    </row>
    <row r="275" ht="15.75" customHeight="1">
      <c r="D275" s="261"/>
      <c r="G275" s="261"/>
    </row>
    <row r="276" ht="15.75" customHeight="1">
      <c r="D276" s="261"/>
      <c r="G276" s="261"/>
    </row>
    <row r="277" ht="15.75" customHeight="1">
      <c r="D277" s="261"/>
      <c r="G277" s="261"/>
    </row>
    <row r="278" ht="15.75" customHeight="1">
      <c r="D278" s="261"/>
      <c r="G278" s="261"/>
    </row>
    <row r="279" ht="15.75" customHeight="1">
      <c r="D279" s="261"/>
      <c r="G279" s="261"/>
    </row>
    <row r="280" ht="15.75" customHeight="1">
      <c r="D280" s="261"/>
      <c r="G280" s="261"/>
    </row>
    <row r="281" ht="15.75" customHeight="1">
      <c r="D281" s="261"/>
      <c r="G281" s="261"/>
    </row>
    <row r="282" ht="15.75" customHeight="1">
      <c r="D282" s="261"/>
      <c r="G282" s="261"/>
    </row>
    <row r="283" ht="15.75" customHeight="1">
      <c r="D283" s="261"/>
      <c r="G283" s="261"/>
    </row>
    <row r="284" ht="15.75" customHeight="1">
      <c r="D284" s="261"/>
      <c r="G284" s="261"/>
    </row>
    <row r="285" ht="15.75" customHeight="1">
      <c r="D285" s="261"/>
      <c r="G285" s="261"/>
    </row>
    <row r="286" ht="15.75" customHeight="1">
      <c r="D286" s="261"/>
      <c r="G286" s="261"/>
    </row>
    <row r="287" ht="15.75" customHeight="1">
      <c r="D287" s="261"/>
      <c r="G287" s="261"/>
    </row>
    <row r="288" ht="15.75" customHeight="1">
      <c r="D288" s="261"/>
      <c r="G288" s="261"/>
    </row>
    <row r="289" ht="15.75" customHeight="1">
      <c r="D289" s="261"/>
      <c r="G289" s="261"/>
    </row>
    <row r="290" ht="15.75" customHeight="1">
      <c r="D290" s="261"/>
      <c r="G290" s="261"/>
    </row>
    <row r="291" ht="15.75" customHeight="1">
      <c r="D291" s="261"/>
      <c r="G291" s="261"/>
    </row>
    <row r="292" ht="15.75" customHeight="1">
      <c r="D292" s="261"/>
      <c r="G292" s="261"/>
    </row>
    <row r="293" ht="15.75" customHeight="1">
      <c r="D293" s="261"/>
      <c r="G293" s="261"/>
    </row>
    <row r="294" ht="15.75" customHeight="1">
      <c r="D294" s="261"/>
      <c r="G294" s="261"/>
    </row>
    <row r="295" ht="15.75" customHeight="1">
      <c r="D295" s="261"/>
      <c r="G295" s="261"/>
    </row>
    <row r="296" ht="15.75" customHeight="1">
      <c r="D296" s="261"/>
      <c r="G296" s="261"/>
    </row>
    <row r="297" ht="15.75" customHeight="1">
      <c r="D297" s="261"/>
      <c r="G297" s="261"/>
    </row>
    <row r="298" ht="15.75" customHeight="1">
      <c r="D298" s="261"/>
      <c r="G298" s="261"/>
    </row>
    <row r="299" ht="15.75" customHeight="1">
      <c r="D299" s="261"/>
      <c r="G299" s="261"/>
    </row>
    <row r="300" ht="15.75" customHeight="1">
      <c r="D300" s="261"/>
      <c r="G300" s="261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2:$X$125">
    <sortState ref="B2:X125">
      <sortCondition ref="C2:C125"/>
    </sortState>
  </autoFilter>
  <mergeCells count="1">
    <mergeCell ref="B1:X1"/>
  </mergeCells>
  <dataValidations>
    <dataValidation type="list" allowBlank="1" showErrorMessage="1" sqref="D3:D300">
      <formula1>REF_CODES!$C$190:$C$194</formula1>
    </dataValidation>
    <dataValidation type="list" allowBlank="1" showErrorMessage="1" sqref="W3:W125 W134:W137">
      <formula1>"Non contacté,Contact identifié,Échange réalisé,Relance 1,Relance 2,Convention envoyée,Convention signée,Actif SOLÝ"</formula1>
    </dataValidation>
    <dataValidation type="list" allowBlank="1" showErrorMessage="1" sqref="G3:G300">
      <formula1>$AJ$3:$AJ$39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961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0"/>
    <col customWidth="1" min="2" max="2" width="24.0"/>
    <col customWidth="1" min="3" max="3" width="30.0"/>
    <col customWidth="1" min="4" max="4" width="14.0"/>
    <col customWidth="1" min="5" max="5" width="22.0"/>
    <col customWidth="1" min="6" max="6" width="12.0"/>
    <col customWidth="1" min="7" max="7" width="8.63"/>
  </cols>
  <sheetData>
    <row r="1">
      <c r="A1" s="295" t="s">
        <v>7084</v>
      </c>
      <c r="B1" s="2"/>
      <c r="C1" s="2"/>
      <c r="D1" s="2"/>
      <c r="E1" s="2"/>
      <c r="F1" s="4"/>
      <c r="G1" s="261" t="str">
        <f t="array" ref="G1:G5">IF($C$18="SUR MESURE ABSOLU","BG-LIBRE",{"BG1";"BG2";"BG3";"BG4";"BG5"})</f>
        <v>BG1</v>
      </c>
    </row>
    <row r="2">
      <c r="A2" s="296" t="s">
        <v>7085</v>
      </c>
      <c r="G2" s="261" t="s">
        <v>158</v>
      </c>
    </row>
    <row r="3">
      <c r="A3" s="295" t="s">
        <v>33</v>
      </c>
      <c r="B3" s="2"/>
      <c r="C3" s="2"/>
      <c r="D3" s="2"/>
      <c r="E3" s="2"/>
      <c r="F3" s="4"/>
      <c r="G3" s="261" t="s">
        <v>161</v>
      </c>
    </row>
    <row r="4">
      <c r="A4" s="13" t="s">
        <v>7086</v>
      </c>
      <c r="C4" s="297">
        <v>46152.0</v>
      </c>
      <c r="G4" s="261" t="s">
        <v>164</v>
      </c>
    </row>
    <row r="5">
      <c r="A5" s="13" t="s">
        <v>7087</v>
      </c>
      <c r="C5" s="297">
        <v>46154.0</v>
      </c>
      <c r="G5" s="261" t="s">
        <v>167</v>
      </c>
    </row>
    <row r="6">
      <c r="A6" s="13" t="s">
        <v>7088</v>
      </c>
      <c r="C6" s="296">
        <f>C5-C4</f>
        <v>2</v>
      </c>
    </row>
    <row r="7">
      <c r="A7" s="13" t="s">
        <v>7089</v>
      </c>
      <c r="C7" s="296">
        <f>C6</f>
        <v>2</v>
      </c>
    </row>
    <row r="8">
      <c r="A8" s="13" t="s">
        <v>7090</v>
      </c>
      <c r="C8" s="298">
        <v>2.0</v>
      </c>
    </row>
    <row r="9">
      <c r="A9" s="13" t="s">
        <v>7091</v>
      </c>
      <c r="C9" s="298">
        <v>2.0</v>
      </c>
    </row>
    <row r="10">
      <c r="A10" s="13" t="s">
        <v>7092</v>
      </c>
      <c r="C10" s="298">
        <v>0.0</v>
      </c>
    </row>
    <row r="11">
      <c r="A11" s="13" t="s">
        <v>7093</v>
      </c>
      <c r="C11" s="296" t="str">
        <f>IF(C9&gt;0,"OUI — slot enfants ouvert","NON")</f>
        <v>OUI — slot enfants ouvert</v>
      </c>
    </row>
    <row r="12">
      <c r="A12" s="13" t="s">
        <v>7094</v>
      </c>
      <c r="C12" s="298" t="s">
        <v>7095</v>
      </c>
    </row>
    <row r="13">
      <c r="A13" s="13" t="s">
        <v>7096</v>
      </c>
      <c r="C13" s="298" t="s">
        <v>7097</v>
      </c>
    </row>
    <row r="14">
      <c r="A14" s="13" t="s">
        <v>7098</v>
      </c>
      <c r="C14" s="299">
        <f t="array" ref="C14">IF(AND($C$12="VOITURE",$C$13="CLIENT_GERE"),0,MAX(1,ROUNDUP(($C$8+$C$9)/IFERROR(INDEX(TRANSPORT!$H$3:$H$7,MATCH($C$85,TRANSPORT!$C$3:$C$7,0)),4),0)))</f>
        <v>1</v>
      </c>
    </row>
    <row r="15">
      <c r="A15" s="13" t="s">
        <v>7099</v>
      </c>
      <c r="C15" s="298" t="s">
        <v>64</v>
      </c>
    </row>
    <row r="16">
      <c r="A16" s="13" t="s">
        <v>7100</v>
      </c>
      <c r="C16" s="298" t="s">
        <v>2252</v>
      </c>
    </row>
    <row r="17">
      <c r="A17" s="13" t="s">
        <v>7101</v>
      </c>
      <c r="C17" s="296">
        <f>IF(C16="NON",0,MAX(1,ROUNDUP((C8+C10)/2,0)))</f>
        <v>1</v>
      </c>
    </row>
    <row r="18">
      <c r="A18" s="13" t="s">
        <v>7103</v>
      </c>
      <c r="C18" s="298" t="s">
        <v>130</v>
      </c>
    </row>
    <row r="19">
      <c r="A19" s="13" t="s">
        <v>7104</v>
      </c>
      <c r="C19" s="298" t="s">
        <v>161</v>
      </c>
    </row>
    <row r="21" ht="15.75" customHeight="1">
      <c r="A21" s="295" t="s">
        <v>7105</v>
      </c>
      <c r="B21" s="2"/>
      <c r="C21" s="2"/>
      <c r="D21" s="2"/>
      <c r="E21" s="2"/>
      <c r="F21" s="4"/>
    </row>
    <row r="22" ht="15.75" customHeight="1">
      <c r="A22" s="232" t="s">
        <v>2143</v>
      </c>
      <c r="B22" s="232" t="s">
        <v>7106</v>
      </c>
      <c r="C22" s="232" t="s">
        <v>7107</v>
      </c>
      <c r="D22" s="232" t="s">
        <v>7108</v>
      </c>
      <c r="E22" s="232" t="s">
        <v>1341</v>
      </c>
      <c r="F22" s="232" t="s">
        <v>7109</v>
      </c>
    </row>
    <row r="23" ht="15.75" customHeight="1">
      <c r="A23" s="13" t="str">
        <f t="array" ref="A23">LET(_xlpm.reqHB,$C$18,_xlpm.reqBG,IF($C$18="SUR MESURE ABSOLU","BG-LIBRE",$C$19),_xlpm.nom,HEBERGEMENT!$F$3:$F$320,_xlpm.hb,HEBERGEMENT!$D$3:$D$320,_xlpm.bud,HEBERGEMENT!$H$3:$H$320,_xlpm.prix,HEBERGEMENT!$M$3:$M$320,_xlpm.st,HEBERGEMENT!$AB$3:$AB$320,_xlpm.lvl,HEBERGEMENT!$AE$3:$AE$320,_xlpm.lvlnum,IFERROR(0+MID(_xlpm.lvl,5,1),0),_xlpm.keep,(_xlpm.hb=_xlpm.reqHB)*(IF(OR(_xlpm.reqBG="",_xlpm.reqBG="BG-LIBRE"),1,ISNUMBER(SEARCH(_xlpm.reqBG,_xlpm.bud)))),_xlpm.tbl,CHOOSE({1,2,3,4,5,6},_xlpm.nom,_xlpm.hb,_xlpm.bud,_xlpm.prix,_xlpm.st,_xlpm.lvlnum),IFERROR(TAKE(_xlws.SORT(_xlws.FILTER(_xlpm.tbl,_xlpm.keep),6,-1),5),"Aucun hebergement conforme"))</f>
        <v>Aucun hebergement conforme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>
      <c r="A29" s="295" t="s">
        <v>185</v>
      </c>
      <c r="B29" s="2"/>
      <c r="C29" s="2"/>
      <c r="D29" s="2"/>
      <c r="E29" s="2"/>
      <c r="F29" s="4"/>
    </row>
    <row r="30" ht="15.75" customHeight="1">
      <c r="A30" s="13" t="s">
        <v>7129</v>
      </c>
      <c r="C30" s="298" t="s">
        <v>2201</v>
      </c>
    </row>
    <row r="31" ht="15.75" customHeight="1">
      <c r="A31" s="13" t="s">
        <v>7130</v>
      </c>
      <c r="C31" s="298" t="s">
        <v>330</v>
      </c>
    </row>
    <row r="32" ht="15.75" customHeight="1">
      <c r="A32" s="13" t="s">
        <v>7131</v>
      </c>
      <c r="C32" s="298">
        <v>0.0</v>
      </c>
    </row>
    <row r="33" ht="15.75" customHeight="1">
      <c r="A33" s="13" t="s">
        <v>7132</v>
      </c>
      <c r="C33" s="298" t="s">
        <v>1919</v>
      </c>
    </row>
    <row r="34" ht="15.75" customHeight="1">
      <c r="A34" s="296" t="s">
        <v>7133</v>
      </c>
    </row>
    <row r="35" ht="15.75" customHeight="1">
      <c r="A35" s="13" t="s">
        <v>7135</v>
      </c>
      <c r="C35" s="298" t="s">
        <v>442</v>
      </c>
    </row>
    <row r="36" ht="15.75" customHeight="1">
      <c r="A36" s="232" t="s">
        <v>2143</v>
      </c>
      <c r="B36" s="232" t="s">
        <v>7138</v>
      </c>
      <c r="C36" s="232" t="s">
        <v>7140</v>
      </c>
      <c r="D36" s="232" t="s">
        <v>7109</v>
      </c>
      <c r="E36" s="232" t="s">
        <v>1328</v>
      </c>
    </row>
    <row r="37" ht="15.75" customHeight="1">
      <c r="A37" s="13" t="str">
        <f t="array" ref="A37">LET(_xlpm.reqU,$C$35,_xlpm.reqE,$C$15,_xlpm.nom,ACTIVITES!$F$3:$F$172,_xlpm.uni,ACTIVITES!$D$3:$D$172,_xlpm.pan,ACTIVITES!$I$3:$I$172,_xlpm.lvl,ACTIVITES!$N$3:$N$172,_xlpm.esp,ACTIVITES!$P$3:$P$172,_xlpm.lvlnum,IFERROR(0+MID(_xlpm.lvl,5,1),0),_xlpm.espm,IF(_xlpm.reqE="",0,IF(ISNUMBER(SEARCH(_xlpm.reqE,_xlpm.esp)),15,0)),_xlpm.score,_xlpm.lvlnum*10+_xlpm.espm,_xlpm.tbl,CHOOSE({1,2,3,4,5},_xlpm.nom,_xlpm.uni,_xlpm.pan,_xlpm.lvlnum,_xlpm.score),IFERROR(TAKE(_xlws.SORT(_xlws.FILTER(_xlpm.tbl,_xlpm.uni=_xlpm.reqU),5,-1),5),"—"))</f>
        <v>—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>
      <c r="A43" s="13" t="s">
        <v>7167</v>
      </c>
      <c r="C43" s="298" t="s">
        <v>610</v>
      </c>
    </row>
    <row r="44" ht="15.75" customHeight="1">
      <c r="A44" s="232" t="s">
        <v>2143</v>
      </c>
      <c r="B44" s="232" t="s">
        <v>7172</v>
      </c>
      <c r="C44" s="232" t="s">
        <v>1341</v>
      </c>
      <c r="D44" s="232" t="s">
        <v>7107</v>
      </c>
      <c r="E44" s="232" t="s">
        <v>7175</v>
      </c>
    </row>
    <row r="45" ht="15.75" customHeight="1">
      <c r="A45" s="13" t="str">
        <f t="array" ref="A45">LET(_xlpm.reqR,SUBSTITUTE($C$43,"’","'"),_xlpm.nom,RESTAURANT!$H$3:$H$91,_xlpm.con,RESTAURANT!$F$3:$F$91,_xlpm.conN,SUBSTITUTE(_xlpm.con,"’","'"),_xlpm.st,RESTAURANT!$N$3:$N$91,_xlpm.bud,RESTAURANT!$R$3:$R$91,_xlpm.stn,IF(ISNUMBER(SEARCH("ULT",_xlpm.st)),3,IF(ISNUMBER(SEARCH("SIG",_xlpm.st)),2,IF(ISNUMBER(SEARCH("PRE",_xlpm.st)),1,0))),_xlpm.tbl,CHOOSE({1,2,3,4,5},_xlpm.nom,_xlpm.con,_xlpm.st,_xlpm.bud,_xlpm.stn),IFERROR(TAKE(_xlws.SORT(_xlws.FILTER(_xlpm.tbl,_xlpm.conN=_xlpm.reqR),5,-1),5),"—"))</f>
        <v>—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>
      <c r="A51" s="13" t="s">
        <v>7193</v>
      </c>
      <c r="C51" s="298" t="s">
        <v>493</v>
      </c>
    </row>
    <row r="52" ht="15.75" customHeight="1">
      <c r="A52" s="232" t="s">
        <v>2143</v>
      </c>
      <c r="B52" s="232" t="s">
        <v>7138</v>
      </c>
      <c r="C52" s="232" t="s">
        <v>7140</v>
      </c>
      <c r="D52" s="232" t="s">
        <v>7109</v>
      </c>
      <c r="E52" s="232" t="s">
        <v>1328</v>
      </c>
    </row>
    <row r="53" ht="15.75" customHeight="1">
      <c r="A53" s="13" t="str">
        <f t="array" ref="A53">LET(_xlpm.reqU,$C$51,_xlpm.reqE,$C$15,_xlpm.nom,ACTIVITES!$F$3:$F$172,_xlpm.uni,ACTIVITES!$D$3:$D$172,_xlpm.pan,ACTIVITES!$I$3:$I$172,_xlpm.lvl,ACTIVITES!$N$3:$N$172,_xlpm.esp,ACTIVITES!$P$3:$P$172,_xlpm.lvlnum,IFERROR(0+MID(_xlpm.lvl,5,1),0),_xlpm.espm,IF(_xlpm.reqE="",0,IF(ISNUMBER(SEARCH(_xlpm.reqE,_xlpm.esp)),15,0)),_xlpm.score,_xlpm.lvlnum*10+_xlpm.espm,_xlpm.tbl,CHOOSE({1,2,3,4,5},_xlpm.nom,_xlpm.uni,_xlpm.pan,_xlpm.lvlnum,_xlpm.score),IFERROR(TAKE(_xlws.SORT(_xlws.FILTER(_xlpm.tbl,_xlpm.uni=_xlpm.reqU),5,-1),5),"—"))</f>
        <v>—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>
      <c r="A59" s="13" t="s">
        <v>7217</v>
      </c>
      <c r="C59" s="298" t="s">
        <v>754</v>
      </c>
    </row>
    <row r="60" ht="15.75" customHeight="1">
      <c r="A60" s="232" t="s">
        <v>2143</v>
      </c>
      <c r="B60" s="232" t="s">
        <v>7172</v>
      </c>
      <c r="C60" s="232" t="s">
        <v>1341</v>
      </c>
      <c r="D60" s="232" t="s">
        <v>7107</v>
      </c>
      <c r="E60" s="232" t="s">
        <v>7175</v>
      </c>
    </row>
    <row r="61" ht="15.75" customHeight="1">
      <c r="A61" s="13" t="str">
        <f t="array" ref="A61">LET(_xlpm.reqR,SUBSTITUTE($C$59,"’","'"),_xlpm.nom,RESTAURANT!$H$3:$H$91,_xlpm.con,RESTAURANT!$D$3:$D$91,_xlpm.conN,SUBSTITUTE(_xlpm.con,"’","'"),_xlpm.st,RESTAURANT!$N$3:$N$91,_xlpm.bud,RESTAURANT!$R$3:$R$91,_xlpm.stn,IF(ISNUMBER(SEARCH("ULT",_xlpm.st)),3,IF(ISNUMBER(SEARCH("SIG",_xlpm.st)),2,IF(ISNUMBER(SEARCH("PRE",_xlpm.st)),1,0))),_xlpm.tbl,CHOOSE({1,2,3,4,5},_xlpm.nom,_xlpm.con,_xlpm.st,_xlpm.bud,_xlpm.stn),IFERROR(TAKE(_xlws.SORT(_xlws.FILTER(_xlpm.tbl,_xlpm.conN=_xlpm.reqR),5,-1),5),"—"))</f>
        <v>—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>
      <c r="A67" s="13" t="s">
        <v>7240</v>
      </c>
      <c r="C67" s="298" t="s">
        <v>817</v>
      </c>
    </row>
    <row r="68" ht="15.75" customHeight="1">
      <c r="A68" s="232" t="s">
        <v>2143</v>
      </c>
      <c r="B68" s="232" t="s">
        <v>7138</v>
      </c>
      <c r="C68" s="232" t="s">
        <v>7244</v>
      </c>
      <c r="D68" s="232" t="s">
        <v>7109</v>
      </c>
      <c r="E68" s="232" t="s">
        <v>1328</v>
      </c>
    </row>
    <row r="69" ht="15.75" customHeight="1">
      <c r="A69" s="13" t="str">
        <f t="array" ref="A69">LET(_xlpm.reqU,$C$67,_xlpm.reqE,$C$15,_xlpm.nom,'SOIREE NIGHTLIFE'!$F$3:$F$64,_xlpm.uni,'SOIREE NIGHTLIFE'!$D$3:$D$64,_xlpm.tik,'SOIREE NIGHTLIFE'!$H$3:$H$64,_xlpm.lvl,'SOIREE NIGHTLIFE'!$N$3:$N$64,_xlpm.esp,'SOIREE NIGHTLIFE'!$P$3:$P$64,_xlpm.lvlnum,IFERROR(0+MID(_xlpm.lvl,5,1),0),_xlpm.espm,IF(_xlpm.reqE="",0,IF(ISNUMBER(SEARCH(_xlpm.reqE,_xlpm.esp)),15,0)),_xlpm.score,_xlpm.lvlnum*10+_xlpm.espm,_xlpm.tbl,CHOOSE({1,2,3,4,5},_xlpm.nom,_xlpm.uni,_xlpm.tik,_xlpm.lvlnum,_xlpm.score),IFERROR(TAKE(_xlws.SORT(_xlws.FILTER(_xlpm.tbl,_xlpm.uni=_xlpm.reqU),5,-1),5),"— (choisir un univers)"))</f>
        <v>— (choisir un univers)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A75" s="13" t="s">
        <v>7270</v>
      </c>
      <c r="C75" s="298" t="s">
        <v>907</v>
      </c>
    </row>
    <row r="76" ht="15.75" customHeight="1">
      <c r="A76" s="232" t="s">
        <v>2143</v>
      </c>
      <c r="B76" s="232" t="s">
        <v>7138</v>
      </c>
      <c r="C76" s="232" t="s">
        <v>7140</v>
      </c>
      <c r="D76" s="232" t="s">
        <v>7109</v>
      </c>
      <c r="E76" s="232" t="s">
        <v>1328</v>
      </c>
    </row>
    <row r="77" ht="15.75" customHeight="1">
      <c r="A77" s="13" t="str">
        <f t="array" ref="A77">IF($C$9=0,"— (aucun enfant)",LET(_xlpm.reqU,$C$75,_xlpm.nom,ACTIVITES!$F$3:$F$172,_xlpm.kid,ACTIVITES!$J$3:$J$172,_xlpm.pan,ACTIVITES!$I$3:$I$172,_xlpm.lvl,ACTIVITES!$N$3:$N$172,_xlpm.lvlnum,IFERROR(0+MID(_xlpm.lvl,5,1),0),_xlpm.score,_xlpm.lvlnum*10,_xlpm.keep,ISNUMBER(SEARCH(_xlpm.reqU,_xlpm.kid)),_xlpm.tbl,CHOOSE({1,2,3,4,5},_xlpm.nom,_xlpm.kid,_xlpm.pan,_xlpm.lvlnum,_xlpm.score),IFERROR(TAKE(_xlws.SORT(_xlws.FILTER(_xlpm.tbl,_xlpm.keep),5,-1),5),"—")))</f>
        <v>—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>
      <c r="A83" s="13" t="s">
        <v>7300</v>
      </c>
      <c r="C83" s="298">
        <v>0.0</v>
      </c>
    </row>
    <row r="84" ht="15.75" customHeight="1">
      <c r="A84" s="13" t="s">
        <v>7301</v>
      </c>
      <c r="C84" s="298">
        <v>250.0</v>
      </c>
    </row>
    <row r="85" ht="15.75" customHeight="1">
      <c r="A85" s="13" t="s">
        <v>7305</v>
      </c>
      <c r="C85" s="298" t="s">
        <v>6881</v>
      </c>
      <c r="D85" s="301" t="s">
        <v>7308</v>
      </c>
      <c r="E85" s="302">
        <f t="array" ref="E85">IF(OR($C$12="AVION",$C$12="TRAIN"),2*IFERROR(INDEX(TRANSPORT!$D$3:$D$7,MATCH($C$85,TRANSPORT!$C$3:$C$7,0)),0)*$C$14,0)</f>
        <v>50</v>
      </c>
    </row>
    <row r="86" ht="15.75" customHeight="1">
      <c r="A86" s="13" t="s">
        <v>7315</v>
      </c>
      <c r="C86" s="298">
        <v>2.0</v>
      </c>
      <c r="D86" s="301" t="s">
        <v>7318</v>
      </c>
      <c r="E86" s="303">
        <v>3.0</v>
      </c>
    </row>
    <row r="87" ht="15.75" customHeight="1">
      <c r="A87" s="13" t="s">
        <v>7321</v>
      </c>
      <c r="C87" s="298">
        <v>1.0</v>
      </c>
      <c r="D87" s="301" t="s">
        <v>7322</v>
      </c>
      <c r="E87" s="303">
        <v>2.0</v>
      </c>
    </row>
    <row r="88" ht="15.75" customHeight="1">
      <c r="A88" s="295" t="s">
        <v>7325</v>
      </c>
      <c r="B88" s="2"/>
      <c r="C88" s="2"/>
      <c r="D88" s="2"/>
      <c r="E88" s="2"/>
      <c r="F88" s="4"/>
    </row>
    <row r="89" ht="15.75" customHeight="1">
      <c r="A89" s="230" t="s">
        <v>7326</v>
      </c>
      <c r="B89" s="2"/>
      <c r="C89" s="2"/>
      <c r="D89" s="2"/>
      <c r="E89" s="2"/>
      <c r="F89" s="4"/>
    </row>
    <row r="90" ht="15.75" customHeight="1">
      <c r="A90" s="13" t="s">
        <v>7329</v>
      </c>
      <c r="C90" s="304">
        <f t="array" ref="C90">IF($C$16="NON",0,IFERROR(INDEX(ANCHORARRAY(A23),1,4),0)*$C$17*$C$6)</f>
        <v>0</v>
      </c>
    </row>
    <row r="91" ht="15.75" customHeight="1">
      <c r="A91" s="13" t="s">
        <v>7335</v>
      </c>
      <c r="C91" s="304">
        <f t="array" ref="C91">IF(AND($C$12="VOITURE",$C$13="CLIENT_GERE"),0,LET(_xlpm.veh,$C$85,_xlpm.npjour,$C$86,_xlpm.npmatin,$C$87,_xlpm.jours,$C$7,_xlpm.transfert,IFERROR(INDEX(TRANSPORT!$D$3:$D$7,MATCH(_xlpm.veh,TRANSPORT!$C$3:$C$7,0)),0),_xlpm.demi,IFERROR(INDEX(TRANSPORT!$E$3:$E$7,MATCH(_xlpm.veh,TRANSPORT!$C$3:$C$7,0)),0),_xlpm.journee,IFERROR(INDEX(TRANSPORT!$F$3:$F$7,MATCH(_xlpm.veh,TRANSPORT!$C$3:$C$7,0)),0),_xlpm.seuilJ,$E$86,_xlpm.seuilD,$E$87,_xlpm.perday,IF(_xlpm.npjour&gt;_xlpm.seuilJ,_xlpm.journee,IF(_xlpm.npmatin&gt;_xlpm.seuilD,_xlpm.demi,IF(_xlpm.npjour&gt;=1,2*_xlpm.transfert,0))),_xlpm.perday*$C$14*_xlpm.jours+$E$85))</f>
        <v>150</v>
      </c>
    </row>
    <row r="92" ht="15.75" customHeight="1">
      <c r="A92" s="13" t="s">
        <v>7347</v>
      </c>
      <c r="C92" s="304">
        <f t="array" ref="C92">(IFERROR(N(INDEX(ANCHORARRAY(A37),1,3)),0)+IF($C$35="EXCURSION À LA JOURNÉE",0,IFERROR(N(INDEX(ANCHORARRAY(A53),1,3)),0))+IF($C$9&gt;0,IFERROR(N(INDEX(ANCHORARRAY(A77),1,3)),0),0))*$C$7</f>
        <v>0</v>
      </c>
    </row>
    <row r="93" ht="15.75" customHeight="1">
      <c r="A93" s="13" t="s">
        <v>7353</v>
      </c>
      <c r="C93" s="304">
        <f>$C$83*$C$84*$C$6</f>
        <v>0</v>
      </c>
    </row>
    <row r="94" ht="15.75" customHeight="1">
      <c r="A94" s="13" t="s">
        <v>7357</v>
      </c>
      <c r="C94" s="304">
        <f>IF(AND($C$30="OUI",$C$31&lt;&gt;"",$C$31&lt;&gt;"EV-AUT"),$C$32,0)</f>
        <v>0</v>
      </c>
    </row>
    <row r="95" ht="15.75" customHeight="1">
      <c r="A95" s="296" t="s">
        <v>7361</v>
      </c>
    </row>
    <row r="96" ht="15.75" customHeight="1">
      <c r="A96" s="13" t="s">
        <v>7362</v>
      </c>
      <c r="C96" s="304">
        <f>C90+C91+C92+C93+C94</f>
        <v>150</v>
      </c>
    </row>
    <row r="97" ht="15.75" customHeight="1">
      <c r="A97" s="230" t="s">
        <v>7366</v>
      </c>
      <c r="B97" s="2"/>
      <c r="C97" s="2"/>
      <c r="D97" s="2"/>
      <c r="E97" s="2"/>
      <c r="F97" s="4"/>
    </row>
    <row r="98" ht="15.75" customHeight="1">
      <c r="A98" s="13" t="s">
        <v>7368</v>
      </c>
      <c r="C98" s="304">
        <f>C90*HONORAIRES_SOLY!$E$6+C92*HONORAIRES_SOLY!$E$10+C91*HONORAIRES_SOLY!$E$11+C93*HONORAIRES_SOLY!$E$12+C94*HONORAIRES_SOLY!$E$7</f>
        <v>15</v>
      </c>
    </row>
    <row r="99" ht="15.75" customHeight="1">
      <c r="A99" s="13" t="s">
        <v>7372</v>
      </c>
      <c r="C99" s="304">
        <f>C98*0.2</f>
        <v>3</v>
      </c>
    </row>
    <row r="100" ht="15.75" customHeight="1">
      <c r="A100" s="13" t="s">
        <v>7377</v>
      </c>
      <c r="C100" s="305">
        <f>C96+C98+C99</f>
        <v>168</v>
      </c>
    </row>
    <row r="101" ht="15.75" customHeight="1"/>
    <row r="102" ht="15.75" customHeight="1">
      <c r="A102" s="295" t="s">
        <v>761</v>
      </c>
      <c r="B102" s="2"/>
      <c r="C102" s="2"/>
      <c r="D102" s="2"/>
      <c r="E102" s="2"/>
      <c r="F102" s="4"/>
    </row>
    <row r="103" ht="15.75" customHeight="1">
      <c r="A103" s="13" t="s">
        <v>7382</v>
      </c>
      <c r="C103" s="298" t="s">
        <v>7383</v>
      </c>
    </row>
    <row r="104" ht="15.75" customHeight="1">
      <c r="A104" s="13" t="s">
        <v>7384</v>
      </c>
      <c r="C104" s="298" t="s">
        <v>7385</v>
      </c>
    </row>
    <row r="105" ht="15.75" customHeight="1">
      <c r="A105" s="13" t="s">
        <v>7386</v>
      </c>
      <c r="C105" s="296">
        <v>6.0</v>
      </c>
    </row>
    <row r="106" ht="15.75" customHeight="1">
      <c r="A106" s="13" t="s">
        <v>7387</v>
      </c>
      <c r="C106" s="304">
        <f>IF($C$104="⚖️ Équitable",$C$100/MAX(1,$C$105),$C$100)</f>
        <v>28</v>
      </c>
    </row>
    <row r="107" ht="15.75" customHeight="1"/>
    <row r="108" ht="15.75" customHeight="1">
      <c r="A108" s="295" t="s">
        <v>869</v>
      </c>
      <c r="B108" s="2"/>
      <c r="C108" s="2"/>
      <c r="D108" s="2"/>
      <c r="E108" s="2"/>
      <c r="F108" s="4"/>
    </row>
    <row r="109" ht="15.75" customHeight="1">
      <c r="A109" s="13" t="s">
        <v>7395</v>
      </c>
      <c r="C109" s="296" t="str">
        <f>IF($C$103="① Totalité","⚡ Immédiate (paiement solo)","⏳ Différée 24h (cagnotte)")</f>
        <v>⚡ Immédiate (paiement solo)</v>
      </c>
    </row>
    <row r="110" ht="15.75" customHeight="1">
      <c r="A110" s="13" t="s">
        <v>7399</v>
      </c>
      <c r="C110" s="296" t="str">
        <f>IF($C$103="① Totalité","VALIDE (après paiement)","EN_COURS_COLLECTE → VALIDE si 100% &lt; 24h")</f>
        <v>VALIDE (après paiement)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89:F89"/>
    <mergeCell ref="A95:F95"/>
    <mergeCell ref="A97:F97"/>
    <mergeCell ref="A102:F102"/>
    <mergeCell ref="A108:F108"/>
    <mergeCell ref="A1:F1"/>
    <mergeCell ref="A2:F2"/>
    <mergeCell ref="A3:F3"/>
    <mergeCell ref="A21:F21"/>
    <mergeCell ref="A29:F29"/>
    <mergeCell ref="A34:F34"/>
    <mergeCell ref="A88:F88"/>
  </mergeCells>
  <dataValidations>
    <dataValidation type="list" allowBlank="1" showErrorMessage="1" sqref="C104">
      <formula1>"🤝 Libre,⚖️ Équitable"</formula1>
    </dataValidation>
    <dataValidation type="list" allowBlank="1" showErrorMessage="1" sqref="C19">
      <formula1>ANCHORARRAY($G$1)</formula1>
    </dataValidation>
    <dataValidation type="list" allowBlank="1" showErrorMessage="1" sqref="C18">
      <formula1>REF_CODES!$C$8:$C$13</formula1>
    </dataValidation>
    <dataValidation type="list" allowBlank="1" showErrorMessage="1" sqref="C15">
      <formula1>REF_CODES!$B$3:$B$7</formula1>
    </dataValidation>
    <dataValidation type="list" allowBlank="1" showErrorMessage="1" sqref="C16 C30">
      <formula1>"OUI,NON"</formula1>
    </dataValidation>
    <dataValidation type="list" allowBlank="1" showErrorMessage="1" sqref="C67">
      <formula1>REF_CODES!$C$46:$C$50</formula1>
    </dataValidation>
    <dataValidation type="list" allowBlank="1" showErrorMessage="1" sqref="C75">
      <formula1>REF_CODES!$C$51:$C$55</formula1>
    </dataValidation>
    <dataValidation type="list" allowBlank="1" showErrorMessage="1" sqref="C33">
      <formula1>"Marrakech"</formula1>
    </dataValidation>
    <dataValidation type="list" allowBlank="1" showErrorMessage="1" sqref="C85">
      <formula1>TRANSPORT!$C$3:$C$7</formula1>
    </dataValidation>
    <dataValidation type="list" allowBlank="1" showErrorMessage="1" sqref="C35 C51">
      <formula1>REF_CODES!$C$27:$C$33</formula1>
    </dataValidation>
    <dataValidation type="list" allowBlank="1" showErrorMessage="1" sqref="C43">
      <formula1>REF_CODES!$C$34:$C$39</formula1>
    </dataValidation>
    <dataValidation type="list" allowBlank="1" showErrorMessage="1" sqref="C13">
      <formula1>"SOLY_GERE,CLIENT_GERE"</formula1>
    </dataValidation>
    <dataValidation type="list" allowBlank="1" showErrorMessage="1" sqref="C59">
      <formula1>REF_CODES!$C$40:$C$45</formula1>
    </dataValidation>
    <dataValidation type="list" allowBlank="1" showErrorMessage="1" sqref="C12">
      <formula1>"AVION,TRAIN,VOITURE"</formula1>
    </dataValidation>
    <dataValidation type="list" allowBlank="1" showErrorMessage="1" sqref="C103">
      <formula1>"① Totalité,② Inviter des participants"</formula1>
    </dataValidation>
    <dataValidation type="list" allowBlank="1" showErrorMessage="1" sqref="C31">
      <formula1>REF_CODES!$B$20:$B$26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2026-07-13T23:46:57Z</dcterms:created>
  <dc:creator>Salima Benchekroun</dc:creator>
</cp:coreProperties>
</file>